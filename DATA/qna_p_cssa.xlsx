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codeName="DieseArbeitsmappe"/>
  <mc:AlternateContent xmlns:mc="http://schemas.openxmlformats.org/markup-compatibility/2006">
    <mc:Choice Requires="x15">
      <x15ac:absPath xmlns:x15ac="http://schemas.microsoft.com/office/spreadsheetml/2010/11/ac" url="/Users/yanik/Desktop/S3/Forecasting /GP/"/>
    </mc:Choice>
  </mc:AlternateContent>
  <xr:revisionPtr revIDLastSave="0" documentId="8_{D529EE47-4E40-6C41-99D6-4FFB73286145}" xr6:coauthVersionLast="47" xr6:coauthVersionMax="47" xr10:uidLastSave="{00000000-0000-0000-0000-000000000000}"/>
  <bookViews>
    <workbookView xWindow="0" yWindow="760" windowWidth="29040" windowHeight="15720" xr2:uid="{00000000-000D-0000-FFFF-FFFF00000000}"/>
  </bookViews>
  <sheets>
    <sheet name="swiss_qna" sheetId="22080" r:id="rId1"/>
    <sheet name="nom_q" sheetId="22085" r:id="rId2"/>
    <sheet name="real_q" sheetId="22086" r:id="rId3"/>
    <sheet name="defl_q" sheetId="22087" r:id="rId4"/>
    <sheet name="gc_q" sheetId="22088" r:id="rId5"/>
    <sheet name="nom_y" sheetId="22089" r:id="rId6"/>
    <sheet name="real_y" sheetId="22090" r:id="rId7"/>
    <sheet name="defl_y" sheetId="22091" r:id="rId8"/>
    <sheet name="gc_y" sheetId="22092" r:id="rId9"/>
    <sheet name="beschriftung" sheetId="22045" state="veryHidden"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8" i="22092" l="1"/>
  <c r="AS6" i="22092"/>
  <c r="S6" i="22092"/>
  <c r="BA5" i="22092"/>
  <c r="AO5" i="22092"/>
  <c r="W5" i="22092"/>
  <c r="G5" i="22092"/>
  <c r="AY4" i="22092"/>
  <c r="AM4" i="22092"/>
  <c r="U4" i="22092"/>
  <c r="E4" i="22092"/>
  <c r="BE6" i="22091"/>
  <c r="AE6" i="22091"/>
  <c r="BF5" i="22091"/>
  <c r="AT5" i="22091"/>
  <c r="AH5" i="22091"/>
  <c r="L5" i="22091"/>
  <c r="BD4" i="22091"/>
  <c r="AR4" i="22091"/>
  <c r="AB4" i="22091"/>
  <c r="J4" i="22091"/>
  <c r="AK8" i="22090"/>
  <c r="AS6" i="22090"/>
  <c r="S6" i="22090"/>
  <c r="BA5" i="22090"/>
  <c r="AO5" i="22090"/>
  <c r="W5" i="22090"/>
  <c r="G5" i="22090"/>
  <c r="AY4" i="22090"/>
  <c r="AM4" i="22090"/>
  <c r="U4" i="22090"/>
  <c r="E4" i="22090"/>
  <c r="BE6" i="22089"/>
  <c r="AE6" i="22089"/>
  <c r="BF5" i="22089"/>
  <c r="AT5" i="22089"/>
  <c r="AH5" i="22089"/>
  <c r="L5" i="22089"/>
  <c r="BD4" i="22089"/>
  <c r="AR4" i="22089"/>
  <c r="AB4" i="22089"/>
  <c r="J4" i="22089"/>
  <c r="AK8" i="22088"/>
  <c r="AS6" i="22088"/>
  <c r="S6" i="22088"/>
  <c r="BA5" i="22088"/>
  <c r="AO5" i="22088"/>
  <c r="W5" i="22088"/>
  <c r="G5" i="22088"/>
  <c r="AY4" i="22088"/>
  <c r="AM4" i="22088"/>
  <c r="U4" i="22088"/>
  <c r="E4" i="22088"/>
  <c r="AI8" i="22092"/>
  <c r="AQ6" i="22092"/>
  <c r="Q6" i="22092"/>
  <c r="AZ5" i="22092"/>
  <c r="AN5" i="22092"/>
  <c r="V5" i="22092"/>
  <c r="F5" i="22092"/>
  <c r="AV4" i="22092"/>
  <c r="AJ4" i="22092"/>
  <c r="R4" i="22092"/>
  <c r="D4" i="22092"/>
  <c r="BC6" i="22091"/>
  <c r="AC6" i="22091"/>
  <c r="BE5" i="22091"/>
  <c r="AS5" i="22091"/>
  <c r="AG5" i="22091"/>
  <c r="K5" i="22091"/>
  <c r="BC4" i="22091"/>
  <c r="AQ4" i="22091"/>
  <c r="AA4" i="22091"/>
  <c r="I4" i="22091"/>
  <c r="AI8" i="22090"/>
  <c r="AQ6" i="22090"/>
  <c r="Q6" i="22090"/>
  <c r="AZ5" i="22090"/>
  <c r="AN5" i="22090"/>
  <c r="V5" i="22090"/>
  <c r="F5" i="22090"/>
  <c r="AV4" i="22090"/>
  <c r="AJ4" i="22090"/>
  <c r="R4" i="22090"/>
  <c r="D4" i="22090"/>
  <c r="BC6" i="22089"/>
  <c r="AC6" i="22089"/>
  <c r="BE5" i="22089"/>
  <c r="AS5" i="22089"/>
  <c r="AG5" i="22089"/>
  <c r="K5" i="22089"/>
  <c r="BC4" i="22089"/>
  <c r="AQ4" i="22089"/>
  <c r="AA4" i="22089"/>
  <c r="I4" i="22089"/>
  <c r="AI8" i="22088"/>
  <c r="AQ6" i="22088"/>
  <c r="Q6" i="22088"/>
  <c r="AZ5" i="22088"/>
  <c r="AN5" i="22088"/>
  <c r="V5" i="22088"/>
  <c r="F5" i="22088"/>
  <c r="AV4" i="22088"/>
  <c r="AJ4" i="22088"/>
  <c r="R4" i="22088"/>
  <c r="D4" i="22088"/>
  <c r="BC6" i="22087"/>
  <c r="AC6" i="22087"/>
  <c r="BE5" i="22087"/>
  <c r="AS5" i="22087"/>
  <c r="AG5" i="22087"/>
  <c r="K5" i="22087"/>
  <c r="BC4" i="22087"/>
  <c r="AQ4" i="22087"/>
  <c r="AA4" i="22087"/>
  <c r="I4" i="22087"/>
  <c r="AS6" i="22086"/>
  <c r="S6" i="22086"/>
  <c r="BA5" i="22086"/>
  <c r="AO5" i="22086"/>
  <c r="W5" i="22086"/>
  <c r="G5" i="22086"/>
  <c r="AY4" i="22086"/>
  <c r="AM4" i="22086"/>
  <c r="U4" i="22086"/>
  <c r="E4" i="22086"/>
  <c r="BE6" i="22085"/>
  <c r="AE6" i="22085"/>
  <c r="BF5" i="22085"/>
  <c r="AT5" i="22085"/>
  <c r="AH5" i="22085"/>
  <c r="L5" i="22085"/>
  <c r="BD4" i="22085"/>
  <c r="AR4" i="22085"/>
  <c r="AB4" i="22085"/>
  <c r="J4" i="22085"/>
  <c r="I6" i="22092"/>
  <c r="AV5" i="22092"/>
  <c r="AJ5" i="22092"/>
  <c r="BF4" i="22092"/>
  <c r="AH4" i="22092"/>
  <c r="A2" i="22092"/>
  <c r="W6" i="22091"/>
  <c r="AQ5" i="22091"/>
  <c r="I5" i="22091"/>
  <c r="AO4" i="22091"/>
  <c r="G4" i="22091"/>
  <c r="AM6" i="22090"/>
  <c r="AM6" i="22088"/>
  <c r="I6" i="22088"/>
  <c r="AV5" i="22088"/>
  <c r="AJ5" i="22088"/>
  <c r="R5" i="22088"/>
  <c r="BF4" i="22088"/>
  <c r="AT4" i="22088"/>
  <c r="AH4" i="22088"/>
  <c r="L4" i="22088"/>
  <c r="AW6" i="22087"/>
  <c r="W6" i="22087"/>
  <c r="BC5" i="22087"/>
  <c r="AQ5" i="22087"/>
  <c r="AA5" i="22087"/>
  <c r="I5" i="22087"/>
  <c r="BA4" i="22087"/>
  <c r="AO4" i="22087"/>
  <c r="W4" i="22087"/>
  <c r="G4" i="22087"/>
  <c r="Y8" i="22086"/>
  <c r="AO6" i="22086"/>
  <c r="K6" i="22086"/>
  <c r="AY5" i="22086"/>
  <c r="AM5" i="22086"/>
  <c r="U5" i="22086"/>
  <c r="E5" i="22086"/>
  <c r="AU4" i="22086"/>
  <c r="AI4" i="22086"/>
  <c r="Q4" i="22086"/>
  <c r="C4" i="22086"/>
  <c r="AY6" i="22085"/>
  <c r="Y8" i="22092"/>
  <c r="AO6" i="22092"/>
  <c r="K6" i="22092"/>
  <c r="AY5" i="22092"/>
  <c r="AM5" i="22092"/>
  <c r="U5" i="22092"/>
  <c r="E5" i="22092"/>
  <c r="AU4" i="22092"/>
  <c r="AI4" i="22092"/>
  <c r="Q4" i="22092"/>
  <c r="C4" i="22092"/>
  <c r="AY6" i="22091"/>
  <c r="AA6" i="22091"/>
  <c r="BD5" i="22091"/>
  <c r="AR5" i="22091"/>
  <c r="AB5" i="22091"/>
  <c r="J5" i="22091"/>
  <c r="BB4" i="22091"/>
  <c r="AP4" i="22091"/>
  <c r="X4" i="22091"/>
  <c r="H4" i="22091"/>
  <c r="Y8" i="22090"/>
  <c r="AO6" i="22090"/>
  <c r="K6" i="22090"/>
  <c r="AY5" i="22090"/>
  <c r="AM5" i="22090"/>
  <c r="U5" i="22090"/>
  <c r="E5" i="22090"/>
  <c r="AU4" i="22090"/>
  <c r="AI4" i="22090"/>
  <c r="Q4" i="22090"/>
  <c r="C4" i="22090"/>
  <c r="AY6" i="22089"/>
  <c r="AA6" i="22089"/>
  <c r="BD5" i="22089"/>
  <c r="AR5" i="22089"/>
  <c r="AB5" i="22089"/>
  <c r="J5" i="22089"/>
  <c r="BB4" i="22089"/>
  <c r="AP4" i="22089"/>
  <c r="X4" i="22089"/>
  <c r="H4" i="22089"/>
  <c r="Y8" i="22088"/>
  <c r="AO6" i="22088"/>
  <c r="K6" i="22088"/>
  <c r="AY5" i="22088"/>
  <c r="AM5" i="22088"/>
  <c r="U5" i="22088"/>
  <c r="E5" i="22088"/>
  <c r="AU4" i="22088"/>
  <c r="AI4" i="22088"/>
  <c r="Q4" i="22088"/>
  <c r="C4" i="22088"/>
  <c r="AY6" i="22087"/>
  <c r="AA6" i="22087"/>
  <c r="BD5" i="22087"/>
  <c r="AR5" i="22087"/>
  <c r="AB5" i="22087"/>
  <c r="J5" i="22087"/>
  <c r="BB4" i="22087"/>
  <c r="AP4" i="22087"/>
  <c r="X4" i="22087"/>
  <c r="H4" i="22087"/>
  <c r="AI8" i="22086"/>
  <c r="AQ6" i="22086"/>
  <c r="Q6" i="22086"/>
  <c r="AZ5" i="22086"/>
  <c r="AN5" i="22086"/>
  <c r="V5" i="22086"/>
  <c r="F5" i="22086"/>
  <c r="AV4" i="22086"/>
  <c r="AJ4" i="22086"/>
  <c r="R4" i="22086"/>
  <c r="D4" i="22086"/>
  <c r="BC6" i="22085"/>
  <c r="AC6" i="22085"/>
  <c r="BE5" i="22085"/>
  <c r="AS5" i="22085"/>
  <c r="AG5" i="22085"/>
  <c r="K5" i="22085"/>
  <c r="BC4" i="22085"/>
  <c r="AQ4" i="22085"/>
  <c r="AA4" i="22085"/>
  <c r="I4" i="22085"/>
  <c r="AM6" i="22092"/>
  <c r="R5" i="22092"/>
  <c r="AT4" i="22092"/>
  <c r="L4" i="22092"/>
  <c r="AW6" i="22091"/>
  <c r="BC5" i="22091"/>
  <c r="AA5" i="22091"/>
  <c r="BA4" i="22091"/>
  <c r="W4" i="22091"/>
  <c r="O8" i="22090"/>
  <c r="I6" i="22090"/>
  <c r="AV5" i="22090"/>
  <c r="AJ5" i="22090"/>
  <c r="R5" i="22090"/>
  <c r="BF4" i="22090"/>
  <c r="AT4" i="22090"/>
  <c r="AH4" i="22090"/>
  <c r="L4" i="22090"/>
  <c r="A2" i="22090"/>
  <c r="AW6" i="22089"/>
  <c r="W6" i="22089"/>
  <c r="BC5" i="22089"/>
  <c r="AQ5" i="22089"/>
  <c r="AA5" i="22089"/>
  <c r="I5" i="22089"/>
  <c r="BA4" i="22089"/>
  <c r="AO4" i="22089"/>
  <c r="W4" i="22089"/>
  <c r="G4" i="22089"/>
  <c r="O8" i="22088"/>
  <c r="O8" i="22092"/>
  <c r="A2" i="22088"/>
  <c r="M8" i="22092"/>
  <c r="AG6" i="22092"/>
  <c r="G6" i="22092"/>
  <c r="AU5" i="22092"/>
  <c r="AI5" i="22092"/>
  <c r="Q5" i="22092"/>
  <c r="BE4" i="22092"/>
  <c r="AS4" i="22092"/>
  <c r="AG4" i="22092"/>
  <c r="K4" i="22092"/>
  <c r="A1" i="22092"/>
  <c r="AU6" i="22091"/>
  <c r="U6" i="22091"/>
  <c r="BE6" i="22092"/>
  <c r="AE6" i="22092"/>
  <c r="BF5" i="22092"/>
  <c r="AT5" i="22092"/>
  <c r="AH5" i="22092"/>
  <c r="L5" i="22092"/>
  <c r="BD4" i="22092"/>
  <c r="AR4" i="22092"/>
  <c r="AB4" i="22092"/>
  <c r="J4" i="22092"/>
  <c r="AK8" i="22091"/>
  <c r="AS6" i="22091"/>
  <c r="S6" i="22091"/>
  <c r="BA5" i="22091"/>
  <c r="AO5" i="22091"/>
  <c r="W5" i="22091"/>
  <c r="G5" i="22091"/>
  <c r="AY4" i="22091"/>
  <c r="AM4" i="22091"/>
  <c r="U4" i="22091"/>
  <c r="E4" i="22091"/>
  <c r="BE6" i="22090"/>
  <c r="AE6" i="22090"/>
  <c r="BF5" i="22090"/>
  <c r="AT5" i="22090"/>
  <c r="AH5" i="22090"/>
  <c r="L5" i="22090"/>
  <c r="BD4" i="22090"/>
  <c r="AR4" i="22090"/>
  <c r="AB4" i="22090"/>
  <c r="J4" i="22090"/>
  <c r="AK8" i="22089"/>
  <c r="AS6" i="22089"/>
  <c r="S6" i="22089"/>
  <c r="BA5" i="22089"/>
  <c r="AO5" i="22089"/>
  <c r="W5" i="22089"/>
  <c r="G5" i="22089"/>
  <c r="AY4" i="22089"/>
  <c r="AM4" i="22089"/>
  <c r="U4" i="22089"/>
  <c r="E4" i="22089"/>
  <c r="BE6" i="22088"/>
  <c r="AE6" i="22088"/>
  <c r="BF5" i="22088"/>
  <c r="AT5" i="22088"/>
  <c r="AH5" i="22088"/>
  <c r="L5" i="22088"/>
  <c r="BD4" i="22088"/>
  <c r="AR4" i="22088"/>
  <c r="AB4" i="22088"/>
  <c r="J4" i="22088"/>
  <c r="AK8" i="22087"/>
  <c r="BC6" i="22092"/>
  <c r="AC6" i="22092"/>
  <c r="BE5" i="22092"/>
  <c r="AS5" i="22092"/>
  <c r="AG5" i="22092"/>
  <c r="K5" i="22092"/>
  <c r="BC4" i="22092"/>
  <c r="AQ4" i="22092"/>
  <c r="AA4" i="22092"/>
  <c r="I4" i="22092"/>
  <c r="AI8" i="22091"/>
  <c r="AY6" i="22092"/>
  <c r="AA6" i="22092"/>
  <c r="BD5" i="22092"/>
  <c r="AR5" i="22092"/>
  <c r="AB5" i="22092"/>
  <c r="J5" i="22092"/>
  <c r="BB4" i="22092"/>
  <c r="AP4" i="22092"/>
  <c r="X4" i="22092"/>
  <c r="H4" i="22092"/>
  <c r="Y8" i="22091"/>
  <c r="AO6" i="22091"/>
  <c r="K6" i="22091"/>
  <c r="AY5" i="22091"/>
  <c r="AM5" i="22091"/>
  <c r="U5" i="22091"/>
  <c r="E5" i="22091"/>
  <c r="AU4" i="22091"/>
  <c r="AI4" i="22091"/>
  <c r="Q4" i="22091"/>
  <c r="C4" i="22091"/>
  <c r="AY6" i="22090"/>
  <c r="AW6" i="22092"/>
  <c r="W6" i="22092"/>
  <c r="BC5" i="22092"/>
  <c r="AQ5" i="22092"/>
  <c r="AA5" i="22092"/>
  <c r="I5" i="22092"/>
  <c r="BA4" i="22092"/>
  <c r="AO4" i="22092"/>
  <c r="W4" i="22092"/>
  <c r="G4" i="22092"/>
  <c r="O8" i="22091"/>
  <c r="AM6" i="22091"/>
  <c r="I6" i="22091"/>
  <c r="AV5" i="22091"/>
  <c r="AJ5" i="22091"/>
  <c r="R5" i="22091"/>
  <c r="BF4" i="22091"/>
  <c r="AT4" i="22091"/>
  <c r="AH4" i="22091"/>
  <c r="L4" i="22091"/>
  <c r="A2" i="22091"/>
  <c r="AW6" i="22090"/>
  <c r="W6" i="22090"/>
  <c r="BC5" i="22090"/>
  <c r="AQ5" i="22090"/>
  <c r="AA5" i="22090"/>
  <c r="I5" i="22090"/>
  <c r="BA4" i="22090"/>
  <c r="AO4" i="22090"/>
  <c r="W4" i="22090"/>
  <c r="G4" i="22090"/>
  <c r="O8" i="22089"/>
  <c r="AM6" i="22089"/>
  <c r="I6" i="22089"/>
  <c r="AV5" i="22089"/>
  <c r="AJ5" i="22089"/>
  <c r="R5" i="22089"/>
  <c r="BF4" i="22089"/>
  <c r="AT4" i="22089"/>
  <c r="AH4" i="22089"/>
  <c r="L4" i="22089"/>
  <c r="A2" i="22089"/>
  <c r="AW6" i="22088"/>
  <c r="W6" i="22088"/>
  <c r="BC5" i="22088"/>
  <c r="AQ5" i="22088"/>
  <c r="AA5" i="22088"/>
  <c r="I5" i="22088"/>
  <c r="BA4" i="22088"/>
  <c r="AO4" i="22088"/>
  <c r="W4" i="22088"/>
  <c r="G4" i="22088"/>
  <c r="O8" i="22087"/>
  <c r="AM6" i="22087"/>
  <c r="I6" i="22087"/>
  <c r="AV5" i="22087"/>
  <c r="AJ5" i="22087"/>
  <c r="R5" i="22087"/>
  <c r="BF4" i="22087"/>
  <c r="AT4" i="22087"/>
  <c r="AH4" i="22087"/>
  <c r="L4" i="22087"/>
  <c r="A2" i="22087"/>
  <c r="AY6" i="22086"/>
  <c r="AA6" i="22086"/>
  <c r="BD5" i="22086"/>
  <c r="AR5" i="22086"/>
  <c r="AB5" i="22086"/>
  <c r="J5" i="22086"/>
  <c r="BB4" i="22086"/>
  <c r="AP4" i="22086"/>
  <c r="X4" i="22086"/>
  <c r="H4" i="22086"/>
  <c r="Y8" i="22085"/>
  <c r="AO6" i="22085"/>
  <c r="K6" i="22085"/>
  <c r="AY5" i="22085"/>
  <c r="AU6" i="22092"/>
  <c r="U6" i="22092"/>
  <c r="BB5" i="22092"/>
  <c r="AP5" i="22092"/>
  <c r="X5" i="22092"/>
  <c r="H5" i="22092"/>
  <c r="AZ4" i="22092"/>
  <c r="AN4" i="22092"/>
  <c r="V4" i="22092"/>
  <c r="F4" i="22092"/>
  <c r="M8" i="22091"/>
  <c r="AG6" i="22091"/>
  <c r="G6" i="22091"/>
  <c r="AU5" i="22091"/>
  <c r="AI5" i="22091"/>
  <c r="Q5" i="22091"/>
  <c r="BE4" i="22091"/>
  <c r="AS4" i="22091"/>
  <c r="AG4" i="22091"/>
  <c r="K4" i="22091"/>
  <c r="A1" i="22091"/>
  <c r="AU6" i="22090"/>
  <c r="U6" i="22090"/>
  <c r="BB5" i="22090"/>
  <c r="AP5" i="22090"/>
  <c r="X5" i="22090"/>
  <c r="H5" i="22090"/>
  <c r="AZ4" i="22090"/>
  <c r="AN4" i="22090"/>
  <c r="V4" i="22090"/>
  <c r="F4" i="22090"/>
  <c r="M8" i="22089"/>
  <c r="AG6" i="22089"/>
  <c r="G6" i="22089"/>
  <c r="AU5" i="22089"/>
  <c r="AI5" i="22089"/>
  <c r="Q5" i="22089"/>
  <c r="BE4" i="22089"/>
  <c r="AS4" i="22089"/>
  <c r="AG4" i="22089"/>
  <c r="K4" i="22089"/>
  <c r="A1" i="22089"/>
  <c r="AU6" i="22088"/>
  <c r="U6" i="22088"/>
  <c r="BB5" i="22088"/>
  <c r="AP5" i="22088"/>
  <c r="X5" i="22088"/>
  <c r="H5" i="22088"/>
  <c r="AZ4" i="22088"/>
  <c r="AN4" i="22088"/>
  <c r="V4" i="22088"/>
  <c r="F4" i="22088"/>
  <c r="M8" i="22087"/>
  <c r="AG6" i="22087"/>
  <c r="G6" i="22087"/>
  <c r="AU5" i="22087"/>
  <c r="AI5" i="22087"/>
  <c r="Q5" i="22087"/>
  <c r="BE4" i="22087"/>
  <c r="AS4" i="22087"/>
  <c r="AG4" i="22087"/>
  <c r="K4" i="22087"/>
  <c r="A1" i="22087"/>
  <c r="AW6" i="22086"/>
  <c r="W6" i="22086"/>
  <c r="BC5" i="22086"/>
  <c r="AQ5" i="22086"/>
  <c r="AA5" i="22086"/>
  <c r="I5" i="22086"/>
  <c r="BA4" i="22086"/>
  <c r="AO4" i="22086"/>
  <c r="W4" i="22086"/>
  <c r="G4" i="22086"/>
  <c r="O8" i="22085"/>
  <c r="AM6" i="22085"/>
  <c r="I6" i="22085"/>
  <c r="AV5" i="22085"/>
  <c r="AJ5" i="22085"/>
  <c r="R5" i="22085"/>
  <c r="AQ6" i="22091"/>
  <c r="AZ4" i="22091"/>
  <c r="AG6" i="22090"/>
  <c r="AG5" i="22090"/>
  <c r="AP4" i="22090"/>
  <c r="AU6" i="22089"/>
  <c r="AN5" i="22089"/>
  <c r="AU4" i="22089"/>
  <c r="M8" i="22088"/>
  <c r="AS5" i="22088"/>
  <c r="BB4" i="22088"/>
  <c r="A1" i="22088"/>
  <c r="S6" i="22087"/>
  <c r="AO5" i="22087"/>
  <c r="G5" i="22087"/>
  <c r="AM4" i="22087"/>
  <c r="E4" i="22087"/>
  <c r="AG6" i="22086"/>
  <c r="AU5" i="22086"/>
  <c r="Q5" i="22086"/>
  <c r="AS4" i="22086"/>
  <c r="K4" i="22086"/>
  <c r="AU6" i="22085"/>
  <c r="BD5" i="22085"/>
  <c r="AN5" i="22085"/>
  <c r="J5" i="22085"/>
  <c r="AZ4" i="22085"/>
  <c r="AJ4" i="22085"/>
  <c r="L4" i="22085"/>
  <c r="BC5" i="22085"/>
  <c r="AM5" i="22085"/>
  <c r="I5" i="22085"/>
  <c r="AY4" i="22085"/>
  <c r="K4" i="22085"/>
  <c r="AI5" i="22085"/>
  <c r="AV4" i="22085"/>
  <c r="H4" i="22085"/>
  <c r="AJ4" i="22091"/>
  <c r="K5" i="22090"/>
  <c r="X4" i="22090"/>
  <c r="V5" i="22089"/>
  <c r="AG6" i="22088"/>
  <c r="AP4" i="22088"/>
  <c r="BF5" i="22087"/>
  <c r="AB4" i="22087"/>
  <c r="U6" i="22086"/>
  <c r="AP5" i="22086"/>
  <c r="F4" i="22086"/>
  <c r="BA5" i="22085"/>
  <c r="AG4" i="22085"/>
  <c r="V4" i="22091"/>
  <c r="K4" i="22090"/>
  <c r="AC6" i="22088"/>
  <c r="AG4" i="22088"/>
  <c r="X5" i="22087"/>
  <c r="V4" i="22087"/>
  <c r="O8" i="22086"/>
  <c r="AJ5" i="22086"/>
  <c r="AH4" i="22086"/>
  <c r="AA6" i="22085"/>
  <c r="F5" i="22085"/>
  <c r="F4" i="22085"/>
  <c r="R4" i="22091"/>
  <c r="Q6" i="22091"/>
  <c r="AV4" i="22091"/>
  <c r="AC6" i="22090"/>
  <c r="AB5" i="22090"/>
  <c r="AG4" i="22090"/>
  <c r="AQ6" i="22089"/>
  <c r="AM5" i="22089"/>
  <c r="AN4" i="22089"/>
  <c r="BC6" i="22088"/>
  <c r="AR5" i="22088"/>
  <c r="AS4" i="22088"/>
  <c r="AI8" i="22087"/>
  <c r="Q6" i="22087"/>
  <c r="AN5" i="22087"/>
  <c r="F5" i="22087"/>
  <c r="AJ4" i="22087"/>
  <c r="D4" i="22087"/>
  <c r="AE6" i="22086"/>
  <c r="AT5" i="22086"/>
  <c r="L5" i="22086"/>
  <c r="AR4" i="22086"/>
  <c r="J4" i="22086"/>
  <c r="AS6" i="22085"/>
  <c r="AI4" i="22085"/>
  <c r="BB5" i="22085"/>
  <c r="H5" i="22085"/>
  <c r="AH4" i="22085"/>
  <c r="AZ5" i="22091"/>
  <c r="G6" i="22090"/>
  <c r="U6" i="22089"/>
  <c r="AT4" i="22085"/>
  <c r="BE4" i="22090"/>
  <c r="H5" i="22089"/>
  <c r="BB5" i="22091"/>
  <c r="AN4" i="22091"/>
  <c r="AA6" i="22090"/>
  <c r="Q5" i="22090"/>
  <c r="AA4" i="22090"/>
  <c r="AO6" i="22089"/>
  <c r="X5" i="22089"/>
  <c r="AJ4" i="22089"/>
  <c r="AY6" i="22088"/>
  <c r="AI5" i="22088"/>
  <c r="AQ4" i="22088"/>
  <c r="Y8" i="22087"/>
  <c r="K6" i="22087"/>
  <c r="AM5" i="22087"/>
  <c r="E5" i="22087"/>
  <c r="AI4" i="22087"/>
  <c r="C4" i="22087"/>
  <c r="AC6" i="22086"/>
  <c r="AS5" i="22086"/>
  <c r="K5" i="22086"/>
  <c r="AQ4" i="22086"/>
  <c r="I4" i="22086"/>
  <c r="AQ6" i="22085"/>
  <c r="AI4" i="22089"/>
  <c r="AG5" i="22088"/>
  <c r="BE6" i="22087"/>
  <c r="AH5" i="22087"/>
  <c r="BD4" i="22087"/>
  <c r="AK8" i="22086" a="1"/>
  <c r="G5" i="22085"/>
  <c r="BE5" i="22090"/>
  <c r="Q6" i="22089"/>
  <c r="V4" i="22089"/>
  <c r="AB5" i="22088"/>
  <c r="BB5" i="22087"/>
  <c r="W5" i="22087"/>
  <c r="G6" i="22086"/>
  <c r="W6" i="22085"/>
  <c r="AS4" i="22085"/>
  <c r="E4" i="22085"/>
  <c r="AU5" i="22090"/>
  <c r="F5" i="22089"/>
  <c r="D4" i="22085"/>
  <c r="X5" i="22091"/>
  <c r="X4" i="22088"/>
  <c r="BF5" i="22086"/>
  <c r="BB4" i="22090"/>
  <c r="AY4" i="22087"/>
  <c r="AG4" i="22086"/>
  <c r="X5" i="22085"/>
  <c r="AV4" i="22087"/>
  <c r="AH5" i="22086"/>
  <c r="AB4" i="22086"/>
  <c r="AR5" i="22085"/>
  <c r="W5" i="22085"/>
  <c r="BF4" i="22085"/>
  <c r="AP4" i="22085"/>
  <c r="V4" i="22085"/>
  <c r="V5" i="22091"/>
  <c r="BB5" i="22089"/>
  <c r="K5" i="22088"/>
  <c r="AQ6" i="22087"/>
  <c r="R4" i="22087"/>
  <c r="BE6" i="22086"/>
  <c r="BD4" i="22086"/>
  <c r="AK8" i="22085"/>
  <c r="BE5" i="22088"/>
  <c r="AO6" i="22087"/>
  <c r="AZ5" i="22087"/>
  <c r="AS5" i="22090"/>
  <c r="A1" i="22090"/>
  <c r="E5" i="22089"/>
  <c r="J5" i="22088"/>
  <c r="AY5" i="22087"/>
  <c r="V5" i="22085"/>
  <c r="U4" i="22085"/>
  <c r="AZ5" i="22089"/>
  <c r="U5" i="22087"/>
  <c r="AU4" i="22087"/>
  <c r="Q4" i="22087"/>
  <c r="BC6" i="22086"/>
  <c r="BE5" i="22086"/>
  <c r="AG5" i="22086"/>
  <c r="BC4" i="22086"/>
  <c r="AA4" i="22086"/>
  <c r="AI8" i="22085"/>
  <c r="S6" i="22085"/>
  <c r="AQ5" i="22085"/>
  <c r="BE4" i="22085"/>
  <c r="AO4" i="22085"/>
  <c r="C4" i="22085"/>
  <c r="H5" i="22091"/>
  <c r="M8" i="22090"/>
  <c r="AR5" i="22090"/>
  <c r="AS4" i="22090"/>
  <c r="AI8" i="22089"/>
  <c r="AY5" i="22089"/>
  <c r="AZ4" i="22089"/>
  <c r="D4" i="22089"/>
  <c r="BD5" i="22088"/>
  <c r="BE4" i="22088"/>
  <c r="I4" i="22088"/>
  <c r="AE6" i="22087"/>
  <c r="AT5" i="22087"/>
  <c r="L5" i="22087"/>
  <c r="AR4" i="22087"/>
  <c r="J4" i="22087"/>
  <c r="AU6" i="22086"/>
  <c r="BB5" i="22086"/>
  <c r="X5" i="22086"/>
  <c r="AZ4" i="22086"/>
  <c r="V4" i="22086"/>
  <c r="M8" i="22085"/>
  <c r="Q6" i="22085"/>
  <c r="AP5" i="22085"/>
  <c r="U5" i="22085"/>
  <c r="BB4" i="22085"/>
  <c r="AN4" i="22085"/>
  <c r="R4" i="22085"/>
  <c r="A2" i="22085"/>
  <c r="AI5" i="22090"/>
  <c r="AP5" i="22089"/>
  <c r="C4" i="22089"/>
  <c r="BC4" i="22088"/>
  <c r="AP5" i="22087"/>
  <c r="H5" i="22087"/>
  <c r="AN4" i="22087"/>
  <c r="F4" i="22087"/>
  <c r="AM6" i="22086"/>
  <c r="AV5" i="22086"/>
  <c r="R5" i="22086"/>
  <c r="AT4" i="22086"/>
  <c r="L4" i="22086"/>
  <c r="AW6" i="22085"/>
  <c r="AO5" i="22085"/>
  <c r="Q5" i="22085"/>
  <c r="BA4" i="22085"/>
  <c r="Q4" i="22085"/>
  <c r="H5" i="22086"/>
  <c r="AG6" i="22085"/>
  <c r="AU4" i="22085"/>
  <c r="AP5" i="22091"/>
  <c r="AZ4" i="22087"/>
  <c r="I6" i="22086"/>
  <c r="A2" i="22086"/>
  <c r="AA5" i="22085"/>
  <c r="AN5" i="22091"/>
  <c r="I4" i="22090"/>
  <c r="R4" i="22089"/>
  <c r="AA6" i="22088"/>
  <c r="AA4" i="22088"/>
  <c r="AS6" i="22087"/>
  <c r="U4" i="22087"/>
  <c r="AI5" i="22086"/>
  <c r="A1" i="22086"/>
  <c r="E5" i="22085"/>
  <c r="BC4" i="22090"/>
  <c r="Q4" i="22089"/>
  <c r="F5" i="22091"/>
  <c r="BC6" i="22090"/>
  <c r="AQ4" i="22090"/>
  <c r="Y8" i="22089"/>
  <c r="AV4" i="22089"/>
  <c r="AU5" i="22088"/>
  <c r="H4" i="22088"/>
  <c r="U6" i="22087"/>
  <c r="G6" i="22085"/>
  <c r="AM4" i="22085"/>
  <c r="A1" i="22085"/>
  <c r="AN4" i="22086"/>
  <c r="AB5" i="22085"/>
  <c r="G4" i="22085"/>
  <c r="J5" i="22090"/>
  <c r="U5" i="22089"/>
  <c r="AU6" i="22087"/>
  <c r="BF4" i="22086"/>
  <c r="AZ5" i="22085"/>
  <c r="X4" i="22085"/>
  <c r="BD5" i="22090"/>
  <c r="K6" i="22089"/>
  <c r="Q5" i="22088"/>
  <c r="BA5" i="22087"/>
  <c r="M8" i="22086"/>
  <c r="BE4" i="22086"/>
  <c r="AU5" i="22085"/>
  <c r="W4" i="22085"/>
  <c r="F4" i="22091"/>
  <c r="H4" i="22090"/>
  <c r="G6" i="22088"/>
  <c r="V5" i="22087"/>
  <c r="U6" i="22085"/>
  <c r="D4" i="22091"/>
  <c r="F4" i="22089"/>
  <c r="K4" i="22088"/>
  <c r="AK8" i="22086" l="1"/>
</calcChain>
</file>

<file path=xl/sharedStrings.xml><?xml version="1.0" encoding="utf-8"?>
<sst xmlns="http://schemas.openxmlformats.org/spreadsheetml/2006/main" count="465" uniqueCount="204">
  <si>
    <t>Administrations publiques</t>
  </si>
  <si>
    <t>Construction</t>
  </si>
  <si>
    <t>Produit intérieur brut</t>
  </si>
  <si>
    <t xml:space="preserve"> </t>
  </si>
  <si>
    <t>Bruttoinlandprodukt</t>
  </si>
  <si>
    <t>Implicit chain price indexes, year-on-year growth rates</t>
  </si>
  <si>
    <t>deutsch</t>
  </si>
  <si>
    <t>français</t>
  </si>
  <si>
    <t>italiano</t>
  </si>
  <si>
    <t>english</t>
  </si>
  <si>
    <t>Jahr</t>
  </si>
  <si>
    <t>Quartal</t>
  </si>
  <si>
    <t>Année</t>
  </si>
  <si>
    <t>Trimestre</t>
  </si>
  <si>
    <t>Prodotto interno lordo</t>
  </si>
  <si>
    <t>Anno</t>
  </si>
  <si>
    <t>In Mio. Swiss Francs, at current prices, percentage change to previous year</t>
  </si>
  <si>
    <t>Year</t>
  </si>
  <si>
    <t>Quarter</t>
  </si>
  <si>
    <t>Indices des prix, variations en % par rapport de l'année précédente</t>
  </si>
  <si>
    <t>Contributions to real GDP-growth</t>
  </si>
  <si>
    <t>contributions à la croissance réelle du PIB</t>
  </si>
  <si>
    <t>Contributi alla crescita reale del PIL</t>
  </si>
  <si>
    <t>NA</t>
  </si>
  <si>
    <t>Gross domestic product</t>
  </si>
  <si>
    <t xml:space="preserve">                                                                                           Staatssekretariat für Wirtschaft SECO</t>
  </si>
  <si>
    <t xml:space="preserve">                                                                                           Secrétariat d'Etat à l'économie SECO</t>
  </si>
  <si>
    <t xml:space="preserve">                                                                                           Secretariat da stadi per l'economia SECO</t>
  </si>
  <si>
    <t xml:space="preserve">                                                                                           State Secretariat for Economic Affairs SECO</t>
  </si>
  <si>
    <t>Pages labelled at the end with "_q" contain quarterly data, pages with "_y" contain yearly figures.</t>
  </si>
  <si>
    <t>Seiten mit der Endbezeichnung "_q" enthalten Quartalszahlen, diejenigen mit "_y" Jahreszahlen.</t>
  </si>
  <si>
    <t>Les feuilles du présent fichier excel avec l'extension "_q" contiennent les résultats trimestriels, celles avec l'extension "_y" les résultats annuels.</t>
  </si>
  <si>
    <t>Le pagine contrassegnate alla fine con "_q" contengono dati trimestrali, le pagine con "_y" contengono dati annuali.</t>
  </si>
  <si>
    <t>Berichtigungen</t>
  </si>
  <si>
    <t>Bergbau und Gewinnung von Steinen und Erden</t>
  </si>
  <si>
    <t>Verarbeitendes Gewerbe/Herstellung  von Waren</t>
  </si>
  <si>
    <t>Baugewerbe/Bau</t>
  </si>
  <si>
    <t>Gastgewerbe und Beherbergung</t>
  </si>
  <si>
    <t xml:space="preserve">Öffentliche Verwaltung </t>
  </si>
  <si>
    <t>Erziehung und Unterricht</t>
  </si>
  <si>
    <t>Gesundheits- und Sozialwesen</t>
  </si>
  <si>
    <t>Private Haushalte als Arbeitgeber und Hersteller von Waren für den Eigenbedarf</t>
  </si>
  <si>
    <t>Gütersteuern</t>
  </si>
  <si>
    <t>Gütersubventionen</t>
  </si>
  <si>
    <t>Reale Wachstumsbeiträge zum Bruttoinlandprodukt</t>
  </si>
  <si>
    <t xml:space="preserve">Agriculture, sylviculture et pêche </t>
  </si>
  <si>
    <t>Industries extractives</t>
  </si>
  <si>
    <t>Industrie manufacturière</t>
  </si>
  <si>
    <t>Commerce; réparation d’automobiles</t>
  </si>
  <si>
    <t xml:space="preserve">Hébergement et restauration  </t>
  </si>
  <si>
    <t>Enseignement</t>
  </si>
  <si>
    <t>Santé humaine et activités sociales</t>
  </si>
  <si>
    <t>Impôts sur les produits</t>
  </si>
  <si>
    <t>Subventions sur les produits</t>
  </si>
  <si>
    <t>Agricoltura, silvicoltura e pesca</t>
  </si>
  <si>
    <t>Attività manifatturiere</t>
  </si>
  <si>
    <t>Costruzioni</t>
  </si>
  <si>
    <t>Commercio e riparazione di autoveicoli e motocicli</t>
  </si>
  <si>
    <t>Servizi di alloggio e di ristorazione</t>
  </si>
  <si>
    <t>Amministrazione pubblica</t>
  </si>
  <si>
    <t>Istruzione</t>
  </si>
  <si>
    <t>Sanità e assistenza sociali</t>
  </si>
  <si>
    <t>Imposte sui prodotti</t>
  </si>
  <si>
    <t xml:space="preserve">Agriculture, forestry and fishing </t>
  </si>
  <si>
    <t>Mining and quarrying</t>
  </si>
  <si>
    <t>Manufacturing</t>
  </si>
  <si>
    <t>Trade, repair of motor vehicles and motorcycles</t>
  </si>
  <si>
    <t>Accommodation and food service activities</t>
  </si>
  <si>
    <t>Public administration</t>
  </si>
  <si>
    <t>Education</t>
  </si>
  <si>
    <t>Taxes on products</t>
  </si>
  <si>
    <t>Ajustements</t>
  </si>
  <si>
    <t>Aggiustamenti</t>
  </si>
  <si>
    <t>Sovvenzioni ai prodotti</t>
  </si>
  <si>
    <t>Land-, Forstwirtschaft und Fischerei</t>
  </si>
  <si>
    <t>Activités des ménages en tant qu'employeurs et producteurs pour usage final propre</t>
  </si>
  <si>
    <t>Attività estrattive</t>
  </si>
  <si>
    <t>Attività immobiliari, scientifiche, e tecniche;  Attività  amministrative</t>
  </si>
  <si>
    <t>Attività delle economie domestiche in qualità di datori di lavoro e di prod. per uso proprio</t>
  </si>
  <si>
    <t>Human health and social work activities</t>
  </si>
  <si>
    <t>Activities of housholds as employers and producers for own use</t>
  </si>
  <si>
    <t>Subsidies on products</t>
  </si>
  <si>
    <t>En mio. de francs, aux prix courants, variations en % par rapport de l'année précédente</t>
  </si>
  <si>
    <t>In milioni di franchi, a prezzi correnti, variazione in % rispetto all'anno precedente</t>
  </si>
  <si>
    <t>Indici dei prezzi, variazione in % rispetto all'anno precedente</t>
  </si>
  <si>
    <r>
      <t xml:space="preserve">You may </t>
    </r>
    <r>
      <rPr>
        <b/>
        <sz val="10"/>
        <color indexed="10"/>
        <rFont val="Arial"/>
        <family val="2"/>
      </rPr>
      <t>choose the language</t>
    </r>
    <r>
      <rPr>
        <sz val="10"/>
        <rFont val="Arial"/>
        <family val="2"/>
      </rPr>
      <t xml:space="preserve"> to label the Swiss GDP and its production-side components in the dropdown-menu below.</t>
    </r>
  </si>
  <si>
    <r>
      <t xml:space="preserve">Sie können im Dropdown-Menu die </t>
    </r>
    <r>
      <rPr>
        <b/>
        <sz val="10"/>
        <color indexed="10"/>
        <rFont val="Arial"/>
        <family val="2"/>
      </rPr>
      <t>Sprache wählen</t>
    </r>
    <r>
      <rPr>
        <sz val="10"/>
        <rFont val="Arial"/>
        <family val="2"/>
      </rPr>
      <t>, im welcher Sie das BIP der Schweiz gemäss Produktionsseite beschriftet haben möchten.</t>
    </r>
  </si>
  <si>
    <r>
      <t xml:space="preserve">Vous pouvez </t>
    </r>
    <r>
      <rPr>
        <b/>
        <sz val="10"/>
        <color indexed="10"/>
        <rFont val="Arial"/>
        <family val="2"/>
      </rPr>
      <t>choisir</t>
    </r>
    <r>
      <rPr>
        <sz val="10"/>
        <rFont val="Arial"/>
        <family val="2"/>
      </rPr>
      <t xml:space="preserve"> ci-dessous </t>
    </r>
    <r>
      <rPr>
        <b/>
        <sz val="10"/>
        <color indexed="10"/>
        <rFont val="Arial"/>
        <family val="2"/>
      </rPr>
      <t>la langue</t>
    </r>
    <r>
      <rPr>
        <sz val="10"/>
        <rFont val="Arial"/>
        <family val="2"/>
      </rPr>
      <t xml:space="preserve"> avec laquelle vous souhaitez visualiser le PIB de la Suisse selon l'approche par la production.</t>
    </r>
  </si>
  <si>
    <r>
      <t xml:space="preserve">Potete </t>
    </r>
    <r>
      <rPr>
        <b/>
        <sz val="10"/>
        <color indexed="10"/>
        <rFont val="Arial"/>
        <family val="2"/>
      </rPr>
      <t>scegliere</t>
    </r>
    <r>
      <rPr>
        <sz val="10"/>
        <rFont val="Arial"/>
        <family val="2"/>
      </rPr>
      <t xml:space="preserve"> qui sotto in quale </t>
    </r>
    <r>
      <rPr>
        <b/>
        <sz val="10"/>
        <color indexed="10"/>
        <rFont val="Arial"/>
        <family val="2"/>
      </rPr>
      <t>lingua</t>
    </r>
    <r>
      <rPr>
        <sz val="10"/>
        <rFont val="Arial"/>
        <family val="2"/>
      </rPr>
      <t xml:space="preserve"> visualizzare il PIL della Svizzera secondo l'ottica della produzione.</t>
    </r>
  </si>
  <si>
    <t>Bruttowertschöpfung vor Berichtigungen</t>
  </si>
  <si>
    <t>Adjustments</t>
  </si>
  <si>
    <t>Valore aggiunto lordo prima degli aggiustamenti</t>
  </si>
  <si>
    <t>Valeur ajoutée brute avant ajustements</t>
  </si>
  <si>
    <t>Gross value added before adjustments</t>
  </si>
  <si>
    <t>Handel; Instandhaltung und Reparatur von Kraftfahrzeugen</t>
  </si>
  <si>
    <t xml:space="preserve">                                                                                           Segreteria di Stato dell’economia SECO</t>
  </si>
  <si>
    <t>NOGA 90-93</t>
  </si>
  <si>
    <t>Attività artistiche, di intrattenimento e divertimento</t>
  </si>
  <si>
    <t>In Mio. Franken, zu laufenden Preisen und Veränderungsraten in % gegenüber dem Vorjahr</t>
  </si>
  <si>
    <t>Implizite Preisindizes und Veränderungsraten in % gegenüber dem Vorjahr</t>
  </si>
  <si>
    <t>ESVG 2010, Jahresaggregate des Bruttoinlandproduktes, Produktionsansatz (BFS, SECO), saison-, kalender- und Sportevent-bereinigte Daten</t>
  </si>
  <si>
    <t>In Mio. Franken, zu laufenden Preisen und Veränderungsraten in % gegenüber dem Vorquartal</t>
  </si>
  <si>
    <t>Implizite Preisindizes und Veränderungsraten in % gegenüber dem Vorquartal</t>
  </si>
  <si>
    <t>SEC 2010, PIB annuel et ses composantes, approche par la production (OFS, SECO), données corrigées des effets saisonniers, calendaires ainsi que des effets liés aux grands événements sportifs</t>
  </si>
  <si>
    <t>En mio. de francs, aux prix courants, variations en % par rapport au trimestre précédent</t>
  </si>
  <si>
    <t>Indices des prix, variations en % par rapport au trimestre précédent</t>
  </si>
  <si>
    <t xml:space="preserve">Arts, spectacles et activités récréatives </t>
  </si>
  <si>
    <t>SEC 2010, Aggregati annuali dell'Prodotto Interno Lordo, ottica della produzione (UFS, SECO), dati depurati dagli effetti stagionali e di calendario così come dagli effetti legati ai grandi eventi sportivi</t>
  </si>
  <si>
    <t>In milioni di franchi, a prezzi correnti, variazione in % rispetto all trimestre precedente</t>
  </si>
  <si>
    <t>Indici dei prezzi, variazione in % rispetto all trimestre precedente</t>
  </si>
  <si>
    <t>ESA 2010, Annual aggregates of Gross Domestic Product, production approach (SFSO, SECO), seasonally, calendar and sport event adjusted data</t>
  </si>
  <si>
    <t>In Mio. Swiss Francs, at current prices, percentage change to previous quarter</t>
  </si>
  <si>
    <t>Implicit chain price indexes, percentage change to previous quarter</t>
  </si>
  <si>
    <t>NOGA 01-03</t>
  </si>
  <si>
    <t>NOGA 05-09</t>
  </si>
  <si>
    <t>NOGA 10-33</t>
  </si>
  <si>
    <t>NOGA 19-21</t>
  </si>
  <si>
    <t>NOGA 35</t>
  </si>
  <si>
    <t>NOGA 36-39</t>
  </si>
  <si>
    <t>NOGA 41-43</t>
  </si>
  <si>
    <t>NOGA 45-47</t>
  </si>
  <si>
    <t>NOGA 47</t>
  </si>
  <si>
    <t>NOGA 55-56</t>
  </si>
  <si>
    <t>NOGA 64</t>
  </si>
  <si>
    <t>NOGA 65</t>
  </si>
  <si>
    <t>NOGA 68-75; 77-82</t>
  </si>
  <si>
    <t>NOGA 84</t>
  </si>
  <si>
    <t>NOGA 85</t>
  </si>
  <si>
    <t>NOGA 86-88</t>
  </si>
  <si>
    <t>NOGA 94-96</t>
  </si>
  <si>
    <t>NOGA 97-98</t>
  </si>
  <si>
    <t>Energieversorgung</t>
  </si>
  <si>
    <t>Wasserversorgung, Abwasser- und Abfallentsorgung und Beseitigung von Umweltverschmutzung</t>
  </si>
  <si>
    <t xml:space="preserve">Kunst, Unterhaltung und Erholung </t>
  </si>
  <si>
    <t>Erbringung von sonstigen Dienstleistungen</t>
  </si>
  <si>
    <t>davon Chemie/Pharma</t>
  </si>
  <si>
    <t>davon Detailhandel</t>
  </si>
  <si>
    <t>Production et distribution d'électricité, de gaz, de vapeur et d'air conditionné</t>
  </si>
  <si>
    <t>Production et distribution d'eau; assainissement, gestion des déchets et depollution</t>
  </si>
  <si>
    <t>Autres activités de services</t>
  </si>
  <si>
    <t>dont chimie/pharma</t>
  </si>
  <si>
    <t>dont commerce de détail</t>
  </si>
  <si>
    <t>Fornitura di energia elettrica, gas, vapore e aria condizionata</t>
  </si>
  <si>
    <t>Fornitura di acqua; reti fognarie, attività di trattamento dei rifiuti e risanamento</t>
  </si>
  <si>
    <t>Altre attività di servizi</t>
  </si>
  <si>
    <t>di cui chimica e farmaceutica</t>
  </si>
  <si>
    <t>di cui commercio al dettaglio</t>
  </si>
  <si>
    <t>Electricity, gas, steam and air conditioning supply</t>
  </si>
  <si>
    <t>Water supply, sewerage, waste management and remediation activities</t>
  </si>
  <si>
    <t xml:space="preserve">Arts, entertainment and recreation </t>
  </si>
  <si>
    <t>Other service activities</t>
  </si>
  <si>
    <t>thereof chemicals and pharmaceuticals</t>
  </si>
  <si>
    <t>thereof retail trade</t>
  </si>
  <si>
    <t>ESVG 2010, Quartalsaggregate des Bruttoinlandprodukts, Produktionsansatz, saison-, kalender- und Sportevent-bereinigte Daten. Hintergrundinformationen zur Sportevent-Bereinigung sind in den Konjunkturtendenzen von Herbst 2022 sowie in der technischen Notiz vom 05.09.2022 unter www.seco.admin.ch zu finden.</t>
  </si>
  <si>
    <t>SEC 2010, PIB trimestriel et ses composantes, approche par la production, données corrigées des effets saisonniers, calendaires ainsi que des effets liés aux grands événements sportifs. Pour plus d’informations concernant la correction des effets des événements sportifs, voir les tendances conjoncturelles de l'automne 2022 ainsi que la note technique du 5 septembre 2022 disponible sous www.seco.admin.ch.</t>
  </si>
  <si>
    <t>SEC 2010, Aggregati trimestriali dell'Prodotto Interno Lordo, ottica della produzione, dati depurati dagli effetti stagionali e di calendario così come dagli effetti legati ai grandi eventi sportivi. Maggiori informazioni sulla correzione per gli effetti degli eventi sportivi sono disponibili nelle edizioni dall'autunno 2022 del trimestrale “tendences conjoncturelles” (disponibile in tedesco e in francese) così come nella nota tecnica del 5 settembre 2022 disponibile al sito www.seco.admin.ch</t>
  </si>
  <si>
    <t xml:space="preserve">ESA 2010, Quarterly aggregates of Gross Domestic Product, production approach, seasonally, calendar and sport event adjusted data. Background information on sport event adjustment can be found in the publication “Konjunkturtendenzen” (“Economic Trends”) from autumn 2022 and in the technical note from 5 September 2022 on the website www.seco.admin.ch. </t>
  </si>
  <si>
    <t>Pages labelled at the beginning with "nom" contain figures at current prices, pages with "real" contain values at prices of the preceding year (chained values, reference year 2020), pages with "defl" contain implicit price deflators and those with "gc" contain contributions to real GDP-growth.</t>
  </si>
  <si>
    <t>Seiten mit der Anfangsbezeichnung "nom" enthalten Werte zu laufenden Preisen, diejenigen mit "real" Werte zu Preisen des Vorjahres (verkettet, Referenzjahr 2020), diejenigen mit "defl" implizite Deflatoren und diejenigen mit "gc" Beiträge zum realen BIP-Wachstum.</t>
  </si>
  <si>
    <t>Les feuilles dénommées "nom" contiennent les résultats aux prix courants, celles dénommées "real" les résultats aux prix de l'année précédente (séries chaînées, année de référence 2020), celles dénommées "defl" les indices de prix implicites et celles dénommées "gc" les contributions à la croissance réelle du PIB.</t>
  </si>
  <si>
    <t>Le pagine contrassegnate all'inizio con "nom" contengono dati ai prezzi correnti, pagine con "real" contengono valori ai prezzi dell'anno precedente (serie concatenate, anno di riferimento 2020), pagine con "defl" contengono i deflatori impliciti, pagine con "gc" contengono i contributi alla crescita reale del PIL.</t>
  </si>
  <si>
    <t>In Mio. Franken, reale nicht additive Volumen (annual overlap, Referenzjahr 2020) und Veränderungsraten in % gegenüber dem Vorquartal</t>
  </si>
  <si>
    <t>In Mio. Franken, reale nicht additive Volumen (annual overlap, Referenzjahr 2020) und Veränderungsraten in % gegenüber dem Vorjahr</t>
  </si>
  <si>
    <t>En mio. de francs, aux prix de l'année précédente - séries chaînées ("annual overlap"), année de référence 2020, volumes non-additifs, variations en % par rapport au trimestre précédent</t>
  </si>
  <si>
    <t>En mio. de francs, aux prix de l'année précédente - séries chaînées ("annual overlap"), année de référence 2020, volumes non-additifs, variations en % par rapport de l'année précédente</t>
  </si>
  <si>
    <t>In milioni di franchi, ai prezzi dell'anno precedente, indici a catena, anno di referenza 2020, variazione in % rispetto all trimestre precedente</t>
  </si>
  <si>
    <t>In milioni di franchi, ai prezzi dell'anno precedente, indici a catena, anno di referenza 2020, variazione in % rispetto all'anno precedente</t>
  </si>
  <si>
    <t>In Mio. Swiss Francs, at prices of the preceding year, chained values ("annual overlap"), reference year 2020, percentage change to previous quarter</t>
  </si>
  <si>
    <t>In Mio. Swiss Francs, at prices of the preceding year, chained values, reference year 2020, percentage change to previous year</t>
  </si>
  <si>
    <t xml:space="preserve">davon sonstiges verarbeitendes Gewerbe </t>
  </si>
  <si>
    <t>dont autres industries manufacturières</t>
  </si>
  <si>
    <t xml:space="preserve">di cui altre attività manifatturiere </t>
  </si>
  <si>
    <t xml:space="preserve">thereof other manufacturing </t>
  </si>
  <si>
    <t>Verkehr und Lagerei</t>
  </si>
  <si>
    <t>Information und Kommunikation</t>
  </si>
  <si>
    <t>Transports et entreposage</t>
  </si>
  <si>
    <t>Information et communication</t>
  </si>
  <si>
    <t>Servizi di informazione e comunicazione</t>
  </si>
  <si>
    <t>Transportation and storage</t>
  </si>
  <si>
    <t>Information and communication</t>
  </si>
  <si>
    <t xml:space="preserve">Erbringung von Finanz- und Versicherungsdiensten </t>
  </si>
  <si>
    <t>davon Finanzdienste</t>
  </si>
  <si>
    <t>davon Versicherungsdienste</t>
  </si>
  <si>
    <t xml:space="preserve">Activités financières et d’assurance </t>
  </si>
  <si>
    <t>dont activités financières</t>
  </si>
  <si>
    <t>dont activités d’assurance</t>
  </si>
  <si>
    <t>Attività finanziarie e assicurative</t>
  </si>
  <si>
    <t xml:space="preserve">di cui attività finanziarie </t>
  </si>
  <si>
    <t>di cui attività assicurative</t>
  </si>
  <si>
    <t>Financial and insurance activities</t>
  </si>
  <si>
    <t>thereof financial activities</t>
  </si>
  <si>
    <t>thereof insurance activities</t>
  </si>
  <si>
    <t>Real estate, professional, scientific, technical activities and administrative services</t>
  </si>
  <si>
    <t>Activités immobilières, scientifiques, techniques et services administratifs</t>
  </si>
  <si>
    <t>Grundstück- u. Wohnungswesen; Freiberufl., wiss., tech., sonstige Dienste</t>
  </si>
  <si>
    <t>NOGA 10-18; 22-33</t>
  </si>
  <si>
    <t>NOGA 49-53</t>
  </si>
  <si>
    <t>NOGA 58-63</t>
  </si>
  <si>
    <t>NOGA 64-66</t>
  </si>
  <si>
    <t>D21</t>
  </si>
  <si>
    <t>D31</t>
  </si>
  <si>
    <t>B1GQ</t>
  </si>
  <si>
    <t>B1G</t>
  </si>
  <si>
    <t>Trasporto e magazzinaggio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</si>
</sst>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8" x14ac:knownFonts="1">
    <font>
      <sz val="8"/>
      <color rgb="FF000000"/>
      <name val="Arial"/>
    </font>
    <font>
      <sz val="10"/>
      <color rgb="FF000000"/>
      <name val="Arial"/>
      <family val="2"/>
    </font>
    <font>
      <sz val="8"/>
      <color rgb="FF000000"/>
      <name val="Arial"/>
      <family val="2"/>
    </font>
    <font>
      <b/>
      <sz val="12"/>
      <color rgb="FF000000"/>
      <name val="Arial"/>
      <family val="2"/>
    </font>
    <font>
      <b/>
      <sz val="8"/>
      <color rgb="FF000000"/>
      <name val="Arial"/>
      <family val="2"/>
    </font>
    <font>
      <sz val="8"/>
      <color rgb="FF0000FF"/>
      <name val="Arial"/>
      <family val="2"/>
    </font>
    <font>
      <b/>
      <sz val="10"/>
      <color indexed="10"/>
      <name val="Arial"/>
      <family val="2"/>
    </font>
    <font>
      <sz val="10"/>
      <name val="Arial"/>
      <family val="2"/>
    </font>
  </fonts>
  <fills count="2">
    <fill>
      <patternFill patternType="none"/>
    </fill>
    <fill>
      <patternFill patternType="gray125"/>
    </fill>
  </fills>
  <borders count="35">
    <border>
      <left/>
      <right/>
      <top/>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0"/>
      </bottom>
      <diagonal/>
    </border>
    <border>
      <left style="thin">
        <color theme="1"/>
      </left>
      <right style="thin">
        <color theme="1"/>
      </right>
      <top style="thin">
        <color theme="0"/>
      </top>
      <bottom style="thin">
        <color theme="1"/>
      </bottom>
      <diagonal/>
    </border>
    <border>
      <left style="thin">
        <color indexed="64"/>
      </left>
      <right/>
      <top style="thin">
        <color theme="0"/>
      </top>
      <bottom style="thin">
        <color rgb="FF0000FF"/>
      </bottom>
      <diagonal/>
    </border>
    <border>
      <left/>
      <right style="thin">
        <color theme="1"/>
      </right>
      <top style="thin">
        <color theme="0"/>
      </top>
      <bottom style="thin">
        <color rgb="FF0000FF"/>
      </bottom>
      <diagonal/>
    </border>
    <border>
      <left style="thin">
        <color rgb="FF0000FF"/>
      </left>
      <right/>
      <top style="thin">
        <color theme="0"/>
      </top>
      <bottom style="thin">
        <color rgb="FF0000FF"/>
      </bottom>
      <diagonal/>
    </border>
    <border>
      <left/>
      <right/>
      <top style="thin">
        <color theme="0"/>
      </top>
      <bottom style="thin">
        <color rgb="FF0000FF"/>
      </bottom>
      <diagonal/>
    </border>
    <border>
      <left style="thin">
        <color indexed="64"/>
      </left>
      <right/>
      <top/>
      <bottom/>
      <diagonal/>
    </border>
    <border>
      <left/>
      <right style="thin">
        <color theme="1"/>
      </right>
      <top/>
      <bottom/>
      <diagonal/>
    </border>
    <border>
      <left style="thin">
        <color indexed="64"/>
      </left>
      <right/>
      <top/>
      <bottom style="thin">
        <color theme="0"/>
      </bottom>
      <diagonal/>
    </border>
    <border>
      <left/>
      <right style="thin">
        <color theme="1"/>
      </right>
      <top/>
      <bottom style="thin">
        <color theme="0"/>
      </bottom>
      <diagonal/>
    </border>
    <border>
      <left style="thin">
        <color rgb="FF0000FF"/>
      </left>
      <right/>
      <top style="thin">
        <color theme="0"/>
      </top>
      <bottom/>
      <diagonal/>
    </border>
    <border>
      <left/>
      <right/>
      <top style="thin">
        <color theme="0"/>
      </top>
      <bottom/>
      <diagonal/>
    </border>
    <border>
      <left style="thin">
        <color rgb="FF0000FF"/>
      </left>
      <right/>
      <top/>
      <bottom/>
      <diagonal/>
    </border>
    <border>
      <left style="thin">
        <color rgb="FF0000FF"/>
      </left>
      <right/>
      <top/>
      <bottom style="thin">
        <color theme="0"/>
      </bottom>
      <diagonal/>
    </border>
    <border>
      <left/>
      <right/>
      <top/>
      <bottom style="thin">
        <color theme="0"/>
      </bottom>
      <diagonal/>
    </border>
    <border>
      <left style="thin">
        <color rgb="FF0000FF"/>
      </left>
      <right/>
      <top style="thin">
        <color indexed="64"/>
      </top>
      <bottom/>
      <diagonal/>
    </border>
    <border>
      <left/>
      <right/>
      <top style="thin">
        <color indexed="64"/>
      </top>
      <bottom/>
      <diagonal/>
    </border>
    <border>
      <left/>
      <right style="thin">
        <color rgb="FF0000FF"/>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theme="1"/>
      </left>
      <right/>
      <top style="thin">
        <color theme="1"/>
      </top>
      <bottom/>
      <diagonal/>
    </border>
    <border>
      <left style="thin">
        <color theme="1"/>
      </left>
      <right/>
      <top/>
      <bottom/>
      <diagonal/>
    </border>
    <border>
      <left/>
      <right/>
      <top/>
      <bottom style="thin">
        <color indexed="64"/>
      </bottom>
      <diagonal/>
    </border>
    <border>
      <left/>
      <right style="thin">
        <color theme="1"/>
      </right>
      <top style="thin">
        <color theme="1"/>
      </top>
      <bottom/>
      <diagonal/>
    </border>
    <border>
      <left/>
      <right/>
      <top style="thin">
        <color theme="1"/>
      </top>
      <bottom/>
      <diagonal/>
    </border>
    <border>
      <left/>
      <right/>
      <top/>
      <bottom style="thin">
        <color theme="1"/>
      </bottom>
      <diagonal/>
    </border>
    <border>
      <left/>
      <right style="thin">
        <color theme="1"/>
      </right>
      <top/>
      <bottom style="thin">
        <color theme="1"/>
      </bottom>
      <diagonal/>
    </border>
    <border>
      <left style="thin">
        <color theme="1"/>
      </left>
      <right/>
      <top/>
      <bottom style="thin">
        <color theme="0"/>
      </bottom>
      <diagonal/>
    </border>
    <border>
      <left style="thin">
        <color theme="1"/>
      </left>
      <right/>
      <top style="thin">
        <color theme="0"/>
      </top>
      <bottom style="thin">
        <color theme="1"/>
      </bottom>
      <diagonal/>
    </border>
    <border>
      <left/>
      <right style="thin">
        <color theme="1"/>
      </right>
      <top style="thin">
        <color theme="0"/>
      </top>
      <bottom style="thin">
        <color theme="1"/>
      </bottom>
      <diagonal/>
    </border>
    <border>
      <left/>
      <right style="thin">
        <color indexed="64"/>
      </right>
      <top/>
      <bottom style="thin">
        <color indexed="64"/>
      </bottom>
      <diagonal/>
    </border>
    <border>
      <left style="thin">
        <color indexed="64"/>
      </left>
      <right style="thin">
        <color indexed="64"/>
      </right>
      <top style="thin">
        <color theme="0"/>
      </top>
      <bottom style="thin">
        <color indexed="64"/>
      </bottom>
      <diagonal/>
    </border>
  </borders>
  <cellStyleXfs count="1">
    <xf numFmtId="0" fontId="0" fillId="0" borderId="0"/>
  </cellStyleXfs>
  <cellXfs count="70">
    <xf numFmtId="0" fontId="0" fillId="0" borderId="0" xfId="0"/>
    <xf numFmtId="0" fontId="1" fillId="0" borderId="0" xfId="0" applyFont="1" applyAlignment="1" applyProtection="1">
      <alignment vertical="top" wrapText="1"/>
      <protection hidden="1"/>
    </xf>
    <xf numFmtId="0" fontId="2" fillId="0" borderId="0" xfId="0" applyFont="1" applyAlignment="1" applyProtection="1">
      <alignment vertical="top"/>
      <protection hidden="1"/>
    </xf>
    <xf numFmtId="0" fontId="3" fillId="0" borderId="0" xfId="0" applyFont="1" applyProtection="1">
      <protection hidden="1"/>
    </xf>
    <xf numFmtId="0" fontId="2" fillId="0" borderId="0" xfId="0" applyFont="1" applyProtection="1">
      <protection hidden="1"/>
    </xf>
    <xf numFmtId="1" fontId="2" fillId="0" borderId="0" xfId="0" applyNumberFormat="1" applyFont="1" applyAlignment="1" applyProtection="1">
      <alignment vertical="top"/>
      <protection hidden="1"/>
    </xf>
    <xf numFmtId="0" fontId="4" fillId="0" borderId="0" xfId="0" applyFont="1" applyProtection="1">
      <protection hidden="1"/>
    </xf>
    <xf numFmtId="0" fontId="0" fillId="0" borderId="0" xfId="0" applyProtection="1">
      <protection hidden="1"/>
    </xf>
    <xf numFmtId="164" fontId="2" fillId="0" borderId="0" xfId="0" applyNumberFormat="1" applyFont="1" applyAlignment="1" applyProtection="1">
      <alignment vertical="top"/>
      <protection hidden="1"/>
    </xf>
    <xf numFmtId="3" fontId="0" fillId="0" borderId="0" xfId="0" applyNumberFormat="1" applyProtection="1">
      <protection hidden="1"/>
    </xf>
    <xf numFmtId="3" fontId="2" fillId="0" borderId="0" xfId="0" applyNumberFormat="1" applyFont="1" applyAlignment="1" applyProtection="1">
      <alignment vertical="top"/>
      <protection hidden="1"/>
    </xf>
    <xf numFmtId="165" fontId="2" fillId="0" borderId="0" xfId="0" applyNumberFormat="1" applyFont="1" applyAlignment="1" applyProtection="1">
      <alignment vertical="top"/>
      <protection hidden="1"/>
    </xf>
    <xf numFmtId="164" fontId="0" fillId="0" borderId="0" xfId="0" applyNumberFormat="1" applyProtection="1">
      <protection hidden="1"/>
    </xf>
    <xf numFmtId="10" fontId="0" fillId="0" borderId="0" xfId="0" applyNumberFormat="1" applyProtection="1">
      <protection hidden="1"/>
    </xf>
    <xf numFmtId="0" fontId="2" fillId="0" borderId="0" xfId="0" applyFont="1"/>
    <xf numFmtId="0" fontId="2" fillId="0" borderId="0" xfId="0" applyFont="1" applyProtection="1">
      <protection locked="0"/>
    </xf>
    <xf numFmtId="0" fontId="4" fillId="0" borderId="0" xfId="0" applyFont="1"/>
    <xf numFmtId="1" fontId="5" fillId="0" borderId="0" xfId="0" applyNumberFormat="1" applyFont="1"/>
    <xf numFmtId="3" fontId="0" fillId="0" borderId="0" xfId="0" applyNumberFormat="1"/>
    <xf numFmtId="165" fontId="5" fillId="0" borderId="0" xfId="0" applyNumberFormat="1" applyFont="1"/>
    <xf numFmtId="166" fontId="0" fillId="0" borderId="0" xfId="0" applyNumberFormat="1"/>
    <xf numFmtId="10" fontId="0" fillId="0" borderId="0" xfId="0" applyNumberFormat="1"/>
    <xf numFmtId="0" fontId="2" fillId="0" borderId="19" xfId="0" applyFont="1" applyBorder="1" applyAlignment="1" applyProtection="1">
      <alignment vertical="top" wrapText="1"/>
      <protection hidden="1"/>
    </xf>
    <xf numFmtId="0" fontId="2" fillId="0" borderId="22" xfId="0" applyFont="1" applyBorder="1" applyAlignment="1" applyProtection="1">
      <alignment vertical="top" wrapText="1"/>
      <protection hidden="1"/>
    </xf>
    <xf numFmtId="0" fontId="2" fillId="0" borderId="25" xfId="0" applyFont="1" applyBorder="1" applyAlignment="1" applyProtection="1">
      <alignment vertical="top" wrapText="1"/>
      <protection hidden="1"/>
    </xf>
    <xf numFmtId="0" fontId="2" fillId="0" borderId="33" xfId="0" applyFont="1" applyBorder="1" applyAlignment="1" applyProtection="1">
      <alignment vertical="top" wrapText="1"/>
      <protection hidden="1"/>
    </xf>
    <xf numFmtId="0" fontId="2" fillId="0" borderId="31" xfId="0" applyFont="1" applyBorder="1" applyAlignment="1" applyProtection="1">
      <alignment horizontal="left" vertical="top"/>
      <protection hidden="1"/>
    </xf>
    <xf numFmtId="0" fontId="2" fillId="0" borderId="32" xfId="0" applyFont="1" applyBorder="1" applyAlignment="1" applyProtection="1">
      <alignment horizontal="left" vertical="top"/>
      <protection hidden="1"/>
    </xf>
    <xf numFmtId="0" fontId="2" fillId="0" borderId="24" xfId="0" applyFont="1" applyBorder="1" applyAlignment="1" applyProtection="1">
      <alignment vertical="top" wrapText="1"/>
      <protection hidden="1"/>
    </xf>
    <xf numFmtId="0" fontId="2" fillId="0" borderId="10" xfId="0" applyFont="1" applyBorder="1" applyAlignment="1" applyProtection="1">
      <alignment vertical="top" wrapText="1"/>
      <protection hidden="1"/>
    </xf>
    <xf numFmtId="0" fontId="2" fillId="0" borderId="30" xfId="0" applyFont="1" applyBorder="1" applyAlignment="1" applyProtection="1">
      <alignment vertical="top" wrapText="1"/>
      <protection hidden="1"/>
    </xf>
    <xf numFmtId="0" fontId="2" fillId="0" borderId="12" xfId="0" applyFont="1" applyBorder="1" applyAlignment="1" applyProtection="1">
      <alignment vertical="top" wrapText="1"/>
      <protection hidden="1"/>
    </xf>
    <xf numFmtId="164" fontId="2" fillId="0" borderId="34" xfId="0" applyNumberFormat="1" applyFont="1" applyBorder="1" applyAlignment="1" applyProtection="1">
      <alignment horizontal="left" vertical="top"/>
      <protection hidden="1"/>
    </xf>
    <xf numFmtId="0" fontId="2" fillId="0" borderId="34" xfId="0" applyFont="1" applyBorder="1" applyAlignment="1" applyProtection="1">
      <alignment horizontal="left" vertical="top"/>
      <protection hidden="1"/>
    </xf>
    <xf numFmtId="164" fontId="2" fillId="0" borderId="4" xfId="0" applyNumberFormat="1" applyFont="1" applyBorder="1" applyAlignment="1" applyProtection="1">
      <alignment horizontal="left" vertical="top"/>
      <protection hidden="1"/>
    </xf>
    <xf numFmtId="0" fontId="2" fillId="0" borderId="4" xfId="0" applyFont="1" applyBorder="1" applyAlignment="1" applyProtection="1">
      <alignment horizontal="left" vertical="top"/>
      <protection hidden="1"/>
    </xf>
    <xf numFmtId="0" fontId="2" fillId="0" borderId="1" xfId="0" applyFont="1" applyBorder="1" applyAlignment="1" applyProtection="1">
      <alignment vertical="top" wrapText="1"/>
      <protection hidden="1"/>
    </xf>
    <xf numFmtId="0" fontId="2" fillId="0" borderId="23" xfId="0" applyFont="1" applyBorder="1" applyAlignment="1" applyProtection="1">
      <alignment vertical="top" wrapText="1"/>
      <protection hidden="1"/>
    </xf>
    <xf numFmtId="0" fontId="2" fillId="0" borderId="2" xfId="0" applyFont="1" applyBorder="1" applyAlignment="1" applyProtection="1">
      <alignment vertical="top" wrapText="1"/>
      <protection hidden="1"/>
    </xf>
    <xf numFmtId="0" fontId="2" fillId="0" borderId="2" xfId="0" applyFont="1" applyBorder="1" applyAlignment="1" applyProtection="1">
      <alignment vertical="top"/>
      <protection hidden="1"/>
    </xf>
    <xf numFmtId="0" fontId="2" fillId="0" borderId="3" xfId="0" applyFont="1" applyBorder="1" applyAlignment="1" applyProtection="1">
      <alignment vertical="top"/>
      <protection hidden="1"/>
    </xf>
    <xf numFmtId="0" fontId="2" fillId="0" borderId="26" xfId="0" applyFont="1" applyBorder="1" applyAlignment="1" applyProtection="1">
      <alignment vertical="top" wrapText="1"/>
      <protection hidden="1"/>
    </xf>
    <xf numFmtId="0" fontId="2" fillId="0" borderId="19" xfId="0" applyFont="1" applyBorder="1" applyAlignment="1" applyProtection="1">
      <alignment horizontal="center" vertical="top" wrapText="1"/>
      <protection hidden="1"/>
    </xf>
    <xf numFmtId="0" fontId="2" fillId="0" borderId="22" xfId="0" applyFont="1" applyBorder="1" applyAlignment="1" applyProtection="1">
      <alignment horizontal="center" vertical="top" wrapText="1"/>
      <protection hidden="1"/>
    </xf>
    <xf numFmtId="0" fontId="2" fillId="0" borderId="25" xfId="0" applyFont="1" applyBorder="1" applyAlignment="1" applyProtection="1">
      <alignment horizontal="center" vertical="top" wrapText="1"/>
      <protection hidden="1"/>
    </xf>
    <xf numFmtId="0" fontId="2" fillId="0" borderId="33" xfId="0" applyFont="1" applyBorder="1" applyAlignment="1" applyProtection="1">
      <alignment horizontal="center" vertical="top" wrapText="1"/>
      <protection hidden="1"/>
    </xf>
    <xf numFmtId="0" fontId="2" fillId="0" borderId="18" xfId="0" applyFont="1" applyBorder="1" applyAlignment="1" applyProtection="1">
      <alignment vertical="top"/>
      <protection hidden="1"/>
    </xf>
    <xf numFmtId="0" fontId="2" fillId="0" borderId="19" xfId="0" applyFont="1" applyBorder="1" applyAlignment="1" applyProtection="1">
      <alignment vertical="top"/>
      <protection hidden="1"/>
    </xf>
    <xf numFmtId="0" fontId="2" fillId="0" borderId="20" xfId="0" applyFont="1" applyBorder="1" applyAlignment="1" applyProtection="1">
      <alignment vertical="top"/>
      <protection hidden="1"/>
    </xf>
    <xf numFmtId="0" fontId="2" fillId="0" borderId="21" xfId="0" applyFont="1" applyBorder="1" applyAlignment="1" applyProtection="1">
      <alignment vertical="top"/>
      <protection hidden="1"/>
    </xf>
    <xf numFmtId="0" fontId="2" fillId="0" borderId="22" xfId="0" applyFont="1" applyBorder="1" applyAlignment="1" applyProtection="1">
      <alignment vertical="top"/>
      <protection hidden="1"/>
    </xf>
    <xf numFmtId="0" fontId="2" fillId="0" borderId="27" xfId="0" applyFont="1" applyBorder="1" applyAlignment="1" applyProtection="1">
      <alignment horizontal="center" vertical="top" wrapText="1"/>
      <protection hidden="1"/>
    </xf>
    <xf numFmtId="0" fontId="2" fillId="0" borderId="26" xfId="0" applyFont="1" applyBorder="1" applyAlignment="1" applyProtection="1">
      <alignment horizontal="center" vertical="top" wrapText="1"/>
      <protection hidden="1"/>
    </xf>
    <xf numFmtId="0" fontId="2" fillId="0" borderId="28" xfId="0" applyFont="1" applyBorder="1" applyAlignment="1" applyProtection="1">
      <alignment horizontal="center" vertical="top" wrapText="1"/>
      <protection hidden="1"/>
    </xf>
    <xf numFmtId="0" fontId="2" fillId="0" borderId="29" xfId="0" applyFont="1" applyBorder="1" applyAlignment="1" applyProtection="1">
      <alignment horizontal="center" vertical="top" wrapText="1"/>
      <protection hidden="1"/>
    </xf>
    <xf numFmtId="0" fontId="2" fillId="0" borderId="0" xfId="0" applyFont="1" applyAlignment="1" applyProtection="1">
      <alignment vertical="top"/>
      <protection hidden="1"/>
    </xf>
    <xf numFmtId="164" fontId="2" fillId="0" borderId="5" xfId="0" applyNumberFormat="1" applyFont="1" applyBorder="1" applyAlignment="1" applyProtection="1">
      <alignment horizontal="left" vertical="top"/>
      <protection hidden="1"/>
    </xf>
    <xf numFmtId="0" fontId="2" fillId="0" borderId="6" xfId="0" applyFont="1" applyBorder="1" applyAlignment="1" applyProtection="1">
      <alignment horizontal="left" vertical="top"/>
      <protection hidden="1"/>
    </xf>
    <xf numFmtId="164" fontId="2" fillId="0" borderId="7" xfId="0" applyNumberFormat="1" applyFont="1" applyBorder="1" applyAlignment="1" applyProtection="1">
      <alignment horizontal="left" vertical="top"/>
      <protection hidden="1"/>
    </xf>
    <xf numFmtId="0" fontId="2" fillId="0" borderId="8" xfId="0" applyFont="1" applyBorder="1" applyAlignment="1" applyProtection="1">
      <alignment horizontal="left" vertical="top"/>
      <protection hidden="1"/>
    </xf>
    <xf numFmtId="0" fontId="2" fillId="0" borderId="9" xfId="0" applyFont="1" applyBorder="1" applyAlignment="1" applyProtection="1">
      <alignment vertical="top" wrapText="1"/>
      <protection hidden="1"/>
    </xf>
    <xf numFmtId="0" fontId="2" fillId="0" borderId="9" xfId="0" applyFont="1" applyBorder="1" applyAlignment="1" applyProtection="1">
      <alignment vertical="top"/>
      <protection hidden="1"/>
    </xf>
    <xf numFmtId="0" fontId="2" fillId="0" borderId="10" xfId="0" applyFont="1" applyBorder="1" applyAlignment="1" applyProtection="1">
      <alignment vertical="top"/>
      <protection hidden="1"/>
    </xf>
    <xf numFmtId="0" fontId="2" fillId="0" borderId="11" xfId="0" applyFont="1" applyBorder="1" applyAlignment="1" applyProtection="1">
      <alignment vertical="top"/>
      <protection hidden="1"/>
    </xf>
    <xf numFmtId="0" fontId="2" fillId="0" borderId="12" xfId="0" applyFont="1" applyBorder="1" applyAlignment="1" applyProtection="1">
      <alignment vertical="top"/>
      <protection hidden="1"/>
    </xf>
    <xf numFmtId="0" fontId="2" fillId="0" borderId="13" xfId="0" applyFont="1" applyBorder="1" applyAlignment="1" applyProtection="1">
      <alignment vertical="top"/>
      <protection hidden="1"/>
    </xf>
    <xf numFmtId="0" fontId="2" fillId="0" borderId="14" xfId="0" applyFont="1" applyBorder="1" applyAlignment="1" applyProtection="1">
      <alignment vertical="top"/>
      <protection hidden="1"/>
    </xf>
    <xf numFmtId="0" fontId="2" fillId="0" borderId="15" xfId="0" applyFont="1" applyBorder="1" applyAlignment="1" applyProtection="1">
      <alignment vertical="top"/>
      <protection hidden="1"/>
    </xf>
    <xf numFmtId="0" fontId="2" fillId="0" borderId="16" xfId="0" applyFont="1" applyBorder="1" applyAlignment="1" applyProtection="1">
      <alignment vertical="top"/>
      <protection hidden="1"/>
    </xf>
    <xf numFmtId="0" fontId="2" fillId="0" borderId="17" xfId="0" applyFont="1" applyBorder="1" applyAlignment="1" applyProtection="1">
      <alignment vertical="top"/>
      <protection hidden="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trlProps/ctrlProp1.xml><?xml version="1.0" encoding="utf-8"?>
<formControlPr xmlns="http://schemas.microsoft.com/office/spreadsheetml/2009/9/main" objectType="Drop" dropLines="4" dropStyle="combo" dx="15" fmlaLink="beschriftung!$C$1" fmlaRange="beschriftung!$A$1:$A$4" noThreeD="1" sel="4"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3400425</xdr:colOff>
      <xdr:row>4</xdr:row>
      <xdr:rowOff>161925</xdr:rowOff>
    </xdr:to>
    <xdr:pic>
      <xdr:nvPicPr>
        <xdr:cNvPr id="4454" name="Picture 3">
          <a:extLst>
            <a:ext uri="{FF2B5EF4-FFF2-40B4-BE49-F238E27FC236}">
              <a16:creationId xmlns:a16="http://schemas.microsoft.com/office/drawing/2014/main" id="{00000000-0008-0000-0000-0000661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4004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0</xdr:col>
      <xdr:colOff>0</xdr:colOff>
      <xdr:row>0</xdr:row>
      <xdr:rowOff>0</xdr:rowOff>
    </xdr:from>
    <xdr:to>
      <xdr:col>0</xdr:col>
      <xdr:colOff>3400425</xdr:colOff>
      <xdr:row>4</xdr:row>
      <xdr:rowOff>161925</xdr:rowOff>
    </xdr:to>
    <xdr:pic>
      <xdr:nvPicPr>
        <xdr:cNvPr id="4455" name="Picture 4">
          <a:extLst>
            <a:ext uri="{FF2B5EF4-FFF2-40B4-BE49-F238E27FC236}">
              <a16:creationId xmlns:a16="http://schemas.microsoft.com/office/drawing/2014/main" id="{00000000-0008-0000-0000-0000671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4004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0</xdr:col>
      <xdr:colOff>0</xdr:colOff>
      <xdr:row>24</xdr:row>
      <xdr:rowOff>0</xdr:rowOff>
    </xdr:from>
    <xdr:to>
      <xdr:col>0</xdr:col>
      <xdr:colOff>1076325</xdr:colOff>
      <xdr:row>25</xdr:row>
      <xdr:rowOff>57150</xdr:rowOff>
    </xdr:to>
    <xdr:sp macro="" textlink="">
      <xdr:nvSpPr>
        <xdr:cNvPr id="4097" name="Drop Down 1" hidden="1">
          <a:extLst>
            <a:ext uri="{63B3BB69-23CF-44E3-9099-C40C66FF867C}">
              <a14:compatExt xmlns:a14="http://schemas.microsoft.com/office/drawing/2010/main" spid="_x0000_s4097"/>
            </a:ext>
            <a:ext uri="{FF2B5EF4-FFF2-40B4-BE49-F238E27FC236}">
              <a16:creationId xmlns:a16="http://schemas.microsoft.com/office/drawing/2014/main" id="{00000000-0008-0000-0000-00000110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editAs="oneCell">
        <xdr:from>
          <xdr:col>0</xdr:col>
          <xdr:colOff>0</xdr:colOff>
          <xdr:row>24</xdr:row>
          <xdr:rowOff>0</xdr:rowOff>
        </xdr:from>
        <xdr:to>
          <xdr:col>0</xdr:col>
          <xdr:colOff>1435100</xdr:colOff>
          <xdr:row>25</xdr:row>
          <xdr:rowOff>76200</xdr:rowOff>
        </xdr:to>
        <xdr:sp macro="" textlink="">
          <xdr:nvSpPr>
            <xdr:cNvPr id="2" name="Drop Down 1025" hidden="1">
              <a:extLst>
                <a:ext uri="{63B3BB69-23CF-44E3-9099-C40C66FF867C}">
                  <a14:compatExt spid="_x0000_s4097"/>
                </a:ext>
                <a:ext uri="{FF2B5EF4-FFF2-40B4-BE49-F238E27FC236}">
                  <a16:creationId xmlns:a16="http://schemas.microsoft.com/office/drawing/2014/main" id="{B12FCA96-FE3C-5957-6114-5903C46E637C}"/>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le02">
    <pageSetUpPr fitToPage="1"/>
  </sheetPr>
  <dimension ref="A1:A26"/>
  <sheetViews>
    <sheetView showGridLines="0" showRowColHeaders="0" tabSelected="1" workbookViewId="0">
      <selection activeCell="A24" sqref="A24"/>
    </sheetView>
  </sheetViews>
  <sheetFormatPr baseColWidth="10" defaultRowHeight="11" x14ac:dyDescent="0.15"/>
  <cols>
    <col min="1" max="1" width="150.75" customWidth="1"/>
  </cols>
  <sheetData>
    <row r="1" spans="1:1" ht="15.75" customHeight="1" x14ac:dyDescent="0.2">
      <c r="A1" s="3"/>
    </row>
    <row r="2" spans="1:1" ht="15.75" customHeight="1" x14ac:dyDescent="0.2">
      <c r="A2" s="3" t="s">
        <v>25</v>
      </c>
    </row>
    <row r="3" spans="1:1" ht="15.75" customHeight="1" x14ac:dyDescent="0.2">
      <c r="A3" s="3" t="s">
        <v>26</v>
      </c>
    </row>
    <row r="4" spans="1:1" ht="15.75" customHeight="1" x14ac:dyDescent="0.2">
      <c r="A4" s="3" t="s">
        <v>95</v>
      </c>
    </row>
    <row r="5" spans="1:1" ht="15.75" customHeight="1" x14ac:dyDescent="0.2">
      <c r="A5" s="3" t="s">
        <v>27</v>
      </c>
    </row>
    <row r="6" spans="1:1" ht="15.75" customHeight="1" x14ac:dyDescent="0.2">
      <c r="A6" s="3" t="s">
        <v>28</v>
      </c>
    </row>
    <row r="7" spans="1:1" x14ac:dyDescent="0.15">
      <c r="A7" s="4"/>
    </row>
    <row r="8" spans="1:1" ht="12.75" customHeight="1" x14ac:dyDescent="0.15">
      <c r="A8" s="1" t="s">
        <v>85</v>
      </c>
    </row>
    <row r="9" spans="1:1" ht="12.75" customHeight="1" x14ac:dyDescent="0.15">
      <c r="A9" s="1" t="s">
        <v>29</v>
      </c>
    </row>
    <row r="10" spans="1:1" ht="25.5" customHeight="1" x14ac:dyDescent="0.15">
      <c r="A10" s="1" t="s">
        <v>157</v>
      </c>
    </row>
    <row r="11" spans="1:1" x14ac:dyDescent="0.15">
      <c r="A11" s="2"/>
    </row>
    <row r="12" spans="1:1" ht="12.75" customHeight="1" x14ac:dyDescent="0.15">
      <c r="A12" s="1" t="s">
        <v>86</v>
      </c>
    </row>
    <row r="13" spans="1:1" ht="12.75" customHeight="1" x14ac:dyDescent="0.15">
      <c r="A13" s="1" t="s">
        <v>30</v>
      </c>
    </row>
    <row r="14" spans="1:1" ht="25.5" customHeight="1" x14ac:dyDescent="0.15">
      <c r="A14" s="1" t="s">
        <v>158</v>
      </c>
    </row>
    <row r="15" spans="1:1" x14ac:dyDescent="0.15">
      <c r="A15" s="2"/>
    </row>
    <row r="16" spans="1:1" ht="12.75" customHeight="1" x14ac:dyDescent="0.15">
      <c r="A16" s="1" t="s">
        <v>87</v>
      </c>
    </row>
    <row r="17" spans="1:1" ht="12.75" customHeight="1" x14ac:dyDescent="0.15">
      <c r="A17" s="1" t="s">
        <v>31</v>
      </c>
    </row>
    <row r="18" spans="1:1" ht="38.25" customHeight="1" x14ac:dyDescent="0.15">
      <c r="A18" s="1" t="s">
        <v>159</v>
      </c>
    </row>
    <row r="19" spans="1:1" x14ac:dyDescent="0.15">
      <c r="A19" s="2"/>
    </row>
    <row r="20" spans="1:1" ht="12.75" customHeight="1" x14ac:dyDescent="0.15">
      <c r="A20" s="1" t="s">
        <v>88</v>
      </c>
    </row>
    <row r="21" spans="1:1" ht="12.75" customHeight="1" x14ac:dyDescent="0.15">
      <c r="A21" s="1" t="s">
        <v>32</v>
      </c>
    </row>
    <row r="22" spans="1:1" ht="38.25" customHeight="1" x14ac:dyDescent="0.15">
      <c r="A22" s="1" t="s">
        <v>160</v>
      </c>
    </row>
    <row r="23" spans="1:1" x14ac:dyDescent="0.15">
      <c r="A23" s="4"/>
    </row>
    <row r="24" spans="1:1" x14ac:dyDescent="0.15">
      <c r="A24" s="4"/>
    </row>
    <row r="25" spans="1:1" x14ac:dyDescent="0.15">
      <c r="A25" s="4"/>
    </row>
    <row r="26" spans="1:1" x14ac:dyDescent="0.15">
      <c r="A26" s="4"/>
    </row>
  </sheetData>
  <pageMargins left="0.78740157480314965" right="0.78740157480314965" top="0.98425196850393704" bottom="0.98425196850393704" header="0.51181102362204722" footer="0.51181102362204722"/>
  <pageSetup paperSize="9" orientation="landscape"/>
  <drawing r:id="rId1"/>
  <legacyDrawing r:id="rId2"/>
  <mc:AlternateContent xmlns:mc="http://schemas.openxmlformats.org/markup-compatibility/2006">
    <mc:Choice Requires="x14">
      <controls>
        <mc:AlternateContent xmlns:mc="http://schemas.openxmlformats.org/markup-compatibility/2006">
          <mc:Choice Requires="x14">
            <control shapeId="2" r:id="rId3" name="Drop Down 1025">
              <controlPr defaultSize="0" autoLine="0" autoPict="0">
                <anchor moveWithCells="1">
                  <from>
                    <xdr:col>0</xdr:col>
                    <xdr:colOff>0</xdr:colOff>
                    <xdr:row>24</xdr:row>
                    <xdr:rowOff>0</xdr:rowOff>
                  </from>
                  <to>
                    <xdr:col>0</xdr:col>
                    <xdr:colOff>1435100</xdr:colOff>
                    <xdr:row>25</xdr:row>
                    <xdr:rowOff>76200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le03"/>
  <dimension ref="A1:BH198"/>
  <sheetViews>
    <sheetView showGridLines="0" zoomScaleNormal="100" workbookViewId="0">
      <pane xSplit="2" ySplit="11" topLeftCell="C12" activePane="bottomRight" state="frozen"/>
      <selection pane="topRight"/>
      <selection pane="bottomLeft"/>
      <selection pane="bottomRight" activeCell="AG1" sqref="AG1:AH1048576"/>
    </sheetView>
  </sheetViews>
  <sheetFormatPr baseColWidth="10" defaultRowHeight="11" x14ac:dyDescent="0.15"/>
  <cols>
    <col min="1" max="1" width="9.75" customWidth="1"/>
    <col min="2" max="2" width="2.75" customWidth="1"/>
    <col min="3" max="60" width="9.75" customWidth="1"/>
  </cols>
  <sheetData>
    <row r="1" spans="1:60" ht="11.25" customHeight="1" x14ac:dyDescent="0.15">
      <c r="A1" s="6" t="str">
        <f ca="1">INDIRECT("beschriftung!"&amp;ADDRESS(beschriftung!$C$1*12+ROW(beschriftung!$A1)-1,COLUMN(beschriftung!A$1)))</f>
        <v xml:space="preserve">ESA 2010, Quarterly aggregates of Gross Domestic Product, production approach, seasonally, calendar and sport event adjusted data. Background information on sport event adjustment can be found in the publication “Konjunkturtendenzen” (“Economic Trends”) from autumn 2022 and in the technical note from 5 September 2022 on the website www.seco.admin.ch. </v>
      </c>
      <c r="C1" s="9"/>
      <c r="E1" s="9"/>
    </row>
    <row r="2" spans="1:60" ht="11.25" customHeight="1" x14ac:dyDescent="0.15">
      <c r="A2" s="7" t="str">
        <f ca="1">INDIRECT("beschriftung!"&amp;ADDRESS(beschriftung!$C$1*12+ROW(beschriftung!$A2)-1,COLUMN(beschriftung!A$1)))</f>
        <v>In Mio. Swiss Francs, at current prices, percentage change to previous quarter</v>
      </c>
      <c r="C2" s="9"/>
      <c r="E2" s="9"/>
    </row>
    <row r="3" spans="1:60" ht="11.25" customHeight="1" x14ac:dyDescent="0.15">
      <c r="C3" s="9"/>
      <c r="E3" s="9"/>
    </row>
    <row r="4" spans="1:60" ht="11.25" customHeight="1" x14ac:dyDescent="0.15">
      <c r="A4" s="5"/>
      <c r="C4" s="46" t="str">
        <f ca="1">INDIRECT("beschriftung!"&amp;ADDRESS(beschriftung!$C$1*12+ROW(beschriftung!$A5)-1,COLUMN(beschriftung!C$1)))</f>
        <v>Gross domestic product</v>
      </c>
      <c r="D4" s="47" t="e">
        <f ca="1">IF(INDIRECT("beschriftung.!"&amp;ADDRESS(#REF!*12+ROW($A5)-1,COLUMN(D$1)))="","",INDIRECT("beschriftung.!"&amp;ADDRESS(#REF!*12+ROW($A5)-1,COLUMN(D$1))))</f>
        <v>#REF!</v>
      </c>
      <c r="E4" s="47" t="e">
        <f ca="1">IF(INDIRECT("beschriftung.!"&amp;ADDRESS(#REF!*12+ROW($A5)-1,COLUMN(E$1)))="","",INDIRECT("beschriftung.!"&amp;ADDRESS(#REF!*12+ROW($A5)-1,COLUMN(E$1))))</f>
        <v>#REF!</v>
      </c>
      <c r="F4" s="47" t="e">
        <f ca="1">IF(INDIRECT("beschriftung.!"&amp;ADDRESS(#REF!*12+ROW($A5)-1,COLUMN(F$1)))="","",INDIRECT("beschriftung.!"&amp;ADDRESS(#REF!*12+ROW($A5)-1,COLUMN(F$1))))</f>
        <v>#REF!</v>
      </c>
      <c r="G4" s="47" t="e">
        <f ca="1">IF(INDIRECT("beschriftung.!"&amp;ADDRESS(#REF!*12+ROW($A5)-1,COLUMN(G$1)))="","",INDIRECT("beschriftung.!"&amp;ADDRESS(#REF!*12+ROW($A5)-1,COLUMN(G$1))))</f>
        <v>#REF!</v>
      </c>
      <c r="H4" s="47" t="e">
        <f ca="1">IF(INDIRECT("beschriftung.!"&amp;ADDRESS(#REF!*12+ROW($A5)-1,COLUMN(H$1)))="","",INDIRECT("beschriftung.!"&amp;ADDRESS(#REF!*12+ROW($A5)-1,COLUMN(H$1))))</f>
        <v>#REF!</v>
      </c>
      <c r="I4" s="47" t="e">
        <f ca="1">IF(INDIRECT("beschriftung.!"&amp;ADDRESS(#REF!*12+ROW($A5)-1,COLUMN(I$1)))="","",INDIRECT("beschriftung.!"&amp;ADDRESS(#REF!*12+ROW($A5)-1,COLUMN(I$1))))</f>
        <v>#REF!</v>
      </c>
      <c r="J4" s="47" t="e">
        <f ca="1">IF(INDIRECT("beschriftung.!"&amp;ADDRESS(#REF!*12+ROW($A5)-1,COLUMN(J$1)))="","",INDIRECT("beschriftung.!"&amp;ADDRESS(#REF!*12+ROW($A5)-1,COLUMN(J$1))))</f>
        <v>#REF!</v>
      </c>
      <c r="K4" s="47" t="e">
        <f ca="1">IF(INDIRECT("beschriftung.!"&amp;ADDRESS(#REF!*12+ROW($A5)-1,COLUMN(K$1)))="","",INDIRECT("beschriftung.!"&amp;ADDRESS(#REF!*12+ROW($A5)-1,COLUMN(K$1))))</f>
        <v>#REF!</v>
      </c>
      <c r="L4" s="47" t="e">
        <f ca="1">IF(INDIRECT("beschriftung.!"&amp;ADDRESS(#REF!*12+ROW($A5)-1,COLUMN(L$1)))="","",INDIRECT("beschriftung.!"&amp;ADDRESS(#REF!*12+ROW($A5)-1,COLUMN(L$1))))</f>
        <v>#REF!</v>
      </c>
      <c r="M4" s="47"/>
      <c r="N4" s="47"/>
      <c r="O4" s="47"/>
      <c r="P4" s="47"/>
      <c r="Q4" s="47" t="e">
        <f ca="1">IF(INDIRECT("beschriftung.!"&amp;ADDRESS(#REF!*12+ROW($A5)-1,COLUMN(Q$1)))="","",INDIRECT("beschriftung.!"&amp;ADDRESS(#REF!*12+ROW($A5)-1,COLUMN(Q$1))))</f>
        <v>#REF!</v>
      </c>
      <c r="R4" s="47" t="e">
        <f ca="1">IF(INDIRECT("beschriftung.!"&amp;ADDRESS(#REF!*12+ROW($A5)-1,COLUMN(R$1)))="","",INDIRECT("beschriftung.!"&amp;ADDRESS(#REF!*12+ROW($A5)-1,COLUMN(R$1))))</f>
        <v>#REF!</v>
      </c>
      <c r="S4" s="47"/>
      <c r="T4" s="47"/>
      <c r="U4" s="47" t="e">
        <f ca="1">IF(INDIRECT("beschriftung.!"&amp;ADDRESS(#REF!*12+ROW($A5)-1,COLUMN(U$1)))="","",INDIRECT("beschriftung.!"&amp;ADDRESS(#REF!*12+ROW($A5)-1,COLUMN(U$1))))</f>
        <v>#REF!</v>
      </c>
      <c r="V4" s="47" t="e">
        <f ca="1">IF(INDIRECT("beschriftung.!"&amp;ADDRESS(#REF!*12+ROW($A5)-1,COLUMN(V$1)))="","",INDIRECT("beschriftung.!"&amp;ADDRESS(#REF!*12+ROW($A5)-1,COLUMN(V$1))))</f>
        <v>#REF!</v>
      </c>
      <c r="W4" s="47" t="e">
        <f ca="1">IF(INDIRECT("beschriftung.!"&amp;ADDRESS(#REF!*12+ROW($A5)-1,COLUMN(W$1)))="","",INDIRECT("beschriftung.!"&amp;ADDRESS(#REF!*12+ROW($A5)-1,COLUMN(W$1))))</f>
        <v>#REF!</v>
      </c>
      <c r="X4" s="47" t="e">
        <f ca="1">IF(INDIRECT("beschriftung.!"&amp;ADDRESS(#REF!*12+ROW($A5)-1,COLUMN(X$1)))="","",INDIRECT("beschriftung.!"&amp;ADDRESS(#REF!*12+ROW($A5)-1,COLUMN(X$1))))</f>
        <v>#REF!</v>
      </c>
      <c r="Y4" s="47"/>
      <c r="Z4" s="47"/>
      <c r="AA4" s="47" t="e">
        <f ca="1">IF(INDIRECT("beschriftung.!"&amp;ADDRESS(#REF!*12+ROW($A5)-1,COLUMN(AA$1)))="","",INDIRECT("beschriftung.!"&amp;ADDRESS(#REF!*12+ROW($A5)-1,COLUMN(AA$1))))</f>
        <v>#REF!</v>
      </c>
      <c r="AB4" s="47" t="e">
        <f ca="1">IF(INDIRECT("beschriftung.!"&amp;ADDRESS(#REF!*12+ROW($A5)-1,COLUMN(AB$1)))="","",INDIRECT("beschriftung.!"&amp;ADDRESS(#REF!*12+ROW($A5)-1,COLUMN(AB$1))))</f>
        <v>#REF!</v>
      </c>
      <c r="AC4" s="47"/>
      <c r="AD4" s="47"/>
      <c r="AE4" s="47"/>
      <c r="AF4" s="47"/>
      <c r="AG4" s="47" t="e">
        <f ca="1">IF(INDIRECT("beschriftung.!"&amp;ADDRESS(#REF!*12+ROW($A5)-1,COLUMN(AG$1)))="","",INDIRECT("beschriftung.!"&amp;ADDRESS(#REF!*12+ROW($A5)-1,COLUMN(AG$1))))</f>
        <v>#REF!</v>
      </c>
      <c r="AH4" s="47" t="e">
        <f ca="1">IF(INDIRECT("beschriftung.!"&amp;ADDRESS(#REF!*12+ROW($A5)-1,COLUMN(AH$1)))="","",INDIRECT("beschriftung.!"&amp;ADDRESS(#REF!*12+ROW($A5)-1,COLUMN(AH$1))))</f>
        <v>#REF!</v>
      </c>
      <c r="AI4" s="47" t="e">
        <f ca="1">IF(INDIRECT("beschriftung.!"&amp;ADDRESS(#REF!*12+ROW($A5)-1,COLUMN(AI$1)))="","",INDIRECT("beschriftung.!"&amp;ADDRESS(#REF!*12+ROW($A5)-1,COLUMN(AI$1))))</f>
        <v>#REF!</v>
      </c>
      <c r="AJ4" s="47" t="e">
        <f ca="1">IF(INDIRECT("beschriftung.!"&amp;ADDRESS(#REF!*12+ROW($A5)-1,COLUMN(AJ$1)))="","",INDIRECT("beschriftung.!"&amp;ADDRESS(#REF!*12+ROW($A5)-1,COLUMN(AJ$1))))</f>
        <v>#REF!</v>
      </c>
      <c r="AK4" s="47"/>
      <c r="AL4" s="47"/>
      <c r="AM4" s="47" t="e">
        <f ca="1">IF(INDIRECT("beschriftung.!"&amp;ADDRESS(#REF!*12+ROW($A5)-1,COLUMN(AM$1)))="","",INDIRECT("beschriftung.!"&amp;ADDRESS(#REF!*12+ROW($A5)-1,COLUMN(AM$1))))</f>
        <v>#REF!</v>
      </c>
      <c r="AN4" s="47" t="e">
        <f ca="1">IF(INDIRECT("beschriftung.!"&amp;ADDRESS(#REF!*12+ROW($A5)-1,COLUMN(AN$1)))="","",INDIRECT("beschriftung.!"&amp;ADDRESS(#REF!*12+ROW($A5)-1,COLUMN(AN$1))))</f>
        <v>#REF!</v>
      </c>
      <c r="AO4" s="47" t="e">
        <f ca="1">IF(INDIRECT("beschriftung.!"&amp;ADDRESS(#REF!*12+ROW($A5)-1,COLUMN(AO$1)))="","",INDIRECT("beschriftung.!"&amp;ADDRESS(#REF!*12+ROW($A5)-1,COLUMN(AO$1))))</f>
        <v>#REF!</v>
      </c>
      <c r="AP4" s="47" t="e">
        <f ca="1">IF(INDIRECT("beschriftung.!"&amp;ADDRESS(#REF!*12+ROW($A5)-1,COLUMN(AP$1)))="","",INDIRECT("beschriftung.!"&amp;ADDRESS(#REF!*12+ROW($A5)-1,COLUMN(AP$1))))</f>
        <v>#REF!</v>
      </c>
      <c r="AQ4" s="47" t="e">
        <f ca="1">IF(INDIRECT("beschriftung.!"&amp;ADDRESS(#REF!*12+ROW($A5)-1,COLUMN(AQ$1)))="","",INDIRECT("beschriftung.!"&amp;ADDRESS(#REF!*12+ROW($A5)-1,COLUMN(AQ$1))))</f>
        <v>#REF!</v>
      </c>
      <c r="AR4" s="47" t="e">
        <f ca="1">IF(INDIRECT("beschriftung.!"&amp;ADDRESS(#REF!*12+ROW($A5)-1,COLUMN(AR$1)))="","",INDIRECT("beschriftung.!"&amp;ADDRESS(#REF!*12+ROW($A5)-1,COLUMN(AR$1))))</f>
        <v>#REF!</v>
      </c>
      <c r="AS4" s="47" t="e">
        <f ca="1">IF(INDIRECT("beschriftung.!"&amp;ADDRESS(#REF!*12+ROW($A5)-1,COLUMN(AS$1)))="","",INDIRECT("beschriftung.!"&amp;ADDRESS(#REF!*12+ROW($A5)-1,COLUMN(AS$1))))</f>
        <v>#REF!</v>
      </c>
      <c r="AT4" s="47" t="e">
        <f ca="1">IF(INDIRECT("beschriftung.!"&amp;ADDRESS(#REF!*12+ROW($A5)-1,COLUMN(AT$1)))="","",INDIRECT("beschriftung.!"&amp;ADDRESS(#REF!*12+ROW($A5)-1,COLUMN(AT$1))))</f>
        <v>#REF!</v>
      </c>
      <c r="AU4" s="47" t="e">
        <f ca="1">IF(INDIRECT("beschriftung.!"&amp;ADDRESS(#REF!*12+ROW($A5)-1,COLUMN(AU$1)))="","",INDIRECT("beschriftung.!"&amp;ADDRESS(#REF!*12+ROW($A5)-1,COLUMN(AU$1))))</f>
        <v>#REF!</v>
      </c>
      <c r="AV4" s="47" t="e">
        <f ca="1">IF(INDIRECT("beschriftung.!"&amp;ADDRESS(#REF!*12+ROW($A5)-1,COLUMN(AV$1)))="","",INDIRECT("beschriftung.!"&amp;ADDRESS(#REF!*12+ROW($A5)-1,COLUMN(AV$1))))</f>
        <v>#REF!</v>
      </c>
      <c r="AW4" s="47"/>
      <c r="AX4" s="47"/>
      <c r="AY4" s="47" t="e">
        <f ca="1">IF(INDIRECT("beschriftung.!"&amp;ADDRESS(#REF!*12+ROW($A5)-1,COLUMN(AY$1)))="","",INDIRECT("beschriftung.!"&amp;ADDRESS(#REF!*12+ROW($A5)-1,COLUMN(AY$1))))</f>
        <v>#REF!</v>
      </c>
      <c r="AZ4" s="47" t="e">
        <f ca="1">IF(INDIRECT("beschriftung.!"&amp;ADDRESS(#REF!*12+ROW($A5)-1,COLUMN(AZ$1)))="","",INDIRECT("beschriftung.!"&amp;ADDRESS(#REF!*12+ROW($A5)-1,COLUMN(AZ$1))))</f>
        <v>#REF!</v>
      </c>
      <c r="BA4" s="47" t="e">
        <f ca="1">IF(INDIRECT("beschriftung.!"&amp;ADDRESS(#REF!*12+ROW($A5)-1,COLUMN(BA$1)))="","",INDIRECT("beschriftung.!"&amp;ADDRESS(#REF!*12+ROW($A5)-1,COLUMN(BA$1))))</f>
        <v>#REF!</v>
      </c>
      <c r="BB4" s="47" t="e">
        <f ca="1">IF(INDIRECT("beschriftung.!"&amp;ADDRESS(#REF!*12+ROW($A5)-1,COLUMN(BB$1)))="","",INDIRECT("beschriftung.!"&amp;ADDRESS(#REF!*12+ROW($A5)-1,COLUMN(BB$1))))</f>
        <v>#REF!</v>
      </c>
      <c r="BC4" s="47" t="e">
        <f ca="1">IF(INDIRECT("beschriftung.!"&amp;ADDRESS(#REF!*12+ROW($A5)-1,COLUMN(BC$1)))="","",INDIRECT("beschriftung.!"&amp;ADDRESS(#REF!*12+ROW($A5)-1,COLUMN(BC$1))))</f>
        <v>#REF!</v>
      </c>
      <c r="BD4" s="47" t="e">
        <f ca="1">IF(INDIRECT("beschriftung.!"&amp;ADDRESS(#REF!*12+ROW($A5)-1,COLUMN(BD$1)))="","",INDIRECT("beschriftung.!"&amp;ADDRESS(#REF!*12+ROW($A5)-1,COLUMN(BD$1))))</f>
        <v>#REF!</v>
      </c>
      <c r="BE4" s="47" t="e">
        <f ca="1">IF(INDIRECT("beschriftung.!"&amp;ADDRESS(#REF!*12+ROW($A5)-1,COLUMN(BE$1)))="","",INDIRECT("beschriftung.!"&amp;ADDRESS(#REF!*12+ROW($A5)-1,COLUMN(BE$1))))</f>
        <v>#REF!</v>
      </c>
      <c r="BF4" s="48" t="e">
        <f ca="1">IF(INDIRECT("beschriftung.!"&amp;ADDRESS(#REF!*12+ROW($A5)-1,COLUMN(BF$1)))="","",INDIRECT("beschriftung.!"&amp;ADDRESS(#REF!*12+ROW($A5)-1,COLUMN(BF$1))))</f>
        <v>#REF!</v>
      </c>
    </row>
    <row r="5" spans="1:60" ht="11.25" customHeight="1" x14ac:dyDescent="0.15">
      <c r="A5" s="5"/>
      <c r="C5" s="65"/>
      <c r="D5" s="66"/>
      <c r="E5" s="49" t="str">
        <f ca="1">INDIRECT("beschriftung!"&amp;ADDRESS(beschriftung!$C$1*12+ROW(beschriftung!$A6)-1,COLUMN(beschriftung!D$1)))</f>
        <v>Gross value added before adjustments</v>
      </c>
      <c r="F5" s="47" t="e">
        <f ca="1">IF(INDIRECT("beschriftung.!"&amp;ADDRESS(#REF!*12+ROW($A6)-1,COLUMN(F$1)))="","",INDIRECT("beschriftung.!"&amp;ADDRESS(#REF!*12+ROW($A6)-1,COLUMN(F$1))))</f>
        <v>#REF!</v>
      </c>
      <c r="G5" s="47" t="e">
        <f ca="1">IF(INDIRECT("beschriftung.!"&amp;ADDRESS(#REF!*12+ROW($A6)-1,COLUMN(G$1)))="","",INDIRECT("beschriftung.!"&amp;ADDRESS(#REF!*12+ROW($A6)-1,COLUMN(G$1))))</f>
        <v>#REF!</v>
      </c>
      <c r="H5" s="47" t="e">
        <f ca="1">IF(INDIRECT("beschriftung.!"&amp;ADDRESS(#REF!*12+ROW($A6)-1,COLUMN(H$1)))="","",INDIRECT("beschriftung.!"&amp;ADDRESS(#REF!*12+ROW($A6)-1,COLUMN(H$1))))</f>
        <v>#REF!</v>
      </c>
      <c r="I5" s="47" t="e">
        <f ca="1">IF(INDIRECT("beschriftung.!"&amp;ADDRESS(#REF!*12+ROW($A6)-1,COLUMN(I$1)))="","",INDIRECT("beschriftung.!"&amp;ADDRESS(#REF!*12+ROW($A6)-1,COLUMN(I$1))))</f>
        <v>#REF!</v>
      </c>
      <c r="J5" s="47" t="e">
        <f ca="1">IF(INDIRECT("beschriftung.!"&amp;ADDRESS(#REF!*12+ROW($A6)-1,COLUMN(J$1)))="","",INDIRECT("beschriftung.!"&amp;ADDRESS(#REF!*12+ROW($A6)-1,COLUMN(J$1))))</f>
        <v>#REF!</v>
      </c>
      <c r="K5" s="47" t="e">
        <f ca="1">IF(INDIRECT("beschriftung.!"&amp;ADDRESS(#REF!*12+ROW($A6)-1,COLUMN(K$1)))="","",INDIRECT("beschriftung.!"&amp;ADDRESS(#REF!*12+ROW($A6)-1,COLUMN(K$1))))</f>
        <v>#REF!</v>
      </c>
      <c r="L5" s="47" t="e">
        <f ca="1">IF(INDIRECT("beschriftung.!"&amp;ADDRESS(#REF!*12+ROW($A6)-1,COLUMN(L$1)))="","",INDIRECT("beschriftung.!"&amp;ADDRESS(#REF!*12+ROW($A6)-1,COLUMN(L$1))))</f>
        <v>#REF!</v>
      </c>
      <c r="M5" s="47"/>
      <c r="N5" s="47"/>
      <c r="O5" s="47"/>
      <c r="P5" s="47"/>
      <c r="Q5" s="47" t="e">
        <f ca="1">IF(INDIRECT("beschriftung.!"&amp;ADDRESS(#REF!*12+ROW($A6)-1,COLUMN(Q$1)))="","",INDIRECT("beschriftung.!"&amp;ADDRESS(#REF!*12+ROW($A6)-1,COLUMN(Q$1))))</f>
        <v>#REF!</v>
      </c>
      <c r="R5" s="47" t="e">
        <f ca="1">IF(INDIRECT("beschriftung.!"&amp;ADDRESS(#REF!*12+ROW($A6)-1,COLUMN(R$1)))="","",INDIRECT("beschriftung.!"&amp;ADDRESS(#REF!*12+ROW($A6)-1,COLUMN(R$1))))</f>
        <v>#REF!</v>
      </c>
      <c r="S5" s="47"/>
      <c r="T5" s="47"/>
      <c r="U5" s="47" t="e">
        <f ca="1">IF(INDIRECT("beschriftung.!"&amp;ADDRESS(#REF!*12+ROW($A6)-1,COLUMN(U$1)))="","",INDIRECT("beschriftung.!"&amp;ADDRESS(#REF!*12+ROW($A6)-1,COLUMN(U$1))))</f>
        <v>#REF!</v>
      </c>
      <c r="V5" s="47" t="e">
        <f ca="1">IF(INDIRECT("beschriftung.!"&amp;ADDRESS(#REF!*12+ROW($A6)-1,COLUMN(V$1)))="","",INDIRECT("beschriftung.!"&amp;ADDRESS(#REF!*12+ROW($A6)-1,COLUMN(V$1))))</f>
        <v>#REF!</v>
      </c>
      <c r="W5" s="47" t="e">
        <f ca="1">IF(INDIRECT("beschriftung.!"&amp;ADDRESS(#REF!*12+ROW($A6)-1,COLUMN(W$1)))="","",INDIRECT("beschriftung.!"&amp;ADDRESS(#REF!*12+ROW($A6)-1,COLUMN(W$1))))</f>
        <v>#REF!</v>
      </c>
      <c r="X5" s="47" t="e">
        <f ca="1">IF(INDIRECT("beschriftung.!"&amp;ADDRESS(#REF!*12+ROW($A6)-1,COLUMN(X$1)))="","",INDIRECT("beschriftung.!"&amp;ADDRESS(#REF!*12+ROW($A6)-1,COLUMN(X$1))))</f>
        <v>#REF!</v>
      </c>
      <c r="Y5" s="47"/>
      <c r="Z5" s="47"/>
      <c r="AA5" s="47" t="e">
        <f ca="1">IF(INDIRECT("beschriftung.!"&amp;ADDRESS(#REF!*12+ROW($A6)-1,COLUMN(AA$1)))="","",INDIRECT("beschriftung.!"&amp;ADDRESS(#REF!*12+ROW($A6)-1,COLUMN(AA$1))))</f>
        <v>#REF!</v>
      </c>
      <c r="AB5" s="47" t="e">
        <f ca="1">IF(INDIRECT("beschriftung.!"&amp;ADDRESS(#REF!*12+ROW($A6)-1,COLUMN(AB$1)))="","",INDIRECT("beschriftung.!"&amp;ADDRESS(#REF!*12+ROW($A6)-1,COLUMN(AB$1))))</f>
        <v>#REF!</v>
      </c>
      <c r="AC5" s="47"/>
      <c r="AD5" s="47"/>
      <c r="AE5" s="47"/>
      <c r="AF5" s="47"/>
      <c r="AG5" s="47" t="e">
        <f ca="1">IF(INDIRECT("beschriftung.!"&amp;ADDRESS(#REF!*12+ROW($A6)-1,COLUMN(AG$1)))="","",INDIRECT("beschriftung.!"&amp;ADDRESS(#REF!*12+ROW($A6)-1,COLUMN(AG$1))))</f>
        <v>#REF!</v>
      </c>
      <c r="AH5" s="47" t="e">
        <f ca="1">IF(INDIRECT("beschriftung.!"&amp;ADDRESS(#REF!*12+ROW($A6)-1,COLUMN(AH$1)))="","",INDIRECT("beschriftung.!"&amp;ADDRESS(#REF!*12+ROW($A6)-1,COLUMN(AH$1))))</f>
        <v>#REF!</v>
      </c>
      <c r="AI5" s="47" t="e">
        <f ca="1">IF(INDIRECT("beschriftung.!"&amp;ADDRESS(#REF!*12+ROW($A6)-1,COLUMN(AI$1)))="","",INDIRECT("beschriftung.!"&amp;ADDRESS(#REF!*12+ROW($A6)-1,COLUMN(AI$1))))</f>
        <v>#REF!</v>
      </c>
      <c r="AJ5" s="47" t="e">
        <f ca="1">IF(INDIRECT("beschriftung.!"&amp;ADDRESS(#REF!*12+ROW($A6)-1,COLUMN(AJ$1)))="","",INDIRECT("beschriftung.!"&amp;ADDRESS(#REF!*12+ROW($A6)-1,COLUMN(AJ$1))))</f>
        <v>#REF!</v>
      </c>
      <c r="AK5" s="47"/>
      <c r="AL5" s="47"/>
      <c r="AM5" s="47" t="e">
        <f ca="1">IF(INDIRECT("beschriftung.!"&amp;ADDRESS(#REF!*12+ROW($A6)-1,COLUMN(AM$1)))="","",INDIRECT("beschriftung.!"&amp;ADDRESS(#REF!*12+ROW($A6)-1,COLUMN(AM$1))))</f>
        <v>#REF!</v>
      </c>
      <c r="AN5" s="47" t="e">
        <f ca="1">IF(INDIRECT("beschriftung.!"&amp;ADDRESS(#REF!*12+ROW($A6)-1,COLUMN(AN$1)))="","",INDIRECT("beschriftung.!"&amp;ADDRESS(#REF!*12+ROW($A6)-1,COLUMN(AN$1))))</f>
        <v>#REF!</v>
      </c>
      <c r="AO5" s="47" t="e">
        <f ca="1">IF(INDIRECT("beschriftung.!"&amp;ADDRESS(#REF!*12+ROW($A6)-1,COLUMN(AO$1)))="","",INDIRECT("beschriftung.!"&amp;ADDRESS(#REF!*12+ROW($A6)-1,COLUMN(AO$1))))</f>
        <v>#REF!</v>
      </c>
      <c r="AP5" s="47" t="e">
        <f ca="1">IF(INDIRECT("beschriftung.!"&amp;ADDRESS(#REF!*12+ROW($A6)-1,COLUMN(AP$1)))="","",INDIRECT("beschriftung.!"&amp;ADDRESS(#REF!*12+ROW($A6)-1,COLUMN(AP$1))))</f>
        <v>#REF!</v>
      </c>
      <c r="AQ5" s="47" t="e">
        <f ca="1">IF(INDIRECT("beschriftung.!"&amp;ADDRESS(#REF!*12+ROW($A6)-1,COLUMN(AQ$1)))="","",INDIRECT("beschriftung.!"&amp;ADDRESS(#REF!*12+ROW($A6)-1,COLUMN(AQ$1))))</f>
        <v>#REF!</v>
      </c>
      <c r="AR5" s="47" t="e">
        <f ca="1">IF(INDIRECT("beschriftung.!"&amp;ADDRESS(#REF!*12+ROW($A6)-1,COLUMN(AR$1)))="","",INDIRECT("beschriftung.!"&amp;ADDRESS(#REF!*12+ROW($A6)-1,COLUMN(AR$1))))</f>
        <v>#REF!</v>
      </c>
      <c r="AS5" s="47" t="e">
        <f ca="1">IF(INDIRECT("beschriftung.!"&amp;ADDRESS(#REF!*12+ROW($A6)-1,COLUMN(AS$1)))="","",INDIRECT("beschriftung.!"&amp;ADDRESS(#REF!*12+ROW($A6)-1,COLUMN(AS$1))))</f>
        <v>#REF!</v>
      </c>
      <c r="AT5" s="47" t="e">
        <f ca="1">IF(INDIRECT("beschriftung.!"&amp;ADDRESS(#REF!*12+ROW($A6)-1,COLUMN(AT$1)))="","",INDIRECT("beschriftung.!"&amp;ADDRESS(#REF!*12+ROW($A6)-1,COLUMN(AT$1))))</f>
        <v>#REF!</v>
      </c>
      <c r="AU5" s="47" t="e">
        <f ca="1">IF(INDIRECT("beschriftung.!"&amp;ADDRESS(#REF!*12+ROW($A6)-1,COLUMN(AU$1)))="","",INDIRECT("beschriftung.!"&amp;ADDRESS(#REF!*12+ROW($A6)-1,COLUMN(AU$1))))</f>
        <v>#REF!</v>
      </c>
      <c r="AV5" s="47" t="e">
        <f ca="1">IF(INDIRECT("beschriftung.!"&amp;ADDRESS(#REF!*12+ROW($A6)-1,COLUMN(AV$1)))="","",INDIRECT("beschriftung.!"&amp;ADDRESS(#REF!*12+ROW($A6)-1,COLUMN(AV$1))))</f>
        <v>#REF!</v>
      </c>
      <c r="AW5" s="47"/>
      <c r="AX5" s="47"/>
      <c r="AY5" s="47" t="e">
        <f ca="1">IF(INDIRECT("beschriftung.!"&amp;ADDRESS(#REF!*12+ROW($A6)-1,COLUMN(AY$1)))="","",INDIRECT("beschriftung.!"&amp;ADDRESS(#REF!*12+ROW($A6)-1,COLUMN(AY$1))))</f>
        <v>#REF!</v>
      </c>
      <c r="AZ5" s="50" t="e">
        <f ca="1">IF(INDIRECT("beschriftung.!"&amp;ADDRESS(#REF!*12+ROW($A6)-1,COLUMN(AZ$1)))="","",INDIRECT("beschriftung.!"&amp;ADDRESS(#REF!*12+ROW($A6)-1,COLUMN(AZ$1))))</f>
        <v>#REF!</v>
      </c>
      <c r="BA5" s="49" t="str">
        <f ca="1">INDIRECT("beschriftung!"&amp;ADDRESS(beschriftung!$C$1*12+ROW(beschriftung!$A6)-1,COLUMN(beschriftung!AS$1)))</f>
        <v>Adjustments</v>
      </c>
      <c r="BB5" s="47" t="e">
        <f ca="1">IF(INDIRECT("beschriftung.!"&amp;ADDRESS(#REF!*12+ROW($A6)-1,COLUMN(BB$1)))="","",INDIRECT("beschriftung.!"&amp;ADDRESS(#REF!*12+ROW($A6)-1,COLUMN(BB$1))))</f>
        <v>#REF!</v>
      </c>
      <c r="BC5" s="47" t="e">
        <f ca="1">IF(INDIRECT("beschriftung.!"&amp;ADDRESS(#REF!*12+ROW($A6)-1,COLUMN(BC$1)))="","",INDIRECT("beschriftung.!"&amp;ADDRESS(#REF!*12+ROW($A6)-1,COLUMN(BC$1))))</f>
        <v>#REF!</v>
      </c>
      <c r="BD5" s="47" t="e">
        <f ca="1">IF(INDIRECT("beschriftung.!"&amp;ADDRESS(#REF!*12+ROW($A6)-1,COLUMN(BD$1)))="","",INDIRECT("beschriftung.!"&amp;ADDRESS(#REF!*12+ROW($A6)-1,COLUMN(BD$1))))</f>
        <v>#REF!</v>
      </c>
      <c r="BE5" s="47" t="e">
        <f ca="1">IF(INDIRECT("beschriftung.!"&amp;ADDRESS(#REF!*12+ROW($A6)-1,COLUMN(BE$1)))="","",INDIRECT("beschriftung.!"&amp;ADDRESS(#REF!*12+ROW($A6)-1,COLUMN(BE$1))))</f>
        <v>#REF!</v>
      </c>
      <c r="BF5" s="50" t="e">
        <f ca="1">IF(INDIRECT("beschriftung.!"&amp;ADDRESS(#REF!*12+ROW($A6)-1,COLUMN(BF$1)))="","",INDIRECT("beschriftung.!"&amp;ADDRESS(#REF!*12+ROW($A6)-1,COLUMN(BF$1))))</f>
        <v>#REF!</v>
      </c>
    </row>
    <row r="6" spans="1:60" ht="11.25" customHeight="1" x14ac:dyDescent="0.15">
      <c r="A6" s="5"/>
      <c r="C6" s="67"/>
      <c r="D6" s="55"/>
      <c r="E6" s="60" t="s">
        <v>3</v>
      </c>
      <c r="F6" s="29"/>
      <c r="G6" s="36" t="str">
        <f ca="1">INDIRECT("beschriftung!"&amp;ADDRESS(beschriftung!$C$1*12+ROW(beschriftung!$A7)-1,COLUMN(beschriftung!E$1)))</f>
        <v xml:space="preserve">Agriculture, forestry and fishing </v>
      </c>
      <c r="H6" s="36"/>
      <c r="I6" s="36" t="str">
        <f ca="1">INDIRECT("beschriftung!"&amp;ADDRESS(beschriftung!$C$1*12+ROW(beschriftung!$A7)-1,COLUMN(beschriftung!G$1)))</f>
        <v>Mining and quarrying</v>
      </c>
      <c r="J6" s="36"/>
      <c r="K6" s="36" t="str">
        <f ca="1">INDIRECT("beschriftung!"&amp;ADDRESS(beschriftung!$C$1*12+ROW(beschriftung!$A7)-1,COLUMN(beschriftung!I$1)))</f>
        <v>Manufacturing</v>
      </c>
      <c r="L6" s="37"/>
      <c r="M6" s="42"/>
      <c r="N6" s="42"/>
      <c r="O6" s="42"/>
      <c r="P6" s="43"/>
      <c r="Q6" s="41" t="str">
        <f ca="1">INDIRECT("beschriftung!"&amp;ADDRESS(beschriftung!$C$1*12+ROW(beschriftung!$A7)-1,COLUMN(beschriftung!M$1)))</f>
        <v>Electricity, gas, steam and air conditioning supply</v>
      </c>
      <c r="R6" s="36"/>
      <c r="S6" s="36" t="str">
        <f ca="1">INDIRECT("beschriftung!"&amp;ADDRESS(beschriftung!$C$1*12+ROW(beschriftung!$A7)-1,COLUMN(beschriftung!O$1)))</f>
        <v>Water supply, sewerage, waste management and remediation activities</v>
      </c>
      <c r="T6" s="36"/>
      <c r="U6" s="36" t="str">
        <f ca="1">INDIRECT("beschriftung!"&amp;ADDRESS(beschriftung!$C$1*12+ROW(beschriftung!$A7)-1,COLUMN(beschriftung!Q$1)))</f>
        <v>Construction</v>
      </c>
      <c r="V6" s="36"/>
      <c r="W6" s="36" t="str">
        <f ca="1">INDIRECT("beschriftung!"&amp;ADDRESS(beschriftung!$C$1*12+ROW(beschriftung!$A7)-1,COLUMN(beschriftung!S$1)))</f>
        <v>Trade, repair of motor vehicles and motorcycles</v>
      </c>
      <c r="X6" s="37"/>
      <c r="Y6" s="51"/>
      <c r="Z6" s="52"/>
      <c r="AA6" s="36" t="str">
        <f ca="1">INDIRECT("beschriftung!"&amp;ADDRESS(beschriftung!$C$1*12+ROW(beschriftung!$A7)-1,COLUMN(beschriftung!W$1)))</f>
        <v>Transportation and storage</v>
      </c>
      <c r="AB6" s="36"/>
      <c r="AC6" s="36" t="str">
        <f ca="1">INDIRECT("beschriftung!"&amp;ADDRESS(beschriftung!$C$1*12+ROW(beschriftung!$A7)-1,COLUMN(beschriftung!Y$1)))</f>
        <v>Accommodation and food service activities</v>
      </c>
      <c r="AD6" s="36"/>
      <c r="AE6" s="37" t="str">
        <f ca="1">INDIRECT("beschriftung!"&amp;ADDRESS(beschriftung!$C$1*12+ROW(beschriftung!$A7)-1,COLUMN(beschriftung!X$1)))</f>
        <v>Information and communication</v>
      </c>
      <c r="AF6" s="41"/>
      <c r="AG6" s="36" t="str">
        <f ca="1">INDIRECT("beschriftung!"&amp;ADDRESS(beschriftung!$C$1*12+ROW(beschriftung!$A7)-1,COLUMN(beschriftung!AA$1)))</f>
        <v>Financial and insurance activities</v>
      </c>
      <c r="AH6" s="37"/>
      <c r="AI6" s="22"/>
      <c r="AJ6" s="22"/>
      <c r="AK6" s="22"/>
      <c r="AL6" s="23"/>
      <c r="AM6" s="41" t="str">
        <f ca="1">INDIRECT("beschriftung!"&amp;ADDRESS(beschriftung!$C$1*12+ROW(beschriftung!$A7)-1,COLUMN(beschriftung!AE$1)))</f>
        <v>Real estate, professional, scientific, technical activities and administrative services</v>
      </c>
      <c r="AN6" s="36"/>
      <c r="AO6" s="36" t="str">
        <f ca="1">INDIRECT("beschriftung!"&amp;ADDRESS(beschriftung!$C$1*12+ROW(beschriftung!$A7)-1,COLUMN(beschriftung!AG$1)))</f>
        <v>Public administration</v>
      </c>
      <c r="AP6" s="36"/>
      <c r="AQ6" s="36" t="str">
        <f ca="1">INDIRECT("beschriftung!"&amp;ADDRESS(beschriftung!$C$1*12+ROW(beschriftung!$A7)-1,COLUMN(beschriftung!AI$1)))</f>
        <v>Education</v>
      </c>
      <c r="AR6" s="36"/>
      <c r="AS6" s="36" t="str">
        <f ca="1">INDIRECT("beschriftung!"&amp;ADDRESS(beschriftung!$C$1*12+ROW(beschriftung!$A7)-1,COLUMN(beschriftung!AK$1)))</f>
        <v>Human health and social work activities</v>
      </c>
      <c r="AT6" s="36"/>
      <c r="AU6" s="36" t="str">
        <f ca="1">INDIRECT("beschriftung!"&amp;ADDRESS(beschriftung!$C$1*12+ROW(beschriftung!$A7)-1,COLUMN(beschriftung!AM$1)))</f>
        <v xml:space="preserve">Arts, entertainment and recreation </v>
      </c>
      <c r="AV6" s="36"/>
      <c r="AW6" s="36" t="str">
        <f ca="1">INDIRECT("beschriftung!"&amp;ADDRESS(beschriftung!$C$1*12+ROW(beschriftung!$A7)-1,COLUMN(beschriftung!AO$1)))</f>
        <v>Other service activities</v>
      </c>
      <c r="AX6" s="36"/>
      <c r="AY6" s="36" t="str">
        <f ca="1">INDIRECT("beschriftung!"&amp;ADDRESS(beschriftung!$C$1*12+ROW(beschriftung!$A7)-1,COLUMN(beschriftung!AQ$1)))</f>
        <v>Activities of housholds as employers and producers for own use</v>
      </c>
      <c r="AZ6" s="36"/>
      <c r="BA6" s="55"/>
      <c r="BB6" s="55"/>
      <c r="BC6" s="36" t="str">
        <f ca="1">INDIRECT("beschriftung!"&amp;ADDRESS(beschriftung!$C$1*12+ROW(beschriftung!$A7)-1,COLUMN(beschriftung!AU$1)))</f>
        <v>Taxes on products</v>
      </c>
      <c r="BD6" s="36"/>
      <c r="BE6" s="36" t="str">
        <f ca="1">INDIRECT("beschriftung!"&amp;ADDRESS(beschriftung!$C$1*12+ROW(beschriftung!$A7)-1,COLUMN(beschriftung!AW$1)))</f>
        <v>Subsidies on products</v>
      </c>
      <c r="BF6" s="36"/>
    </row>
    <row r="7" spans="1:60" ht="11.25" customHeight="1" x14ac:dyDescent="0.15">
      <c r="A7" s="8"/>
      <c r="B7" s="8"/>
      <c r="C7" s="67"/>
      <c r="D7" s="55"/>
      <c r="E7" s="60"/>
      <c r="F7" s="29"/>
      <c r="G7" s="38"/>
      <c r="H7" s="38"/>
      <c r="I7" s="38"/>
      <c r="J7" s="38"/>
      <c r="K7" s="38"/>
      <c r="L7" s="28"/>
      <c r="M7" s="44"/>
      <c r="N7" s="44"/>
      <c r="O7" s="44"/>
      <c r="P7" s="45"/>
      <c r="Q7" s="29"/>
      <c r="R7" s="38"/>
      <c r="S7" s="38"/>
      <c r="T7" s="38"/>
      <c r="U7" s="38"/>
      <c r="V7" s="38"/>
      <c r="W7" s="38"/>
      <c r="X7" s="28"/>
      <c r="Y7" s="53"/>
      <c r="Z7" s="54"/>
      <c r="AA7" s="38"/>
      <c r="AB7" s="38"/>
      <c r="AC7" s="38"/>
      <c r="AD7" s="38"/>
      <c r="AE7" s="28"/>
      <c r="AF7" s="29"/>
      <c r="AG7" s="38"/>
      <c r="AH7" s="28"/>
      <c r="AI7" s="24"/>
      <c r="AJ7" s="24"/>
      <c r="AK7" s="24"/>
      <c r="AL7" s="25"/>
      <c r="AM7" s="29"/>
      <c r="AN7" s="38"/>
      <c r="AO7" s="38"/>
      <c r="AP7" s="38"/>
      <c r="AQ7" s="38"/>
      <c r="AR7" s="38"/>
      <c r="AS7" s="38"/>
      <c r="AT7" s="38"/>
      <c r="AU7" s="38"/>
      <c r="AV7" s="38"/>
      <c r="AW7" s="38"/>
      <c r="AX7" s="38"/>
      <c r="AY7" s="38"/>
      <c r="AZ7" s="38"/>
      <c r="BA7" s="55"/>
      <c r="BB7" s="55"/>
      <c r="BC7" s="38"/>
      <c r="BD7" s="38"/>
      <c r="BE7" s="38"/>
      <c r="BF7" s="38"/>
    </row>
    <row r="8" spans="1:60" ht="11.25" customHeight="1" x14ac:dyDescent="0.15">
      <c r="A8" s="2"/>
      <c r="B8" s="2"/>
      <c r="C8" s="67"/>
      <c r="D8" s="55"/>
      <c r="E8" s="61"/>
      <c r="F8" s="62"/>
      <c r="G8" s="39"/>
      <c r="H8" s="39"/>
      <c r="I8" s="39"/>
      <c r="J8" s="39"/>
      <c r="K8" s="39"/>
      <c r="L8" s="39"/>
      <c r="M8" s="28" t="str">
        <f ca="1">INDIRECT("beschriftung!"&amp;ADDRESS(beschriftung!$C$1*12+ROW(beschriftung!$A7),COLUMN(beschriftung!J$1)))</f>
        <v>thereof chemicals and pharmaceuticals</v>
      </c>
      <c r="N8" s="29"/>
      <c r="O8" s="28" t="str">
        <f ca="1">INDIRECT("beschriftung!"&amp;ADDRESS(beschriftung!$C$1*12+ROW(beschriftung!$A7),COLUMN(beschriftung!K$1)))</f>
        <v xml:space="preserve">thereof other manufacturing </v>
      </c>
      <c r="P8" s="29"/>
      <c r="Q8" s="39"/>
      <c r="R8" s="39"/>
      <c r="S8" s="39"/>
      <c r="T8" s="39"/>
      <c r="U8" s="39"/>
      <c r="V8" s="39"/>
      <c r="W8" s="39"/>
      <c r="X8" s="39"/>
      <c r="Y8" s="28" t="str">
        <f ca="1">INDIRECT("beschriftung!"&amp;ADDRESS(beschriftung!$C$1*12+ROW(beschriftung!$A7),COLUMN(beschriftung!U$1)))</f>
        <v>thereof retail trade</v>
      </c>
      <c r="Z8" s="29"/>
      <c r="AA8" s="39"/>
      <c r="AB8" s="39"/>
      <c r="AC8" s="39"/>
      <c r="AD8" s="39"/>
      <c r="AE8" s="28"/>
      <c r="AF8" s="29"/>
      <c r="AG8" s="39"/>
      <c r="AH8" s="39"/>
      <c r="AI8" s="28" t="str">
        <f ca="1">INDIRECT("beschriftung!"&amp;ADDRESS(beschriftung!$C$1*12+ROW(beschriftung!$A7),COLUMN(beschriftung!AB$1)))</f>
        <v>thereof financial activities</v>
      </c>
      <c r="AJ8" s="29"/>
      <c r="AK8" s="28" t="str">
        <f ca="1">INDIRECT("beschriftung!"&amp;ADDRESS(beschriftung!$C$1*12+ROW(beschriftung!$A7),COLUMN(beschriftung!AC$1)))</f>
        <v>thereof insurance activities</v>
      </c>
      <c r="AL8" s="29"/>
      <c r="AM8" s="39"/>
      <c r="AN8" s="39"/>
      <c r="AO8" s="39"/>
      <c r="AP8" s="39"/>
      <c r="AQ8" s="39"/>
      <c r="AR8" s="39"/>
      <c r="AS8" s="39"/>
      <c r="AT8" s="39"/>
      <c r="AU8" s="39"/>
      <c r="AV8" s="39"/>
      <c r="AW8" s="39"/>
      <c r="AX8" s="39"/>
      <c r="AY8" s="39"/>
      <c r="AZ8" s="39"/>
      <c r="BA8" s="55"/>
      <c r="BB8" s="55"/>
      <c r="BC8" s="39"/>
      <c r="BD8" s="39"/>
      <c r="BE8" s="39"/>
      <c r="BF8" s="39"/>
    </row>
    <row r="9" spans="1:60" ht="11.25" customHeight="1" x14ac:dyDescent="0.15">
      <c r="A9" s="2"/>
      <c r="B9" s="2"/>
      <c r="C9" s="67"/>
      <c r="D9" s="55"/>
      <c r="E9" s="61"/>
      <c r="F9" s="62"/>
      <c r="G9" s="39"/>
      <c r="H9" s="39"/>
      <c r="I9" s="39"/>
      <c r="J9" s="39"/>
      <c r="K9" s="39"/>
      <c r="L9" s="39"/>
      <c r="M9" s="28"/>
      <c r="N9" s="29"/>
      <c r="O9" s="28"/>
      <c r="P9" s="29"/>
      <c r="Q9" s="39"/>
      <c r="R9" s="39"/>
      <c r="S9" s="39"/>
      <c r="T9" s="39"/>
      <c r="U9" s="39"/>
      <c r="V9" s="39"/>
      <c r="W9" s="39"/>
      <c r="X9" s="39"/>
      <c r="Y9" s="28"/>
      <c r="Z9" s="29"/>
      <c r="AA9" s="39"/>
      <c r="AB9" s="39"/>
      <c r="AC9" s="39"/>
      <c r="AD9" s="39"/>
      <c r="AE9" s="28"/>
      <c r="AF9" s="29"/>
      <c r="AG9" s="39"/>
      <c r="AH9" s="39"/>
      <c r="AI9" s="28"/>
      <c r="AJ9" s="29"/>
      <c r="AK9" s="28"/>
      <c r="AL9" s="29"/>
      <c r="AM9" s="39"/>
      <c r="AN9" s="39"/>
      <c r="AO9" s="39"/>
      <c r="AP9" s="39"/>
      <c r="AQ9" s="39"/>
      <c r="AR9" s="39"/>
      <c r="AS9" s="39"/>
      <c r="AT9" s="39"/>
      <c r="AU9" s="39"/>
      <c r="AV9" s="39"/>
      <c r="AW9" s="39"/>
      <c r="AX9" s="39"/>
      <c r="AY9" s="39"/>
      <c r="AZ9" s="39"/>
      <c r="BA9" s="55"/>
      <c r="BB9" s="55"/>
      <c r="BC9" s="39"/>
      <c r="BD9" s="39"/>
      <c r="BE9" s="39"/>
      <c r="BF9" s="39"/>
    </row>
    <row r="10" spans="1:60" ht="11.25" customHeight="1" x14ac:dyDescent="0.15">
      <c r="A10" s="2"/>
      <c r="B10" s="8"/>
      <c r="C10" s="68"/>
      <c r="D10" s="69"/>
      <c r="E10" s="63"/>
      <c r="F10" s="64"/>
      <c r="G10" s="40"/>
      <c r="H10" s="40"/>
      <c r="I10" s="40"/>
      <c r="J10" s="40"/>
      <c r="K10" s="40"/>
      <c r="L10" s="40"/>
      <c r="M10" s="30"/>
      <c r="N10" s="31"/>
      <c r="O10" s="30"/>
      <c r="P10" s="31"/>
      <c r="Q10" s="40"/>
      <c r="R10" s="40"/>
      <c r="S10" s="40"/>
      <c r="T10" s="40"/>
      <c r="U10" s="40"/>
      <c r="V10" s="40"/>
      <c r="W10" s="40"/>
      <c r="X10" s="40"/>
      <c r="Y10" s="30"/>
      <c r="Z10" s="31"/>
      <c r="AA10" s="40"/>
      <c r="AB10" s="40"/>
      <c r="AC10" s="40"/>
      <c r="AD10" s="40"/>
      <c r="AE10" s="30"/>
      <c r="AF10" s="31"/>
      <c r="AG10" s="40"/>
      <c r="AH10" s="40"/>
      <c r="AI10" s="30"/>
      <c r="AJ10" s="31"/>
      <c r="AK10" s="30"/>
      <c r="AL10" s="31"/>
      <c r="AM10" s="40"/>
      <c r="AN10" s="40"/>
      <c r="AO10" s="40"/>
      <c r="AP10" s="40"/>
      <c r="AQ10" s="40"/>
      <c r="AR10" s="40"/>
      <c r="AS10" s="40"/>
      <c r="AT10" s="40"/>
      <c r="AU10" s="40"/>
      <c r="AV10" s="40"/>
      <c r="AW10" s="40"/>
      <c r="AX10" s="40"/>
      <c r="AY10" s="40"/>
      <c r="AZ10" s="40"/>
      <c r="BA10" s="55"/>
      <c r="BB10" s="55"/>
      <c r="BC10" s="40"/>
      <c r="BD10" s="40"/>
      <c r="BE10" s="40"/>
      <c r="BF10" s="40"/>
    </row>
    <row r="11" spans="1:60" ht="11.25" customHeight="1" x14ac:dyDescent="0.15">
      <c r="A11" s="2"/>
      <c r="B11" s="8"/>
      <c r="C11" s="58" t="s">
        <v>201</v>
      </c>
      <c r="D11" s="59"/>
      <c r="E11" s="56" t="s">
        <v>202</v>
      </c>
      <c r="F11" s="57"/>
      <c r="G11" s="34" t="s">
        <v>113</v>
      </c>
      <c r="H11" s="35"/>
      <c r="I11" s="34" t="s">
        <v>114</v>
      </c>
      <c r="J11" s="35"/>
      <c r="K11" s="34" t="s">
        <v>115</v>
      </c>
      <c r="L11" s="35"/>
      <c r="M11" s="34" t="s">
        <v>116</v>
      </c>
      <c r="N11" s="35"/>
      <c r="O11" s="26" t="s">
        <v>195</v>
      </c>
      <c r="P11" s="27"/>
      <c r="Q11" s="34" t="s">
        <v>117</v>
      </c>
      <c r="R11" s="35"/>
      <c r="S11" s="34" t="s">
        <v>118</v>
      </c>
      <c r="T11" s="35"/>
      <c r="U11" s="34" t="s">
        <v>119</v>
      </c>
      <c r="V11" s="35"/>
      <c r="W11" s="34" t="s">
        <v>120</v>
      </c>
      <c r="X11" s="35"/>
      <c r="Y11" s="34" t="s">
        <v>121</v>
      </c>
      <c r="Z11" s="35"/>
      <c r="AA11" s="34" t="s">
        <v>196</v>
      </c>
      <c r="AB11" s="35"/>
      <c r="AC11" s="34" t="s">
        <v>122</v>
      </c>
      <c r="AD11" s="35"/>
      <c r="AE11" s="26" t="s">
        <v>197</v>
      </c>
      <c r="AF11" s="27"/>
      <c r="AG11" s="34" t="s">
        <v>198</v>
      </c>
      <c r="AH11" s="35"/>
      <c r="AI11" s="34" t="s">
        <v>123</v>
      </c>
      <c r="AJ11" s="35"/>
      <c r="AK11" s="26" t="s">
        <v>124</v>
      </c>
      <c r="AL11" s="27"/>
      <c r="AM11" s="34" t="s">
        <v>125</v>
      </c>
      <c r="AN11" s="35"/>
      <c r="AO11" s="34" t="s">
        <v>126</v>
      </c>
      <c r="AP11" s="35"/>
      <c r="AQ11" s="34" t="s">
        <v>127</v>
      </c>
      <c r="AR11" s="35"/>
      <c r="AS11" s="34" t="s">
        <v>128</v>
      </c>
      <c r="AT11" s="34"/>
      <c r="AU11" s="34" t="s">
        <v>96</v>
      </c>
      <c r="AV11" s="35"/>
      <c r="AW11" s="34" t="s">
        <v>129</v>
      </c>
      <c r="AX11" s="35"/>
      <c r="AY11" s="34" t="s">
        <v>130</v>
      </c>
      <c r="AZ11" s="35"/>
      <c r="BA11" s="10"/>
      <c r="BB11" s="11"/>
      <c r="BC11" s="32" t="s">
        <v>199</v>
      </c>
      <c r="BD11" s="33"/>
      <c r="BE11" s="32" t="s">
        <v>200</v>
      </c>
      <c r="BF11" s="33"/>
    </row>
    <row r="12" spans="1:60" x14ac:dyDescent="0.15">
      <c r="A12" s="17">
        <v>1980</v>
      </c>
      <c r="B12" s="17">
        <v>1</v>
      </c>
      <c r="C12" s="18">
        <v>50870.618038826702</v>
      </c>
      <c r="D12" s="19"/>
      <c r="E12" s="18"/>
      <c r="F12" s="19"/>
      <c r="G12" s="18"/>
      <c r="H12" s="19"/>
      <c r="I12" s="18"/>
      <c r="J12" s="19"/>
      <c r="K12" s="18"/>
      <c r="L12" s="19"/>
      <c r="M12" s="18"/>
      <c r="N12" s="19"/>
      <c r="O12" s="18"/>
      <c r="P12" s="19"/>
      <c r="Q12" s="18"/>
      <c r="R12" s="19"/>
      <c r="S12" s="18"/>
      <c r="T12" s="19"/>
      <c r="U12" s="18"/>
      <c r="V12" s="19"/>
      <c r="W12" s="18"/>
      <c r="X12" s="19"/>
      <c r="Y12" s="18"/>
      <c r="Z12" s="19"/>
      <c r="AA12" s="18"/>
      <c r="AB12" s="19"/>
      <c r="AC12" s="18"/>
      <c r="AD12" s="19"/>
      <c r="AE12" s="18"/>
      <c r="AF12" s="19"/>
      <c r="AG12" s="18"/>
      <c r="AH12" s="19"/>
      <c r="AI12" s="18"/>
      <c r="AJ12" s="19"/>
      <c r="AK12" s="18"/>
      <c r="AL12" s="19"/>
      <c r="AM12" s="18"/>
      <c r="AN12" s="19"/>
      <c r="AO12" s="18"/>
      <c r="AP12" s="19"/>
      <c r="AQ12" s="18"/>
      <c r="AR12" s="19"/>
      <c r="AS12" s="18"/>
      <c r="AT12" s="19"/>
      <c r="AU12" s="18"/>
      <c r="AV12" s="19"/>
      <c r="AW12" s="18"/>
      <c r="AX12" s="19"/>
      <c r="AY12" s="18"/>
      <c r="AZ12" s="19"/>
      <c r="BA12" s="18"/>
      <c r="BB12" s="19"/>
      <c r="BC12" s="18"/>
      <c r="BD12" s="19"/>
      <c r="BE12" s="18"/>
      <c r="BF12" s="19"/>
      <c r="BG12" s="18"/>
      <c r="BH12" s="19"/>
    </row>
    <row r="13" spans="1:60" x14ac:dyDescent="0.15">
      <c r="A13" s="17">
        <v>1980</v>
      </c>
      <c r="B13" s="17">
        <v>2</v>
      </c>
      <c r="C13" s="18">
        <v>51589.1446214272</v>
      </c>
      <c r="D13" s="19">
        <v>1.41245892088842E-2</v>
      </c>
      <c r="E13" s="18"/>
      <c r="F13" s="19"/>
      <c r="G13" s="18"/>
      <c r="H13" s="19"/>
      <c r="I13" s="18"/>
      <c r="J13" s="19"/>
      <c r="K13" s="18"/>
      <c r="L13" s="19"/>
      <c r="M13" s="18"/>
      <c r="N13" s="19"/>
      <c r="O13" s="18"/>
      <c r="P13" s="19"/>
      <c r="Q13" s="18"/>
      <c r="R13" s="19"/>
      <c r="S13" s="18"/>
      <c r="T13" s="19"/>
      <c r="U13" s="18"/>
      <c r="V13" s="19"/>
      <c r="W13" s="18"/>
      <c r="X13" s="19"/>
      <c r="Y13" s="18"/>
      <c r="Z13" s="19"/>
      <c r="AA13" s="18"/>
      <c r="AB13" s="19"/>
      <c r="AC13" s="18"/>
      <c r="AD13" s="19"/>
      <c r="AE13" s="18"/>
      <c r="AF13" s="19"/>
      <c r="AG13" s="18"/>
      <c r="AH13" s="19"/>
      <c r="AI13" s="18"/>
      <c r="AJ13" s="19"/>
      <c r="AK13" s="18"/>
      <c r="AL13" s="19"/>
      <c r="AM13" s="18"/>
      <c r="AN13" s="19"/>
      <c r="AO13" s="18"/>
      <c r="AP13" s="19"/>
      <c r="AQ13" s="18"/>
      <c r="AR13" s="19"/>
      <c r="AS13" s="18"/>
      <c r="AT13" s="19"/>
      <c r="AU13" s="18"/>
      <c r="AV13" s="19"/>
      <c r="AW13" s="18"/>
      <c r="AX13" s="19"/>
      <c r="AY13" s="18"/>
      <c r="AZ13" s="19"/>
      <c r="BA13" s="18"/>
      <c r="BB13" s="19"/>
      <c r="BC13" s="18"/>
      <c r="BD13" s="19"/>
      <c r="BE13" s="18"/>
      <c r="BF13" s="19"/>
      <c r="BG13" s="18"/>
      <c r="BH13" s="19"/>
    </row>
    <row r="14" spans="1:60" x14ac:dyDescent="0.15">
      <c r="A14" s="17">
        <v>1980</v>
      </c>
      <c r="B14" s="17">
        <v>3</v>
      </c>
      <c r="C14" s="18">
        <v>52513.465821293401</v>
      </c>
      <c r="D14" s="19">
        <v>1.7916970840456702E-2</v>
      </c>
      <c r="E14" s="18"/>
      <c r="F14" s="19"/>
      <c r="G14" s="18"/>
      <c r="H14" s="19"/>
      <c r="I14" s="18"/>
      <c r="J14" s="19"/>
      <c r="K14" s="18"/>
      <c r="L14" s="19"/>
      <c r="M14" s="18"/>
      <c r="N14" s="19"/>
      <c r="O14" s="18"/>
      <c r="P14" s="19"/>
      <c r="Q14" s="18"/>
      <c r="R14" s="19"/>
      <c r="S14" s="18"/>
      <c r="T14" s="19"/>
      <c r="U14" s="18"/>
      <c r="V14" s="19"/>
      <c r="W14" s="18"/>
      <c r="X14" s="19"/>
      <c r="Y14" s="18"/>
      <c r="Z14" s="19"/>
      <c r="AA14" s="18"/>
      <c r="AB14" s="19"/>
      <c r="AC14" s="18"/>
      <c r="AD14" s="19"/>
      <c r="AE14" s="18"/>
      <c r="AF14" s="19"/>
      <c r="AG14" s="18"/>
      <c r="AH14" s="19"/>
      <c r="AI14" s="18"/>
      <c r="AJ14" s="19"/>
      <c r="AK14" s="18"/>
      <c r="AL14" s="19"/>
      <c r="AM14" s="18"/>
      <c r="AN14" s="19"/>
      <c r="AO14" s="18"/>
      <c r="AP14" s="19"/>
      <c r="AQ14" s="18"/>
      <c r="AR14" s="19"/>
      <c r="AS14" s="18"/>
      <c r="AT14" s="19"/>
      <c r="AU14" s="18"/>
      <c r="AV14" s="19"/>
      <c r="AW14" s="18"/>
      <c r="AX14" s="19"/>
      <c r="AY14" s="18"/>
      <c r="AZ14" s="19"/>
      <c r="BA14" s="18"/>
      <c r="BB14" s="19"/>
      <c r="BC14" s="18"/>
      <c r="BD14" s="19"/>
      <c r="BE14" s="18"/>
      <c r="BF14" s="19"/>
      <c r="BG14" s="18"/>
      <c r="BH14" s="19"/>
    </row>
    <row r="15" spans="1:60" x14ac:dyDescent="0.15">
      <c r="A15" s="17">
        <v>1980</v>
      </c>
      <c r="B15" s="17">
        <v>4</v>
      </c>
      <c r="C15" s="18">
        <v>53339.752018116997</v>
      </c>
      <c r="D15" s="19">
        <v>1.57347488668051E-2</v>
      </c>
      <c r="E15" s="18"/>
      <c r="F15" s="19"/>
      <c r="G15" s="18"/>
      <c r="H15" s="19"/>
      <c r="I15" s="18"/>
      <c r="J15" s="19"/>
      <c r="K15" s="18"/>
      <c r="L15" s="19"/>
      <c r="M15" s="18"/>
      <c r="N15" s="19"/>
      <c r="O15" s="18"/>
      <c r="P15" s="19"/>
      <c r="Q15" s="18"/>
      <c r="R15" s="19"/>
      <c r="S15" s="18"/>
      <c r="T15" s="19"/>
      <c r="U15" s="18"/>
      <c r="V15" s="19"/>
      <c r="W15" s="18"/>
      <c r="X15" s="19"/>
      <c r="Y15" s="18"/>
      <c r="Z15" s="19"/>
      <c r="AA15" s="18"/>
      <c r="AB15" s="19"/>
      <c r="AC15" s="18"/>
      <c r="AD15" s="19"/>
      <c r="AE15" s="18"/>
      <c r="AF15" s="19"/>
      <c r="AG15" s="18"/>
      <c r="AH15" s="19"/>
      <c r="AI15" s="18"/>
      <c r="AJ15" s="19"/>
      <c r="AK15" s="18"/>
      <c r="AL15" s="19"/>
      <c r="AM15" s="18"/>
      <c r="AN15" s="19"/>
      <c r="AO15" s="18"/>
      <c r="AP15" s="19"/>
      <c r="AQ15" s="18"/>
      <c r="AR15" s="19"/>
      <c r="AS15" s="18"/>
      <c r="AT15" s="19"/>
      <c r="AU15" s="18"/>
      <c r="AV15" s="19"/>
      <c r="AW15" s="18"/>
      <c r="AX15" s="19"/>
      <c r="AY15" s="18"/>
      <c r="AZ15" s="19"/>
      <c r="BA15" s="18"/>
      <c r="BB15" s="19"/>
      <c r="BC15" s="18"/>
      <c r="BD15" s="19"/>
      <c r="BE15" s="18"/>
      <c r="BF15" s="19"/>
      <c r="BG15" s="18"/>
      <c r="BH15" s="19"/>
    </row>
    <row r="16" spans="1:60" x14ac:dyDescent="0.15">
      <c r="A16" s="17">
        <v>1981</v>
      </c>
      <c r="B16" s="17">
        <v>1</v>
      </c>
      <c r="C16" s="18">
        <v>54375.816055394302</v>
      </c>
      <c r="D16" s="19">
        <v>1.9423863030435098E-2</v>
      </c>
      <c r="E16" s="18"/>
      <c r="F16" s="19"/>
      <c r="G16" s="18"/>
      <c r="H16" s="19"/>
      <c r="I16" s="18"/>
      <c r="J16" s="19"/>
      <c r="K16" s="18"/>
      <c r="L16" s="19"/>
      <c r="M16" s="18"/>
      <c r="N16" s="19"/>
      <c r="O16" s="18"/>
      <c r="P16" s="19"/>
      <c r="Q16" s="18"/>
      <c r="R16" s="19"/>
      <c r="S16" s="18"/>
      <c r="T16" s="19"/>
      <c r="U16" s="18"/>
      <c r="V16" s="19"/>
      <c r="W16" s="18"/>
      <c r="X16" s="19"/>
      <c r="Y16" s="18"/>
      <c r="Z16" s="19"/>
      <c r="AA16" s="18"/>
      <c r="AB16" s="19"/>
      <c r="AC16" s="18"/>
      <c r="AD16" s="19"/>
      <c r="AE16" s="18"/>
      <c r="AF16" s="19"/>
      <c r="AG16" s="18"/>
      <c r="AH16" s="19"/>
      <c r="AI16" s="18"/>
      <c r="AJ16" s="19"/>
      <c r="AK16" s="18"/>
      <c r="AL16" s="19"/>
      <c r="AM16" s="18"/>
      <c r="AN16" s="19"/>
      <c r="AO16" s="18"/>
      <c r="AP16" s="19"/>
      <c r="AQ16" s="18"/>
      <c r="AR16" s="19"/>
      <c r="AS16" s="18"/>
      <c r="AT16" s="19"/>
      <c r="AU16" s="18"/>
      <c r="AV16" s="19"/>
      <c r="AW16" s="18"/>
      <c r="AX16" s="19"/>
      <c r="AY16" s="18"/>
      <c r="AZ16" s="19"/>
      <c r="BA16" s="18"/>
      <c r="BB16" s="19"/>
      <c r="BC16" s="18"/>
      <c r="BD16" s="19"/>
      <c r="BE16" s="18"/>
      <c r="BF16" s="19"/>
      <c r="BG16" s="18"/>
      <c r="BH16" s="19"/>
    </row>
    <row r="17" spans="1:60" x14ac:dyDescent="0.15">
      <c r="A17" s="17">
        <v>1981</v>
      </c>
      <c r="B17" s="17">
        <v>2</v>
      </c>
      <c r="C17" s="18">
        <v>55376.645297777999</v>
      </c>
      <c r="D17" s="19">
        <v>1.8405778799975001E-2</v>
      </c>
      <c r="E17" s="18"/>
      <c r="F17" s="19"/>
      <c r="G17" s="18"/>
      <c r="H17" s="19"/>
      <c r="I17" s="18"/>
      <c r="J17" s="19"/>
      <c r="K17" s="18"/>
      <c r="L17" s="19"/>
      <c r="M17" s="18"/>
      <c r="N17" s="19"/>
      <c r="O17" s="18"/>
      <c r="P17" s="19"/>
      <c r="Q17" s="18"/>
      <c r="R17" s="19"/>
      <c r="S17" s="18"/>
      <c r="T17" s="19"/>
      <c r="U17" s="18"/>
      <c r="V17" s="19"/>
      <c r="W17" s="18"/>
      <c r="X17" s="19"/>
      <c r="Y17" s="18"/>
      <c r="Z17" s="19"/>
      <c r="AA17" s="18"/>
      <c r="AB17" s="19"/>
      <c r="AC17" s="18"/>
      <c r="AD17" s="19"/>
      <c r="AE17" s="18"/>
      <c r="AF17" s="19"/>
      <c r="AG17" s="18"/>
      <c r="AH17" s="19"/>
      <c r="AI17" s="18"/>
      <c r="AJ17" s="19"/>
      <c r="AK17" s="18"/>
      <c r="AL17" s="19"/>
      <c r="AM17" s="18"/>
      <c r="AN17" s="19"/>
      <c r="AO17" s="18"/>
      <c r="AP17" s="19"/>
      <c r="AQ17" s="18"/>
      <c r="AR17" s="19"/>
      <c r="AS17" s="18"/>
      <c r="AT17" s="19"/>
      <c r="AU17" s="18"/>
      <c r="AV17" s="19"/>
      <c r="AW17" s="18"/>
      <c r="AX17" s="19"/>
      <c r="AY17" s="18"/>
      <c r="AZ17" s="19"/>
      <c r="BA17" s="18"/>
      <c r="BB17" s="19"/>
      <c r="BC17" s="18"/>
      <c r="BD17" s="19"/>
      <c r="BE17" s="18"/>
      <c r="BF17" s="19"/>
      <c r="BG17" s="18"/>
      <c r="BH17" s="19"/>
    </row>
    <row r="18" spans="1:60" x14ac:dyDescent="0.15">
      <c r="A18" s="17">
        <v>1981</v>
      </c>
      <c r="B18" s="17">
        <v>3</v>
      </c>
      <c r="C18" s="18">
        <v>56529.1029685959</v>
      </c>
      <c r="D18" s="19">
        <v>2.08112583313909E-2</v>
      </c>
      <c r="E18" s="18"/>
      <c r="F18" s="19"/>
      <c r="G18" s="18"/>
      <c r="H18" s="19"/>
      <c r="I18" s="18"/>
      <c r="J18" s="19"/>
      <c r="K18" s="18"/>
      <c r="L18" s="19"/>
      <c r="M18" s="18"/>
      <c r="N18" s="19"/>
      <c r="O18" s="18"/>
      <c r="P18" s="19"/>
      <c r="Q18" s="18"/>
      <c r="R18" s="19"/>
      <c r="S18" s="18"/>
      <c r="T18" s="19"/>
      <c r="U18" s="18"/>
      <c r="V18" s="19"/>
      <c r="W18" s="18"/>
      <c r="X18" s="19"/>
      <c r="Y18" s="18"/>
      <c r="Z18" s="19"/>
      <c r="AA18" s="18"/>
      <c r="AB18" s="19"/>
      <c r="AC18" s="18"/>
      <c r="AD18" s="19"/>
      <c r="AE18" s="18"/>
      <c r="AF18" s="19"/>
      <c r="AG18" s="18"/>
      <c r="AH18" s="19"/>
      <c r="AI18" s="18"/>
      <c r="AJ18" s="19"/>
      <c r="AK18" s="18"/>
      <c r="AL18" s="19"/>
      <c r="AM18" s="18"/>
      <c r="AN18" s="19"/>
      <c r="AO18" s="18"/>
      <c r="AP18" s="19"/>
      <c r="AQ18" s="18"/>
      <c r="AR18" s="19"/>
      <c r="AS18" s="18"/>
      <c r="AT18" s="19"/>
      <c r="AU18" s="18"/>
      <c r="AV18" s="19"/>
      <c r="AW18" s="18"/>
      <c r="AX18" s="19"/>
      <c r="AY18" s="18"/>
      <c r="AZ18" s="19"/>
      <c r="BA18" s="18"/>
      <c r="BB18" s="19"/>
      <c r="BC18" s="18"/>
      <c r="BD18" s="19"/>
      <c r="BE18" s="18"/>
      <c r="BF18" s="19"/>
      <c r="BG18" s="18"/>
      <c r="BH18" s="19"/>
    </row>
    <row r="19" spans="1:60" x14ac:dyDescent="0.15">
      <c r="A19" s="17">
        <v>1981</v>
      </c>
      <c r="B19" s="17">
        <v>4</v>
      </c>
      <c r="C19" s="18">
        <v>57563.9741829747</v>
      </c>
      <c r="D19" s="19">
        <v>1.8306874866804899E-2</v>
      </c>
      <c r="E19" s="18"/>
      <c r="F19" s="19"/>
      <c r="G19" s="18"/>
      <c r="H19" s="19"/>
      <c r="I19" s="18"/>
      <c r="J19" s="19"/>
      <c r="K19" s="18"/>
      <c r="L19" s="19"/>
      <c r="M19" s="18"/>
      <c r="N19" s="19"/>
      <c r="O19" s="18"/>
      <c r="P19" s="19"/>
      <c r="Q19" s="18"/>
      <c r="R19" s="19"/>
      <c r="S19" s="18"/>
      <c r="T19" s="19"/>
      <c r="U19" s="18"/>
      <c r="V19" s="19"/>
      <c r="W19" s="18"/>
      <c r="X19" s="19"/>
      <c r="Y19" s="18"/>
      <c r="Z19" s="19"/>
      <c r="AA19" s="18"/>
      <c r="AB19" s="19"/>
      <c r="AC19" s="18"/>
      <c r="AD19" s="19"/>
      <c r="AE19" s="18"/>
      <c r="AF19" s="19"/>
      <c r="AG19" s="18"/>
      <c r="AH19" s="19"/>
      <c r="AI19" s="18"/>
      <c r="AJ19" s="19"/>
      <c r="AK19" s="18"/>
      <c r="AL19" s="19"/>
      <c r="AM19" s="18"/>
      <c r="AN19" s="19"/>
      <c r="AO19" s="18"/>
      <c r="AP19" s="19"/>
      <c r="AQ19" s="18"/>
      <c r="AR19" s="19"/>
      <c r="AS19" s="18"/>
      <c r="AT19" s="19"/>
      <c r="AU19" s="18"/>
      <c r="AV19" s="19"/>
      <c r="AW19" s="18"/>
      <c r="AX19" s="19"/>
      <c r="AY19" s="18"/>
      <c r="AZ19" s="19"/>
      <c r="BA19" s="18"/>
      <c r="BB19" s="19"/>
      <c r="BC19" s="18"/>
      <c r="BD19" s="19"/>
      <c r="BE19" s="18"/>
      <c r="BF19" s="19"/>
      <c r="BG19" s="18"/>
      <c r="BH19" s="19"/>
    </row>
    <row r="20" spans="1:60" x14ac:dyDescent="0.15">
      <c r="A20" s="17">
        <v>1982</v>
      </c>
      <c r="B20" s="17">
        <v>1</v>
      </c>
      <c r="C20" s="18">
        <v>58319.8380431689</v>
      </c>
      <c r="D20" s="19">
        <v>1.3130849127816801E-2</v>
      </c>
      <c r="E20" s="18"/>
      <c r="F20" s="19"/>
      <c r="G20" s="18"/>
      <c r="H20" s="19"/>
      <c r="I20" s="18"/>
      <c r="J20" s="19"/>
      <c r="K20" s="18"/>
      <c r="L20" s="19"/>
      <c r="M20" s="18"/>
      <c r="N20" s="19"/>
      <c r="O20" s="18"/>
      <c r="P20" s="19"/>
      <c r="Q20" s="18"/>
      <c r="R20" s="19"/>
      <c r="S20" s="18"/>
      <c r="T20" s="19"/>
      <c r="U20" s="18"/>
      <c r="V20" s="19"/>
      <c r="W20" s="18"/>
      <c r="X20" s="19"/>
      <c r="Y20" s="18"/>
      <c r="Z20" s="19"/>
      <c r="AA20" s="18"/>
      <c r="AB20" s="19"/>
      <c r="AC20" s="18"/>
      <c r="AD20" s="19"/>
      <c r="AE20" s="18"/>
      <c r="AF20" s="19"/>
      <c r="AG20" s="18"/>
      <c r="AH20" s="19"/>
      <c r="AI20" s="18"/>
      <c r="AJ20" s="19"/>
      <c r="AK20" s="18"/>
      <c r="AL20" s="19"/>
      <c r="AM20" s="18"/>
      <c r="AN20" s="19"/>
      <c r="AO20" s="18"/>
      <c r="AP20" s="19"/>
      <c r="AQ20" s="18"/>
      <c r="AR20" s="19"/>
      <c r="AS20" s="18"/>
      <c r="AT20" s="19"/>
      <c r="AU20" s="18"/>
      <c r="AV20" s="19"/>
      <c r="AW20" s="18"/>
      <c r="AX20" s="19"/>
      <c r="AY20" s="18"/>
      <c r="AZ20" s="19"/>
      <c r="BA20" s="18"/>
      <c r="BB20" s="19"/>
      <c r="BC20" s="18"/>
      <c r="BD20" s="19"/>
      <c r="BE20" s="18"/>
      <c r="BF20" s="19"/>
      <c r="BG20" s="18"/>
      <c r="BH20" s="19"/>
    </row>
    <row r="21" spans="1:60" x14ac:dyDescent="0.15">
      <c r="A21" s="17">
        <v>1982</v>
      </c>
      <c r="B21" s="17">
        <v>2</v>
      </c>
      <c r="C21" s="18">
        <v>59218.778036176103</v>
      </c>
      <c r="D21" s="19">
        <v>1.54139658677002E-2</v>
      </c>
      <c r="E21" s="18"/>
      <c r="F21" s="19"/>
      <c r="G21" s="18"/>
      <c r="H21" s="19"/>
      <c r="I21" s="18"/>
      <c r="J21" s="19"/>
      <c r="K21" s="18"/>
      <c r="L21" s="19"/>
      <c r="M21" s="18"/>
      <c r="N21" s="19"/>
      <c r="O21" s="18"/>
      <c r="P21" s="19"/>
      <c r="Q21" s="18"/>
      <c r="R21" s="19"/>
      <c r="S21" s="18"/>
      <c r="T21" s="19"/>
      <c r="U21" s="18"/>
      <c r="V21" s="19"/>
      <c r="W21" s="18"/>
      <c r="X21" s="19"/>
      <c r="Y21" s="18"/>
      <c r="Z21" s="19"/>
      <c r="AA21" s="18"/>
      <c r="AB21" s="19"/>
      <c r="AC21" s="18"/>
      <c r="AD21" s="19"/>
      <c r="AE21" s="18"/>
      <c r="AF21" s="19"/>
      <c r="AG21" s="18"/>
      <c r="AH21" s="19"/>
      <c r="AI21" s="18"/>
      <c r="AJ21" s="19"/>
      <c r="AK21" s="18"/>
      <c r="AL21" s="19"/>
      <c r="AM21" s="18"/>
      <c r="AN21" s="19"/>
      <c r="AO21" s="18"/>
      <c r="AP21" s="19"/>
      <c r="AQ21" s="18"/>
      <c r="AR21" s="19"/>
      <c r="AS21" s="18"/>
      <c r="AT21" s="19"/>
      <c r="AU21" s="18"/>
      <c r="AV21" s="19"/>
      <c r="AW21" s="18"/>
      <c r="AX21" s="19"/>
      <c r="AY21" s="18"/>
      <c r="AZ21" s="19"/>
      <c r="BA21" s="18"/>
      <c r="BB21" s="19"/>
      <c r="BC21" s="18"/>
      <c r="BD21" s="19"/>
      <c r="BE21" s="18"/>
      <c r="BF21" s="19"/>
      <c r="BG21" s="18"/>
      <c r="BH21" s="19"/>
    </row>
    <row r="22" spans="1:60" x14ac:dyDescent="0.15">
      <c r="A22" s="17">
        <v>1982</v>
      </c>
      <c r="B22" s="17">
        <v>3</v>
      </c>
      <c r="C22" s="18">
        <v>59558.124805224899</v>
      </c>
      <c r="D22" s="19">
        <v>5.7303912762523002E-3</v>
      </c>
      <c r="E22" s="18"/>
      <c r="F22" s="19"/>
      <c r="G22" s="18"/>
      <c r="H22" s="19"/>
      <c r="I22" s="18"/>
      <c r="J22" s="19"/>
      <c r="K22" s="18"/>
      <c r="L22" s="19"/>
      <c r="M22" s="18"/>
      <c r="N22" s="19"/>
      <c r="O22" s="18"/>
      <c r="P22" s="19"/>
      <c r="Q22" s="18"/>
      <c r="R22" s="19"/>
      <c r="S22" s="18"/>
      <c r="T22" s="19"/>
      <c r="U22" s="18"/>
      <c r="V22" s="19"/>
      <c r="W22" s="18"/>
      <c r="X22" s="19"/>
      <c r="Y22" s="18"/>
      <c r="Z22" s="19"/>
      <c r="AA22" s="18"/>
      <c r="AB22" s="19"/>
      <c r="AC22" s="18"/>
      <c r="AD22" s="19"/>
      <c r="AE22" s="18"/>
      <c r="AF22" s="19"/>
      <c r="AG22" s="18"/>
      <c r="AH22" s="19"/>
      <c r="AI22" s="18"/>
      <c r="AJ22" s="19"/>
      <c r="AK22" s="18"/>
      <c r="AL22" s="19"/>
      <c r="AM22" s="18"/>
      <c r="AN22" s="19"/>
      <c r="AO22" s="18"/>
      <c r="AP22" s="19"/>
      <c r="AQ22" s="18"/>
      <c r="AR22" s="19"/>
      <c r="AS22" s="18"/>
      <c r="AT22" s="19"/>
      <c r="AU22" s="18"/>
      <c r="AV22" s="19"/>
      <c r="AW22" s="18"/>
      <c r="AX22" s="19"/>
      <c r="AY22" s="18"/>
      <c r="AZ22" s="19"/>
      <c r="BA22" s="18"/>
      <c r="BB22" s="19"/>
      <c r="BC22" s="18"/>
      <c r="BD22" s="19"/>
      <c r="BE22" s="18"/>
      <c r="BF22" s="19"/>
      <c r="BG22" s="18"/>
      <c r="BH22" s="19"/>
    </row>
    <row r="23" spans="1:60" x14ac:dyDescent="0.15">
      <c r="A23" s="17">
        <v>1982</v>
      </c>
      <c r="B23" s="17">
        <v>4</v>
      </c>
      <c r="C23" s="18">
        <v>59956.440430803799</v>
      </c>
      <c r="D23" s="19">
        <v>6.6878469878206602E-3</v>
      </c>
      <c r="E23" s="18"/>
      <c r="F23" s="19"/>
      <c r="G23" s="18"/>
      <c r="H23" s="19"/>
      <c r="I23" s="18"/>
      <c r="J23" s="19"/>
      <c r="K23" s="18"/>
      <c r="L23" s="19"/>
      <c r="M23" s="18"/>
      <c r="N23" s="19"/>
      <c r="O23" s="18"/>
      <c r="P23" s="19"/>
      <c r="Q23" s="18"/>
      <c r="R23" s="19"/>
      <c r="S23" s="18"/>
      <c r="T23" s="19"/>
      <c r="U23" s="18"/>
      <c r="V23" s="19"/>
      <c r="W23" s="18"/>
      <c r="X23" s="19"/>
      <c r="Y23" s="18"/>
      <c r="Z23" s="19"/>
      <c r="AA23" s="18"/>
      <c r="AB23" s="19"/>
      <c r="AC23" s="18"/>
      <c r="AD23" s="19"/>
      <c r="AE23" s="18"/>
      <c r="AF23" s="19"/>
      <c r="AG23" s="18"/>
      <c r="AH23" s="19"/>
      <c r="AI23" s="18"/>
      <c r="AJ23" s="19"/>
      <c r="AK23" s="18"/>
      <c r="AL23" s="19"/>
      <c r="AM23" s="18"/>
      <c r="AN23" s="19"/>
      <c r="AO23" s="18"/>
      <c r="AP23" s="19"/>
      <c r="AQ23" s="18"/>
      <c r="AR23" s="19"/>
      <c r="AS23" s="18"/>
      <c r="AT23" s="19"/>
      <c r="AU23" s="18"/>
      <c r="AV23" s="19"/>
      <c r="AW23" s="18"/>
      <c r="AX23" s="19"/>
      <c r="AY23" s="18"/>
      <c r="AZ23" s="19"/>
      <c r="BA23" s="18"/>
      <c r="BB23" s="19"/>
      <c r="BC23" s="18"/>
      <c r="BD23" s="19"/>
      <c r="BE23" s="18"/>
      <c r="BF23" s="19"/>
      <c r="BG23" s="18"/>
      <c r="BH23" s="19"/>
    </row>
    <row r="24" spans="1:60" x14ac:dyDescent="0.15">
      <c r="A24" s="17">
        <v>1983</v>
      </c>
      <c r="B24" s="17">
        <v>1</v>
      </c>
      <c r="C24" s="18">
        <v>60303.401029922898</v>
      </c>
      <c r="D24" s="19">
        <v>5.7868778837777404E-3</v>
      </c>
      <c r="E24" s="18"/>
      <c r="F24" s="19"/>
      <c r="G24" s="18"/>
      <c r="H24" s="19"/>
      <c r="I24" s="18"/>
      <c r="J24" s="19"/>
      <c r="K24" s="18"/>
      <c r="L24" s="19"/>
      <c r="M24" s="18"/>
      <c r="N24" s="19"/>
      <c r="O24" s="18"/>
      <c r="P24" s="19"/>
      <c r="Q24" s="18"/>
      <c r="R24" s="19"/>
      <c r="S24" s="18"/>
      <c r="T24" s="19"/>
      <c r="U24" s="18"/>
      <c r="V24" s="19"/>
      <c r="W24" s="18"/>
      <c r="X24" s="19"/>
      <c r="Y24" s="18"/>
      <c r="Z24" s="19"/>
      <c r="AA24" s="18"/>
      <c r="AB24" s="19"/>
      <c r="AC24" s="18"/>
      <c r="AD24" s="19"/>
      <c r="AE24" s="18"/>
      <c r="AF24" s="19"/>
      <c r="AG24" s="18"/>
      <c r="AH24" s="19"/>
      <c r="AI24" s="18"/>
      <c r="AJ24" s="19"/>
      <c r="AK24" s="18"/>
      <c r="AL24" s="19"/>
      <c r="AM24" s="18"/>
      <c r="AN24" s="19"/>
      <c r="AO24" s="18"/>
      <c r="AP24" s="19"/>
      <c r="AQ24" s="18"/>
      <c r="AR24" s="19"/>
      <c r="AS24" s="18"/>
      <c r="AT24" s="19"/>
      <c r="AU24" s="18"/>
      <c r="AV24" s="19"/>
      <c r="AW24" s="18"/>
      <c r="AX24" s="19"/>
      <c r="AY24" s="18"/>
      <c r="AZ24" s="19"/>
      <c r="BA24" s="18"/>
      <c r="BB24" s="19"/>
      <c r="BC24" s="18"/>
      <c r="BD24" s="19"/>
      <c r="BE24" s="18"/>
      <c r="BF24" s="19"/>
      <c r="BG24" s="18"/>
      <c r="BH24" s="19"/>
    </row>
    <row r="25" spans="1:60" x14ac:dyDescent="0.15">
      <c r="A25" s="17">
        <v>1983</v>
      </c>
      <c r="B25" s="17">
        <v>2</v>
      </c>
      <c r="C25" s="18">
        <v>60610.508131247603</v>
      </c>
      <c r="D25" s="19">
        <v>5.09269951743474E-3</v>
      </c>
      <c r="E25" s="18"/>
      <c r="F25" s="19"/>
      <c r="G25" s="18"/>
      <c r="H25" s="19"/>
      <c r="I25" s="18"/>
      <c r="J25" s="19"/>
      <c r="K25" s="18"/>
      <c r="L25" s="19"/>
      <c r="M25" s="18"/>
      <c r="N25" s="19"/>
      <c r="O25" s="18"/>
      <c r="P25" s="19"/>
      <c r="Q25" s="18"/>
      <c r="R25" s="19"/>
      <c r="S25" s="18"/>
      <c r="T25" s="19"/>
      <c r="U25" s="18"/>
      <c r="V25" s="19"/>
      <c r="W25" s="18"/>
      <c r="X25" s="19"/>
      <c r="Y25" s="18"/>
      <c r="Z25" s="19"/>
      <c r="AA25" s="18"/>
      <c r="AB25" s="19"/>
      <c r="AC25" s="18"/>
      <c r="AD25" s="19"/>
      <c r="AE25" s="18"/>
      <c r="AF25" s="19"/>
      <c r="AG25" s="18"/>
      <c r="AH25" s="19"/>
      <c r="AI25" s="18"/>
      <c r="AJ25" s="19"/>
      <c r="AK25" s="18"/>
      <c r="AL25" s="19"/>
      <c r="AM25" s="18"/>
      <c r="AN25" s="19"/>
      <c r="AO25" s="18"/>
      <c r="AP25" s="19"/>
      <c r="AQ25" s="18"/>
      <c r="AR25" s="19"/>
      <c r="AS25" s="18"/>
      <c r="AT25" s="19"/>
      <c r="AU25" s="18"/>
      <c r="AV25" s="19"/>
      <c r="AW25" s="18"/>
      <c r="AX25" s="19"/>
      <c r="AY25" s="18"/>
      <c r="AZ25" s="19"/>
      <c r="BA25" s="18"/>
      <c r="BB25" s="19"/>
      <c r="BC25" s="18"/>
      <c r="BD25" s="19"/>
      <c r="BE25" s="18"/>
      <c r="BF25" s="19"/>
      <c r="BG25" s="18"/>
      <c r="BH25" s="19"/>
    </row>
    <row r="26" spans="1:60" x14ac:dyDescent="0.15">
      <c r="A26" s="17">
        <v>1983</v>
      </c>
      <c r="B26" s="17">
        <v>3</v>
      </c>
      <c r="C26" s="18">
        <v>61226.698557603399</v>
      </c>
      <c r="D26" s="19">
        <v>1.0166395982385E-2</v>
      </c>
      <c r="E26" s="18"/>
      <c r="F26" s="19"/>
      <c r="G26" s="18"/>
      <c r="H26" s="19"/>
      <c r="I26" s="18"/>
      <c r="J26" s="19"/>
      <c r="K26" s="18"/>
      <c r="L26" s="19"/>
      <c r="M26" s="18"/>
      <c r="N26" s="19"/>
      <c r="O26" s="18"/>
      <c r="P26" s="19"/>
      <c r="Q26" s="18"/>
      <c r="R26" s="19"/>
      <c r="S26" s="18"/>
      <c r="T26" s="19"/>
      <c r="U26" s="18"/>
      <c r="V26" s="19"/>
      <c r="W26" s="18"/>
      <c r="X26" s="19"/>
      <c r="Y26" s="18"/>
      <c r="Z26" s="19"/>
      <c r="AA26" s="18"/>
      <c r="AB26" s="19"/>
      <c r="AC26" s="18"/>
      <c r="AD26" s="19"/>
      <c r="AE26" s="18"/>
      <c r="AF26" s="19"/>
      <c r="AG26" s="18"/>
      <c r="AH26" s="19"/>
      <c r="AI26" s="18"/>
      <c r="AJ26" s="19"/>
      <c r="AK26" s="18"/>
      <c r="AL26" s="19"/>
      <c r="AM26" s="18"/>
      <c r="AN26" s="19"/>
      <c r="AO26" s="18"/>
      <c r="AP26" s="19"/>
      <c r="AQ26" s="18"/>
      <c r="AR26" s="19"/>
      <c r="AS26" s="18"/>
      <c r="AT26" s="19"/>
      <c r="AU26" s="18"/>
      <c r="AV26" s="19"/>
      <c r="AW26" s="18"/>
      <c r="AX26" s="19"/>
      <c r="AY26" s="18"/>
      <c r="AZ26" s="19"/>
      <c r="BA26" s="18"/>
      <c r="BB26" s="19"/>
      <c r="BC26" s="18"/>
      <c r="BD26" s="19"/>
      <c r="BE26" s="18"/>
      <c r="BF26" s="19"/>
      <c r="BG26" s="18"/>
      <c r="BH26" s="19"/>
    </row>
    <row r="27" spans="1:60" x14ac:dyDescent="0.15">
      <c r="A27" s="17">
        <v>1983</v>
      </c>
      <c r="B27" s="17">
        <v>4</v>
      </c>
      <c r="C27" s="18">
        <v>62087.673867766003</v>
      </c>
      <c r="D27" s="19">
        <v>1.4062089422517399E-2</v>
      </c>
      <c r="E27" s="18"/>
      <c r="F27" s="19"/>
      <c r="G27" s="18"/>
      <c r="H27" s="19"/>
      <c r="I27" s="18"/>
      <c r="J27" s="19"/>
      <c r="K27" s="18"/>
      <c r="L27" s="19"/>
      <c r="M27" s="18"/>
      <c r="N27" s="19"/>
      <c r="O27" s="18"/>
      <c r="P27" s="19"/>
      <c r="Q27" s="18"/>
      <c r="R27" s="19"/>
      <c r="S27" s="18"/>
      <c r="T27" s="19"/>
      <c r="U27" s="18"/>
      <c r="V27" s="19"/>
      <c r="W27" s="18"/>
      <c r="X27" s="19"/>
      <c r="Y27" s="18"/>
      <c r="Z27" s="19"/>
      <c r="AA27" s="18"/>
      <c r="AB27" s="19"/>
      <c r="AC27" s="18"/>
      <c r="AD27" s="19"/>
      <c r="AE27" s="18"/>
      <c r="AF27" s="19"/>
      <c r="AG27" s="18"/>
      <c r="AH27" s="19"/>
      <c r="AI27" s="18"/>
      <c r="AJ27" s="19"/>
      <c r="AK27" s="18"/>
      <c r="AL27" s="19"/>
      <c r="AM27" s="18"/>
      <c r="AN27" s="19"/>
      <c r="AO27" s="18"/>
      <c r="AP27" s="19"/>
      <c r="AQ27" s="18"/>
      <c r="AR27" s="19"/>
      <c r="AS27" s="18"/>
      <c r="AT27" s="19"/>
      <c r="AU27" s="18"/>
      <c r="AV27" s="19"/>
      <c r="AW27" s="18"/>
      <c r="AX27" s="19"/>
      <c r="AY27" s="18"/>
      <c r="AZ27" s="19"/>
      <c r="BA27" s="18"/>
      <c r="BB27" s="19"/>
      <c r="BC27" s="18"/>
      <c r="BD27" s="19"/>
      <c r="BE27" s="18"/>
      <c r="BF27" s="19"/>
      <c r="BG27" s="18"/>
      <c r="BH27" s="19"/>
    </row>
    <row r="28" spans="1:60" x14ac:dyDescent="0.15">
      <c r="A28" s="17">
        <v>1984</v>
      </c>
      <c r="B28" s="17">
        <v>1</v>
      </c>
      <c r="C28" s="18">
        <v>63539.613743169597</v>
      </c>
      <c r="D28" s="19">
        <v>2.3385316037059602E-2</v>
      </c>
      <c r="E28" s="18"/>
      <c r="F28" s="19"/>
      <c r="G28" s="18"/>
      <c r="H28" s="19"/>
      <c r="I28" s="18"/>
      <c r="J28" s="19"/>
      <c r="K28" s="18"/>
      <c r="L28" s="19"/>
      <c r="M28" s="18"/>
      <c r="N28" s="19"/>
      <c r="O28" s="18"/>
      <c r="P28" s="19"/>
      <c r="Q28" s="18"/>
      <c r="R28" s="19"/>
      <c r="S28" s="18"/>
      <c r="T28" s="19"/>
      <c r="U28" s="18"/>
      <c r="V28" s="19"/>
      <c r="W28" s="18"/>
      <c r="X28" s="19"/>
      <c r="Y28" s="18"/>
      <c r="Z28" s="19"/>
      <c r="AA28" s="18"/>
      <c r="AB28" s="19"/>
      <c r="AC28" s="18"/>
      <c r="AD28" s="19"/>
      <c r="AE28" s="18"/>
      <c r="AF28" s="19"/>
      <c r="AG28" s="18"/>
      <c r="AH28" s="19"/>
      <c r="AI28" s="18"/>
      <c r="AJ28" s="19"/>
      <c r="AK28" s="18"/>
      <c r="AL28" s="19"/>
      <c r="AM28" s="18"/>
      <c r="AN28" s="19"/>
      <c r="AO28" s="18"/>
      <c r="AP28" s="19"/>
      <c r="AQ28" s="18"/>
      <c r="AR28" s="19"/>
      <c r="AS28" s="18"/>
      <c r="AT28" s="19"/>
      <c r="AU28" s="18"/>
      <c r="AV28" s="19"/>
      <c r="AW28" s="18"/>
      <c r="AX28" s="19"/>
      <c r="AY28" s="18"/>
      <c r="AZ28" s="19"/>
      <c r="BA28" s="18"/>
      <c r="BB28" s="19"/>
      <c r="BC28" s="18"/>
      <c r="BD28" s="19"/>
      <c r="BE28" s="18"/>
      <c r="BF28" s="19"/>
      <c r="BG28" s="18"/>
      <c r="BH28" s="19"/>
    </row>
    <row r="29" spans="1:60" x14ac:dyDescent="0.15">
      <c r="A29" s="17">
        <v>1984</v>
      </c>
      <c r="B29" s="17">
        <v>2</v>
      </c>
      <c r="C29" s="18">
        <v>64678.718912156</v>
      </c>
      <c r="D29" s="19">
        <v>1.7927480226598999E-2</v>
      </c>
      <c r="E29" s="18"/>
      <c r="F29" s="19"/>
      <c r="G29" s="18"/>
      <c r="H29" s="19"/>
      <c r="I29" s="18"/>
      <c r="J29" s="19"/>
      <c r="K29" s="18"/>
      <c r="L29" s="19"/>
      <c r="M29" s="18"/>
      <c r="N29" s="19"/>
      <c r="O29" s="18"/>
      <c r="P29" s="19"/>
      <c r="Q29" s="18"/>
      <c r="R29" s="19"/>
      <c r="S29" s="18"/>
      <c r="T29" s="19"/>
      <c r="U29" s="18"/>
      <c r="V29" s="19"/>
      <c r="W29" s="18"/>
      <c r="X29" s="19"/>
      <c r="Y29" s="18"/>
      <c r="Z29" s="19"/>
      <c r="AA29" s="18"/>
      <c r="AB29" s="19"/>
      <c r="AC29" s="18"/>
      <c r="AD29" s="19"/>
      <c r="AE29" s="18"/>
      <c r="AF29" s="19"/>
      <c r="AG29" s="18"/>
      <c r="AH29" s="19"/>
      <c r="AI29" s="18"/>
      <c r="AJ29" s="19"/>
      <c r="AK29" s="18"/>
      <c r="AL29" s="19"/>
      <c r="AM29" s="18"/>
      <c r="AN29" s="19"/>
      <c r="AO29" s="18"/>
      <c r="AP29" s="19"/>
      <c r="AQ29" s="18"/>
      <c r="AR29" s="19"/>
      <c r="AS29" s="18"/>
      <c r="AT29" s="19"/>
      <c r="AU29" s="18"/>
      <c r="AV29" s="19"/>
      <c r="AW29" s="18"/>
      <c r="AX29" s="19"/>
      <c r="AY29" s="18"/>
      <c r="AZ29" s="19"/>
      <c r="BA29" s="18"/>
      <c r="BB29" s="19"/>
      <c r="BC29" s="18"/>
      <c r="BD29" s="19"/>
      <c r="BE29" s="18"/>
      <c r="BF29" s="19"/>
      <c r="BG29" s="18"/>
      <c r="BH29" s="19"/>
    </row>
    <row r="30" spans="1:60" x14ac:dyDescent="0.15">
      <c r="A30" s="17">
        <v>1984</v>
      </c>
      <c r="B30" s="17">
        <v>3</v>
      </c>
      <c r="C30" s="18">
        <v>65927.0155289791</v>
      </c>
      <c r="D30" s="19">
        <v>1.92999589017608E-2</v>
      </c>
      <c r="E30" s="18"/>
      <c r="F30" s="19"/>
      <c r="G30" s="18"/>
      <c r="H30" s="19"/>
      <c r="I30" s="18"/>
      <c r="J30" s="19"/>
      <c r="K30" s="18"/>
      <c r="L30" s="19"/>
      <c r="M30" s="18"/>
      <c r="N30" s="19"/>
      <c r="O30" s="18"/>
      <c r="P30" s="19"/>
      <c r="Q30" s="18"/>
      <c r="R30" s="19"/>
      <c r="S30" s="18"/>
      <c r="T30" s="19"/>
      <c r="U30" s="18"/>
      <c r="V30" s="19"/>
      <c r="W30" s="18"/>
      <c r="X30" s="19"/>
      <c r="Y30" s="18"/>
      <c r="Z30" s="19"/>
      <c r="AA30" s="18"/>
      <c r="AB30" s="19"/>
      <c r="AC30" s="18"/>
      <c r="AD30" s="19"/>
      <c r="AE30" s="18"/>
      <c r="AF30" s="19"/>
      <c r="AG30" s="18"/>
      <c r="AH30" s="19"/>
      <c r="AI30" s="18"/>
      <c r="AJ30" s="19"/>
      <c r="AK30" s="18"/>
      <c r="AL30" s="19"/>
      <c r="AM30" s="18"/>
      <c r="AN30" s="19"/>
      <c r="AO30" s="18"/>
      <c r="AP30" s="19"/>
      <c r="AQ30" s="18"/>
      <c r="AR30" s="19"/>
      <c r="AS30" s="18"/>
      <c r="AT30" s="19"/>
      <c r="AU30" s="18"/>
      <c r="AV30" s="19"/>
      <c r="AW30" s="18"/>
      <c r="AX30" s="19"/>
      <c r="AY30" s="18"/>
      <c r="AZ30" s="19"/>
      <c r="BA30" s="18"/>
      <c r="BB30" s="19"/>
      <c r="BC30" s="18"/>
      <c r="BD30" s="19"/>
      <c r="BE30" s="18"/>
      <c r="BF30" s="19"/>
      <c r="BG30" s="18"/>
      <c r="BH30" s="19"/>
    </row>
    <row r="31" spans="1:60" x14ac:dyDescent="0.15">
      <c r="A31" s="17">
        <v>1984</v>
      </c>
      <c r="B31" s="17">
        <v>4</v>
      </c>
      <c r="C31" s="18">
        <v>66740.821399886205</v>
      </c>
      <c r="D31" s="19">
        <v>1.23440423379906E-2</v>
      </c>
      <c r="E31" s="18"/>
      <c r="F31" s="19"/>
      <c r="G31" s="18"/>
      <c r="H31" s="19"/>
      <c r="I31" s="18"/>
      <c r="J31" s="19"/>
      <c r="K31" s="18"/>
      <c r="L31" s="19"/>
      <c r="M31" s="18"/>
      <c r="N31" s="19"/>
      <c r="O31" s="18"/>
      <c r="P31" s="19"/>
      <c r="Q31" s="18"/>
      <c r="R31" s="19"/>
      <c r="S31" s="18"/>
      <c r="T31" s="19"/>
      <c r="U31" s="18"/>
      <c r="V31" s="19"/>
      <c r="W31" s="18"/>
      <c r="X31" s="19"/>
      <c r="Y31" s="18"/>
      <c r="Z31" s="19"/>
      <c r="AA31" s="18"/>
      <c r="AB31" s="19"/>
      <c r="AC31" s="18"/>
      <c r="AD31" s="19"/>
      <c r="AE31" s="18"/>
      <c r="AF31" s="19"/>
      <c r="AG31" s="18"/>
      <c r="AH31" s="19"/>
      <c r="AI31" s="18"/>
      <c r="AJ31" s="19"/>
      <c r="AK31" s="18"/>
      <c r="AL31" s="19"/>
      <c r="AM31" s="18"/>
      <c r="AN31" s="19"/>
      <c r="AO31" s="18"/>
      <c r="AP31" s="19"/>
      <c r="AQ31" s="18"/>
      <c r="AR31" s="19"/>
      <c r="AS31" s="18"/>
      <c r="AT31" s="19"/>
      <c r="AU31" s="18"/>
      <c r="AV31" s="19"/>
      <c r="AW31" s="18"/>
      <c r="AX31" s="19"/>
      <c r="AY31" s="18"/>
      <c r="AZ31" s="19"/>
      <c r="BA31" s="18"/>
      <c r="BB31" s="19"/>
      <c r="BC31" s="18"/>
      <c r="BD31" s="19"/>
      <c r="BE31" s="18"/>
      <c r="BF31" s="19"/>
      <c r="BG31" s="18"/>
      <c r="BH31" s="19"/>
    </row>
    <row r="32" spans="1:60" x14ac:dyDescent="0.15">
      <c r="A32" s="17">
        <v>1985</v>
      </c>
      <c r="B32" s="17">
        <v>1</v>
      </c>
      <c r="C32" s="18">
        <v>67816.153952078705</v>
      </c>
      <c r="D32" s="19">
        <v>1.6112066493000999E-2</v>
      </c>
      <c r="E32" s="18"/>
      <c r="F32" s="19"/>
      <c r="G32" s="18"/>
      <c r="H32" s="19"/>
      <c r="I32" s="18"/>
      <c r="J32" s="19"/>
      <c r="K32" s="18"/>
      <c r="L32" s="19"/>
      <c r="M32" s="18"/>
      <c r="N32" s="19"/>
      <c r="O32" s="18"/>
      <c r="P32" s="19"/>
      <c r="Q32" s="18"/>
      <c r="R32" s="19"/>
      <c r="S32" s="18"/>
      <c r="T32" s="19"/>
      <c r="U32" s="18"/>
      <c r="V32" s="19"/>
      <c r="W32" s="18"/>
      <c r="X32" s="19"/>
      <c r="Y32" s="18"/>
      <c r="Z32" s="19"/>
      <c r="AA32" s="18"/>
      <c r="AB32" s="19"/>
      <c r="AC32" s="18"/>
      <c r="AD32" s="19"/>
      <c r="AE32" s="18"/>
      <c r="AF32" s="19"/>
      <c r="AG32" s="18"/>
      <c r="AH32" s="19"/>
      <c r="AI32" s="18"/>
      <c r="AJ32" s="19"/>
      <c r="AK32" s="18"/>
      <c r="AL32" s="19"/>
      <c r="AM32" s="18"/>
      <c r="AN32" s="19"/>
      <c r="AO32" s="18"/>
      <c r="AP32" s="19"/>
      <c r="AQ32" s="18"/>
      <c r="AR32" s="19"/>
      <c r="AS32" s="18"/>
      <c r="AT32" s="19"/>
      <c r="AU32" s="18"/>
      <c r="AV32" s="19"/>
      <c r="AW32" s="18"/>
      <c r="AX32" s="19"/>
      <c r="AY32" s="18"/>
      <c r="AZ32" s="19"/>
      <c r="BA32" s="18"/>
      <c r="BB32" s="19"/>
      <c r="BC32" s="18"/>
      <c r="BD32" s="19"/>
      <c r="BE32" s="18"/>
      <c r="BF32" s="19"/>
      <c r="BG32" s="18"/>
      <c r="BH32" s="19"/>
    </row>
    <row r="33" spans="1:60" x14ac:dyDescent="0.15">
      <c r="A33" s="17">
        <v>1985</v>
      </c>
      <c r="B33" s="17">
        <v>2</v>
      </c>
      <c r="C33" s="18">
        <v>68888.162975512096</v>
      </c>
      <c r="D33" s="19">
        <v>1.5807576233104199E-2</v>
      </c>
      <c r="E33" s="18"/>
      <c r="F33" s="19"/>
      <c r="G33" s="18"/>
      <c r="H33" s="19"/>
      <c r="I33" s="18"/>
      <c r="J33" s="19"/>
      <c r="K33" s="18"/>
      <c r="L33" s="19"/>
      <c r="M33" s="18"/>
      <c r="N33" s="19"/>
      <c r="O33" s="18"/>
      <c r="P33" s="19"/>
      <c r="Q33" s="18"/>
      <c r="R33" s="19"/>
      <c r="S33" s="18"/>
      <c r="T33" s="19"/>
      <c r="U33" s="18"/>
      <c r="V33" s="19"/>
      <c r="W33" s="18"/>
      <c r="X33" s="19"/>
      <c r="Y33" s="18"/>
      <c r="Z33" s="19"/>
      <c r="AA33" s="18"/>
      <c r="AB33" s="19"/>
      <c r="AC33" s="18"/>
      <c r="AD33" s="19"/>
      <c r="AE33" s="18"/>
      <c r="AF33" s="19"/>
      <c r="AG33" s="18"/>
      <c r="AH33" s="19"/>
      <c r="AI33" s="18"/>
      <c r="AJ33" s="19"/>
      <c r="AK33" s="18"/>
      <c r="AL33" s="19"/>
      <c r="AM33" s="18"/>
      <c r="AN33" s="19"/>
      <c r="AO33" s="18"/>
      <c r="AP33" s="19"/>
      <c r="AQ33" s="18"/>
      <c r="AR33" s="19"/>
      <c r="AS33" s="18"/>
      <c r="AT33" s="19"/>
      <c r="AU33" s="18"/>
      <c r="AV33" s="19"/>
      <c r="AW33" s="18"/>
      <c r="AX33" s="19"/>
      <c r="AY33" s="18"/>
      <c r="AZ33" s="19"/>
      <c r="BA33" s="18"/>
      <c r="BB33" s="19"/>
      <c r="BC33" s="18"/>
      <c r="BD33" s="19"/>
      <c r="BE33" s="18"/>
      <c r="BF33" s="19"/>
      <c r="BG33" s="18"/>
      <c r="BH33" s="19"/>
    </row>
    <row r="34" spans="1:60" x14ac:dyDescent="0.15">
      <c r="A34" s="17">
        <v>1985</v>
      </c>
      <c r="B34" s="17">
        <v>3</v>
      </c>
      <c r="C34" s="18">
        <v>69528.179062698997</v>
      </c>
      <c r="D34" s="19">
        <v>9.2906540041479708E-3</v>
      </c>
      <c r="E34" s="18"/>
      <c r="F34" s="19"/>
      <c r="G34" s="18"/>
      <c r="H34" s="19"/>
      <c r="I34" s="18"/>
      <c r="J34" s="19"/>
      <c r="K34" s="18"/>
      <c r="L34" s="19"/>
      <c r="M34" s="18"/>
      <c r="N34" s="19"/>
      <c r="O34" s="18"/>
      <c r="P34" s="19"/>
      <c r="Q34" s="18"/>
      <c r="R34" s="19"/>
      <c r="S34" s="18"/>
      <c r="T34" s="19"/>
      <c r="U34" s="18"/>
      <c r="V34" s="19"/>
      <c r="W34" s="18"/>
      <c r="X34" s="19"/>
      <c r="Y34" s="18"/>
      <c r="Z34" s="19"/>
      <c r="AA34" s="18"/>
      <c r="AB34" s="19"/>
      <c r="AC34" s="18"/>
      <c r="AD34" s="19"/>
      <c r="AE34" s="18"/>
      <c r="AF34" s="19"/>
      <c r="AG34" s="18"/>
      <c r="AH34" s="19"/>
      <c r="AI34" s="18"/>
      <c r="AJ34" s="19"/>
      <c r="AK34" s="18"/>
      <c r="AL34" s="19"/>
      <c r="AM34" s="18"/>
      <c r="AN34" s="19"/>
      <c r="AO34" s="18"/>
      <c r="AP34" s="19"/>
      <c r="AQ34" s="18"/>
      <c r="AR34" s="19"/>
      <c r="AS34" s="18"/>
      <c r="AT34" s="19"/>
      <c r="AU34" s="18"/>
      <c r="AV34" s="19"/>
      <c r="AW34" s="18"/>
      <c r="AX34" s="19"/>
      <c r="AY34" s="18"/>
      <c r="AZ34" s="19"/>
      <c r="BA34" s="18"/>
      <c r="BB34" s="19"/>
      <c r="BC34" s="18"/>
      <c r="BD34" s="19"/>
      <c r="BE34" s="18"/>
      <c r="BF34" s="19"/>
      <c r="BG34" s="18"/>
      <c r="BH34" s="19"/>
    </row>
    <row r="35" spans="1:60" x14ac:dyDescent="0.15">
      <c r="A35" s="17">
        <v>1985</v>
      </c>
      <c r="B35" s="17">
        <v>4</v>
      </c>
      <c r="C35" s="18">
        <v>70725.013673631896</v>
      </c>
      <c r="D35" s="19">
        <v>1.7213662533196901E-2</v>
      </c>
      <c r="E35" s="18"/>
      <c r="F35" s="19"/>
      <c r="G35" s="18"/>
      <c r="H35" s="19"/>
      <c r="I35" s="18"/>
      <c r="J35" s="19"/>
      <c r="K35" s="18"/>
      <c r="L35" s="19"/>
      <c r="M35" s="18"/>
      <c r="N35" s="19"/>
      <c r="O35" s="18"/>
      <c r="P35" s="19"/>
      <c r="Q35" s="18"/>
      <c r="R35" s="19"/>
      <c r="S35" s="18"/>
      <c r="T35" s="19"/>
      <c r="U35" s="18"/>
      <c r="V35" s="19"/>
      <c r="W35" s="18"/>
      <c r="X35" s="19"/>
      <c r="Y35" s="18"/>
      <c r="Z35" s="19"/>
      <c r="AA35" s="18"/>
      <c r="AB35" s="19"/>
      <c r="AC35" s="18"/>
      <c r="AD35" s="19"/>
      <c r="AE35" s="18"/>
      <c r="AF35" s="19"/>
      <c r="AG35" s="18"/>
      <c r="AH35" s="19"/>
      <c r="AI35" s="18"/>
      <c r="AJ35" s="19"/>
      <c r="AK35" s="18"/>
      <c r="AL35" s="19"/>
      <c r="AM35" s="18"/>
      <c r="AN35" s="19"/>
      <c r="AO35" s="18"/>
      <c r="AP35" s="19"/>
      <c r="AQ35" s="18"/>
      <c r="AR35" s="19"/>
      <c r="AS35" s="18"/>
      <c r="AT35" s="19"/>
      <c r="AU35" s="18"/>
      <c r="AV35" s="19"/>
      <c r="AW35" s="18"/>
      <c r="AX35" s="19"/>
      <c r="AY35" s="18"/>
      <c r="AZ35" s="19"/>
      <c r="BA35" s="18"/>
      <c r="BB35" s="19"/>
      <c r="BC35" s="18"/>
      <c r="BD35" s="19"/>
      <c r="BE35" s="18"/>
      <c r="BF35" s="19"/>
      <c r="BG35" s="18"/>
      <c r="BH35" s="19"/>
    </row>
    <row r="36" spans="1:60" x14ac:dyDescent="0.15">
      <c r="A36" s="17">
        <v>1986</v>
      </c>
      <c r="B36" s="17">
        <v>1</v>
      </c>
      <c r="C36" s="18">
        <v>71575.382464120397</v>
      </c>
      <c r="D36" s="19">
        <v>1.20235931577557E-2</v>
      </c>
      <c r="E36" s="18"/>
      <c r="F36" s="19"/>
      <c r="G36" s="18"/>
      <c r="H36" s="19"/>
      <c r="I36" s="18"/>
      <c r="J36" s="19"/>
      <c r="K36" s="18"/>
      <c r="L36" s="19"/>
      <c r="M36" s="18"/>
      <c r="N36" s="19"/>
      <c r="O36" s="18"/>
      <c r="P36" s="19"/>
      <c r="Q36" s="18"/>
      <c r="R36" s="19"/>
      <c r="S36" s="18"/>
      <c r="T36" s="19"/>
      <c r="U36" s="18"/>
      <c r="V36" s="19"/>
      <c r="W36" s="18"/>
      <c r="X36" s="19"/>
      <c r="Y36" s="18"/>
      <c r="Z36" s="19"/>
      <c r="AA36" s="18"/>
      <c r="AB36" s="19"/>
      <c r="AC36" s="18"/>
      <c r="AD36" s="19"/>
      <c r="AE36" s="18"/>
      <c r="AF36" s="19"/>
      <c r="AG36" s="18"/>
      <c r="AH36" s="19"/>
      <c r="AI36" s="18"/>
      <c r="AJ36" s="19"/>
      <c r="AK36" s="18"/>
      <c r="AL36" s="19"/>
      <c r="AM36" s="18"/>
      <c r="AN36" s="19"/>
      <c r="AO36" s="18"/>
      <c r="AP36" s="19"/>
      <c r="AQ36" s="18"/>
      <c r="AR36" s="19"/>
      <c r="AS36" s="18"/>
      <c r="AT36" s="19"/>
      <c r="AU36" s="18"/>
      <c r="AV36" s="19"/>
      <c r="AW36" s="18"/>
      <c r="AX36" s="19"/>
      <c r="AY36" s="18"/>
      <c r="AZ36" s="19"/>
      <c r="BA36" s="18"/>
      <c r="BB36" s="19"/>
      <c r="BC36" s="18"/>
      <c r="BD36" s="19"/>
      <c r="BE36" s="18"/>
      <c r="BF36" s="19"/>
      <c r="BG36" s="18"/>
      <c r="BH36" s="19"/>
    </row>
    <row r="37" spans="1:60" x14ac:dyDescent="0.15">
      <c r="A37" s="17">
        <v>1986</v>
      </c>
      <c r="B37" s="17">
        <v>2</v>
      </c>
      <c r="C37" s="18">
        <v>72741.210293087599</v>
      </c>
      <c r="D37" s="19">
        <v>1.62881117617724E-2</v>
      </c>
      <c r="E37" s="18"/>
      <c r="F37" s="19"/>
      <c r="G37" s="18"/>
      <c r="H37" s="19"/>
      <c r="I37" s="18"/>
      <c r="J37" s="19"/>
      <c r="K37" s="18"/>
      <c r="L37" s="19"/>
      <c r="M37" s="18"/>
      <c r="N37" s="19"/>
      <c r="O37" s="18"/>
      <c r="P37" s="19"/>
      <c r="Q37" s="18"/>
      <c r="R37" s="19"/>
      <c r="S37" s="18"/>
      <c r="T37" s="19"/>
      <c r="U37" s="18"/>
      <c r="V37" s="19"/>
      <c r="W37" s="18"/>
      <c r="X37" s="19"/>
      <c r="Y37" s="18"/>
      <c r="Z37" s="19"/>
      <c r="AA37" s="18"/>
      <c r="AB37" s="19"/>
      <c r="AC37" s="18"/>
      <c r="AD37" s="19"/>
      <c r="AE37" s="18"/>
      <c r="AF37" s="19"/>
      <c r="AG37" s="18"/>
      <c r="AH37" s="19"/>
      <c r="AI37" s="18"/>
      <c r="AJ37" s="19"/>
      <c r="AK37" s="18"/>
      <c r="AL37" s="19"/>
      <c r="AM37" s="18"/>
      <c r="AN37" s="19"/>
      <c r="AO37" s="18"/>
      <c r="AP37" s="19"/>
      <c r="AQ37" s="18"/>
      <c r="AR37" s="19"/>
      <c r="AS37" s="18"/>
      <c r="AT37" s="19"/>
      <c r="AU37" s="18"/>
      <c r="AV37" s="19"/>
      <c r="AW37" s="18"/>
      <c r="AX37" s="19"/>
      <c r="AY37" s="18"/>
      <c r="AZ37" s="19"/>
      <c r="BA37" s="18"/>
      <c r="BB37" s="19"/>
      <c r="BC37" s="18"/>
      <c r="BD37" s="19"/>
      <c r="BE37" s="18"/>
      <c r="BF37" s="19"/>
      <c r="BG37" s="18"/>
      <c r="BH37" s="19"/>
    </row>
    <row r="38" spans="1:60" x14ac:dyDescent="0.15">
      <c r="A38" s="17">
        <v>1986</v>
      </c>
      <c r="B38" s="17">
        <v>3</v>
      </c>
      <c r="C38" s="18">
        <v>73039.870700976404</v>
      </c>
      <c r="D38" s="19">
        <v>4.1057937678718997E-3</v>
      </c>
      <c r="E38" s="18"/>
      <c r="F38" s="19"/>
      <c r="G38" s="18"/>
      <c r="H38" s="19"/>
      <c r="I38" s="18"/>
      <c r="J38" s="19"/>
      <c r="K38" s="18"/>
      <c r="L38" s="19"/>
      <c r="M38" s="18"/>
      <c r="N38" s="19"/>
      <c r="O38" s="18"/>
      <c r="P38" s="19"/>
      <c r="Q38" s="18"/>
      <c r="R38" s="19"/>
      <c r="S38" s="18"/>
      <c r="T38" s="19"/>
      <c r="U38" s="18"/>
      <c r="V38" s="19"/>
      <c r="W38" s="18"/>
      <c r="X38" s="19"/>
      <c r="Y38" s="18"/>
      <c r="Z38" s="19"/>
      <c r="AA38" s="18"/>
      <c r="AB38" s="19"/>
      <c r="AC38" s="18"/>
      <c r="AD38" s="19"/>
      <c r="AE38" s="18"/>
      <c r="AF38" s="19"/>
      <c r="AG38" s="18"/>
      <c r="AH38" s="19"/>
      <c r="AI38" s="18"/>
      <c r="AJ38" s="19"/>
      <c r="AK38" s="18"/>
      <c r="AL38" s="19"/>
      <c r="AM38" s="18"/>
      <c r="AN38" s="19"/>
      <c r="AO38" s="18"/>
      <c r="AP38" s="19"/>
      <c r="AQ38" s="18"/>
      <c r="AR38" s="19"/>
      <c r="AS38" s="18"/>
      <c r="AT38" s="19"/>
      <c r="AU38" s="18"/>
      <c r="AV38" s="19"/>
      <c r="AW38" s="18"/>
      <c r="AX38" s="19"/>
      <c r="AY38" s="18"/>
      <c r="AZ38" s="19"/>
      <c r="BA38" s="18"/>
      <c r="BB38" s="19"/>
      <c r="BC38" s="18"/>
      <c r="BD38" s="19"/>
      <c r="BE38" s="18"/>
      <c r="BF38" s="19"/>
      <c r="BG38" s="18"/>
      <c r="BH38" s="19"/>
    </row>
    <row r="39" spans="1:60" x14ac:dyDescent="0.15">
      <c r="A39" s="17">
        <v>1986</v>
      </c>
      <c r="B39" s="17">
        <v>4</v>
      </c>
      <c r="C39" s="18">
        <v>73276.459245272694</v>
      </c>
      <c r="D39" s="19">
        <v>3.2391698126745801E-3</v>
      </c>
      <c r="E39" s="18"/>
      <c r="F39" s="19"/>
      <c r="G39" s="18"/>
      <c r="H39" s="19"/>
      <c r="I39" s="18"/>
      <c r="J39" s="19"/>
      <c r="K39" s="18"/>
      <c r="L39" s="19"/>
      <c r="M39" s="18"/>
      <c r="N39" s="19"/>
      <c r="O39" s="18"/>
      <c r="P39" s="19"/>
      <c r="Q39" s="18"/>
      <c r="R39" s="19"/>
      <c r="S39" s="18"/>
      <c r="T39" s="19"/>
      <c r="U39" s="18"/>
      <c r="V39" s="19"/>
      <c r="W39" s="18"/>
      <c r="X39" s="19"/>
      <c r="Y39" s="18"/>
      <c r="Z39" s="19"/>
      <c r="AA39" s="18"/>
      <c r="AB39" s="19"/>
      <c r="AC39" s="18"/>
      <c r="AD39" s="19"/>
      <c r="AE39" s="18"/>
      <c r="AF39" s="19"/>
      <c r="AG39" s="18"/>
      <c r="AH39" s="19"/>
      <c r="AI39" s="18"/>
      <c r="AJ39" s="19"/>
      <c r="AK39" s="18"/>
      <c r="AL39" s="19"/>
      <c r="AM39" s="18"/>
      <c r="AN39" s="19"/>
      <c r="AO39" s="18"/>
      <c r="AP39" s="19"/>
      <c r="AQ39" s="18"/>
      <c r="AR39" s="19"/>
      <c r="AS39" s="18"/>
      <c r="AT39" s="19"/>
      <c r="AU39" s="18"/>
      <c r="AV39" s="19"/>
      <c r="AW39" s="18"/>
      <c r="AX39" s="19"/>
      <c r="AY39" s="18"/>
      <c r="AZ39" s="19"/>
      <c r="BA39" s="18"/>
      <c r="BB39" s="19"/>
      <c r="BC39" s="18"/>
      <c r="BD39" s="19"/>
      <c r="BE39" s="18"/>
      <c r="BF39" s="19"/>
      <c r="BG39" s="18"/>
      <c r="BH39" s="19"/>
    </row>
    <row r="40" spans="1:60" x14ac:dyDescent="0.15">
      <c r="A40" s="17">
        <v>1987</v>
      </c>
      <c r="B40" s="17">
        <v>1</v>
      </c>
      <c r="C40" s="18">
        <v>73874.4807512845</v>
      </c>
      <c r="D40" s="19">
        <v>8.1611681592055306E-3</v>
      </c>
      <c r="E40" s="18"/>
      <c r="F40" s="19"/>
      <c r="G40" s="18"/>
      <c r="H40" s="19"/>
      <c r="I40" s="18"/>
      <c r="J40" s="19"/>
      <c r="K40" s="18"/>
      <c r="L40" s="19"/>
      <c r="M40" s="18"/>
      <c r="N40" s="19"/>
      <c r="O40" s="18"/>
      <c r="P40" s="19"/>
      <c r="Q40" s="18"/>
      <c r="R40" s="19"/>
      <c r="S40" s="18"/>
      <c r="T40" s="19"/>
      <c r="U40" s="18"/>
      <c r="V40" s="19"/>
      <c r="W40" s="18"/>
      <c r="X40" s="19"/>
      <c r="Y40" s="18"/>
      <c r="Z40" s="19"/>
      <c r="AA40" s="18"/>
      <c r="AB40" s="19"/>
      <c r="AC40" s="18"/>
      <c r="AD40" s="19"/>
      <c r="AE40" s="18"/>
      <c r="AF40" s="19"/>
      <c r="AG40" s="18"/>
      <c r="AH40" s="19"/>
      <c r="AI40" s="18"/>
      <c r="AJ40" s="19"/>
      <c r="AK40" s="18"/>
      <c r="AL40" s="19"/>
      <c r="AM40" s="18"/>
      <c r="AN40" s="19"/>
      <c r="AO40" s="18"/>
      <c r="AP40" s="19"/>
      <c r="AQ40" s="18"/>
      <c r="AR40" s="19"/>
      <c r="AS40" s="18"/>
      <c r="AT40" s="19"/>
      <c r="AU40" s="18"/>
      <c r="AV40" s="19"/>
      <c r="AW40" s="18"/>
      <c r="AX40" s="19"/>
      <c r="AY40" s="18"/>
      <c r="AZ40" s="19"/>
      <c r="BA40" s="18"/>
      <c r="BB40" s="19"/>
      <c r="BC40" s="18"/>
      <c r="BD40" s="19"/>
      <c r="BE40" s="18"/>
      <c r="BF40" s="19"/>
      <c r="BG40" s="18"/>
      <c r="BH40" s="19"/>
    </row>
    <row r="41" spans="1:60" x14ac:dyDescent="0.15">
      <c r="A41" s="17">
        <v>1987</v>
      </c>
      <c r="B41" s="17">
        <v>2</v>
      </c>
      <c r="C41" s="18">
        <v>74597.712559854393</v>
      </c>
      <c r="D41" s="19">
        <v>9.7900086906173005E-3</v>
      </c>
      <c r="E41" s="18"/>
      <c r="F41" s="19"/>
      <c r="G41" s="18"/>
      <c r="H41" s="19"/>
      <c r="I41" s="18"/>
      <c r="J41" s="19"/>
      <c r="K41" s="18"/>
      <c r="L41" s="19"/>
      <c r="M41" s="18"/>
      <c r="N41" s="19"/>
      <c r="O41" s="18"/>
      <c r="P41" s="19"/>
      <c r="Q41" s="18"/>
      <c r="R41" s="19"/>
      <c r="S41" s="18"/>
      <c r="T41" s="19"/>
      <c r="U41" s="18"/>
      <c r="V41" s="19"/>
      <c r="W41" s="18"/>
      <c r="X41" s="19"/>
      <c r="Y41" s="18"/>
      <c r="Z41" s="19"/>
      <c r="AA41" s="18"/>
      <c r="AB41" s="19"/>
      <c r="AC41" s="18"/>
      <c r="AD41" s="19"/>
      <c r="AE41" s="18"/>
      <c r="AF41" s="19"/>
      <c r="AG41" s="18"/>
      <c r="AH41" s="19"/>
      <c r="AI41" s="18"/>
      <c r="AJ41" s="19"/>
      <c r="AK41" s="18"/>
      <c r="AL41" s="19"/>
      <c r="AM41" s="18"/>
      <c r="AN41" s="19"/>
      <c r="AO41" s="18"/>
      <c r="AP41" s="19"/>
      <c r="AQ41" s="18"/>
      <c r="AR41" s="19"/>
      <c r="AS41" s="18"/>
      <c r="AT41" s="19"/>
      <c r="AU41" s="18"/>
      <c r="AV41" s="19"/>
      <c r="AW41" s="18"/>
      <c r="AX41" s="19"/>
      <c r="AY41" s="18"/>
      <c r="AZ41" s="19"/>
      <c r="BA41" s="18"/>
      <c r="BB41" s="19"/>
      <c r="BC41" s="18"/>
      <c r="BD41" s="19"/>
      <c r="BE41" s="18"/>
      <c r="BF41" s="19"/>
      <c r="BG41" s="18"/>
      <c r="BH41" s="19"/>
    </row>
    <row r="42" spans="1:60" x14ac:dyDescent="0.15">
      <c r="A42" s="17">
        <v>1987</v>
      </c>
      <c r="B42" s="17">
        <v>3</v>
      </c>
      <c r="C42" s="18">
        <v>75955.312579899793</v>
      </c>
      <c r="D42" s="19">
        <v>1.81989497192174E-2</v>
      </c>
      <c r="E42" s="18"/>
      <c r="F42" s="19"/>
      <c r="G42" s="18"/>
      <c r="H42" s="19"/>
      <c r="I42" s="18"/>
      <c r="J42" s="19"/>
      <c r="K42" s="18"/>
      <c r="L42" s="19"/>
      <c r="M42" s="18"/>
      <c r="N42" s="19"/>
      <c r="O42" s="18"/>
      <c r="P42" s="19"/>
      <c r="Q42" s="18"/>
      <c r="R42" s="19"/>
      <c r="S42" s="18"/>
      <c r="T42" s="19"/>
      <c r="U42" s="18"/>
      <c r="V42" s="19"/>
      <c r="W42" s="18"/>
      <c r="X42" s="19"/>
      <c r="Y42" s="18"/>
      <c r="Z42" s="19"/>
      <c r="AA42" s="18"/>
      <c r="AB42" s="19"/>
      <c r="AC42" s="18"/>
      <c r="AD42" s="19"/>
      <c r="AE42" s="18"/>
      <c r="AF42" s="19"/>
      <c r="AG42" s="18"/>
      <c r="AH42" s="19"/>
      <c r="AI42" s="18"/>
      <c r="AJ42" s="19"/>
      <c r="AK42" s="18"/>
      <c r="AL42" s="19"/>
      <c r="AM42" s="18"/>
      <c r="AN42" s="19"/>
      <c r="AO42" s="18"/>
      <c r="AP42" s="19"/>
      <c r="AQ42" s="18"/>
      <c r="AR42" s="19"/>
      <c r="AS42" s="18"/>
      <c r="AT42" s="19"/>
      <c r="AU42" s="18"/>
      <c r="AV42" s="19"/>
      <c r="AW42" s="18"/>
      <c r="AX42" s="19"/>
      <c r="AY42" s="18"/>
      <c r="AZ42" s="19"/>
      <c r="BA42" s="18"/>
      <c r="BB42" s="19"/>
      <c r="BC42" s="18"/>
      <c r="BD42" s="19"/>
      <c r="BE42" s="18"/>
      <c r="BF42" s="19"/>
      <c r="BG42" s="18"/>
      <c r="BH42" s="19"/>
    </row>
    <row r="43" spans="1:60" x14ac:dyDescent="0.15">
      <c r="A43" s="17">
        <v>1987</v>
      </c>
      <c r="B43" s="17">
        <v>4</v>
      </c>
      <c r="C43" s="18">
        <v>77205.026098359405</v>
      </c>
      <c r="D43" s="19">
        <v>1.64532733262732E-2</v>
      </c>
      <c r="E43" s="18"/>
      <c r="F43" s="19"/>
      <c r="G43" s="18"/>
      <c r="H43" s="19"/>
      <c r="I43" s="18"/>
      <c r="J43" s="19"/>
      <c r="K43" s="18"/>
      <c r="L43" s="19"/>
      <c r="M43" s="18"/>
      <c r="N43" s="19"/>
      <c r="O43" s="18"/>
      <c r="P43" s="19"/>
      <c r="Q43" s="18"/>
      <c r="R43" s="19"/>
      <c r="S43" s="18"/>
      <c r="T43" s="19"/>
      <c r="U43" s="18"/>
      <c r="V43" s="19"/>
      <c r="W43" s="18"/>
      <c r="X43" s="19"/>
      <c r="Y43" s="18"/>
      <c r="Z43" s="19"/>
      <c r="AA43" s="18"/>
      <c r="AB43" s="19"/>
      <c r="AC43" s="18"/>
      <c r="AD43" s="19"/>
      <c r="AE43" s="18"/>
      <c r="AF43" s="19"/>
      <c r="AG43" s="18"/>
      <c r="AH43" s="19"/>
      <c r="AI43" s="18"/>
      <c r="AJ43" s="19"/>
      <c r="AK43" s="18"/>
      <c r="AL43" s="19"/>
      <c r="AM43" s="18"/>
      <c r="AN43" s="19"/>
      <c r="AO43" s="18"/>
      <c r="AP43" s="19"/>
      <c r="AQ43" s="18"/>
      <c r="AR43" s="19"/>
      <c r="AS43" s="18"/>
      <c r="AT43" s="19"/>
      <c r="AU43" s="18"/>
      <c r="AV43" s="19"/>
      <c r="AW43" s="18"/>
      <c r="AX43" s="19"/>
      <c r="AY43" s="18"/>
      <c r="AZ43" s="19"/>
      <c r="BA43" s="18"/>
      <c r="BB43" s="19"/>
      <c r="BC43" s="18"/>
      <c r="BD43" s="19"/>
      <c r="BE43" s="18"/>
      <c r="BF43" s="19"/>
      <c r="BG43" s="18"/>
      <c r="BH43" s="19"/>
    </row>
    <row r="44" spans="1:60" x14ac:dyDescent="0.15">
      <c r="A44" s="17">
        <v>1988</v>
      </c>
      <c r="B44" s="17">
        <v>1</v>
      </c>
      <c r="C44" s="18">
        <v>77934.382353515903</v>
      </c>
      <c r="D44" s="19">
        <v>9.4470048391308604E-3</v>
      </c>
      <c r="E44" s="18"/>
      <c r="F44" s="19"/>
      <c r="G44" s="18"/>
      <c r="H44" s="19"/>
      <c r="I44" s="18"/>
      <c r="J44" s="19"/>
      <c r="K44" s="18"/>
      <c r="L44" s="19"/>
      <c r="M44" s="18"/>
      <c r="N44" s="19"/>
      <c r="O44" s="18"/>
      <c r="P44" s="19"/>
      <c r="Q44" s="18"/>
      <c r="R44" s="19"/>
      <c r="S44" s="18"/>
      <c r="T44" s="19"/>
      <c r="U44" s="18"/>
      <c r="V44" s="19"/>
      <c r="W44" s="18"/>
      <c r="X44" s="19"/>
      <c r="Y44" s="18"/>
      <c r="Z44" s="19"/>
      <c r="AA44" s="18"/>
      <c r="AB44" s="19"/>
      <c r="AC44" s="18"/>
      <c r="AD44" s="19"/>
      <c r="AE44" s="18"/>
      <c r="AF44" s="19"/>
      <c r="AG44" s="18"/>
      <c r="AH44" s="19"/>
      <c r="AI44" s="18"/>
      <c r="AJ44" s="19"/>
      <c r="AK44" s="18"/>
      <c r="AL44" s="19"/>
      <c r="AM44" s="18"/>
      <c r="AN44" s="19"/>
      <c r="AO44" s="18"/>
      <c r="AP44" s="19"/>
      <c r="AQ44" s="18"/>
      <c r="AR44" s="19"/>
      <c r="AS44" s="18"/>
      <c r="AT44" s="19"/>
      <c r="AU44" s="18"/>
      <c r="AV44" s="19"/>
      <c r="AW44" s="18"/>
      <c r="AX44" s="19"/>
      <c r="AY44" s="18"/>
      <c r="AZ44" s="19"/>
      <c r="BA44" s="18"/>
      <c r="BB44" s="19"/>
      <c r="BC44" s="18"/>
      <c r="BD44" s="19"/>
      <c r="BE44" s="18"/>
      <c r="BF44" s="19"/>
      <c r="BG44" s="18"/>
      <c r="BH44" s="19"/>
    </row>
    <row r="45" spans="1:60" x14ac:dyDescent="0.15">
      <c r="A45" s="17">
        <v>1988</v>
      </c>
      <c r="B45" s="17">
        <v>2</v>
      </c>
      <c r="C45" s="18">
        <v>78945.9702215906</v>
      </c>
      <c r="D45" s="19">
        <v>1.29799946766251E-2</v>
      </c>
      <c r="E45" s="18"/>
      <c r="F45" s="19"/>
      <c r="G45" s="18"/>
      <c r="H45" s="19"/>
      <c r="I45" s="18"/>
      <c r="J45" s="19"/>
      <c r="K45" s="18"/>
      <c r="L45" s="19"/>
      <c r="M45" s="18"/>
      <c r="N45" s="19"/>
      <c r="O45" s="18"/>
      <c r="P45" s="19"/>
      <c r="Q45" s="18"/>
      <c r="R45" s="19"/>
      <c r="S45" s="18"/>
      <c r="T45" s="19"/>
      <c r="U45" s="18"/>
      <c r="V45" s="19"/>
      <c r="W45" s="18"/>
      <c r="X45" s="19"/>
      <c r="Y45" s="18"/>
      <c r="Z45" s="19"/>
      <c r="AA45" s="18"/>
      <c r="AB45" s="19"/>
      <c r="AC45" s="18"/>
      <c r="AD45" s="19"/>
      <c r="AE45" s="18"/>
      <c r="AF45" s="19"/>
      <c r="AG45" s="18"/>
      <c r="AH45" s="19"/>
      <c r="AI45" s="18"/>
      <c r="AJ45" s="19"/>
      <c r="AK45" s="18"/>
      <c r="AL45" s="19"/>
      <c r="AM45" s="18"/>
      <c r="AN45" s="19"/>
      <c r="AO45" s="18"/>
      <c r="AP45" s="19"/>
      <c r="AQ45" s="18"/>
      <c r="AR45" s="19"/>
      <c r="AS45" s="18"/>
      <c r="AT45" s="19"/>
      <c r="AU45" s="18"/>
      <c r="AV45" s="19"/>
      <c r="AW45" s="18"/>
      <c r="AX45" s="19"/>
      <c r="AY45" s="18"/>
      <c r="AZ45" s="19"/>
      <c r="BA45" s="18"/>
      <c r="BB45" s="19"/>
      <c r="BC45" s="18"/>
      <c r="BD45" s="19"/>
      <c r="BE45" s="18"/>
      <c r="BF45" s="19"/>
      <c r="BG45" s="18"/>
      <c r="BH45" s="19"/>
    </row>
    <row r="46" spans="1:60" x14ac:dyDescent="0.15">
      <c r="A46" s="17">
        <v>1988</v>
      </c>
      <c r="B46" s="17">
        <v>3</v>
      </c>
      <c r="C46" s="18">
        <v>80468.054479270795</v>
      </c>
      <c r="D46" s="19">
        <v>1.92800753909022E-2</v>
      </c>
      <c r="E46" s="18"/>
      <c r="F46" s="19"/>
      <c r="G46" s="18"/>
      <c r="H46" s="19"/>
      <c r="I46" s="18"/>
      <c r="J46" s="19"/>
      <c r="K46" s="18"/>
      <c r="L46" s="19"/>
      <c r="M46" s="18"/>
      <c r="N46" s="19"/>
      <c r="O46" s="18"/>
      <c r="P46" s="19"/>
      <c r="Q46" s="18"/>
      <c r="R46" s="19"/>
      <c r="S46" s="18"/>
      <c r="T46" s="19"/>
      <c r="U46" s="18"/>
      <c r="V46" s="19"/>
      <c r="W46" s="18"/>
      <c r="X46" s="19"/>
      <c r="Y46" s="18"/>
      <c r="Z46" s="19"/>
      <c r="AA46" s="18"/>
      <c r="AB46" s="19"/>
      <c r="AC46" s="18"/>
      <c r="AD46" s="19"/>
      <c r="AE46" s="18"/>
      <c r="AF46" s="19"/>
      <c r="AG46" s="18"/>
      <c r="AH46" s="19"/>
      <c r="AI46" s="18"/>
      <c r="AJ46" s="19"/>
      <c r="AK46" s="18"/>
      <c r="AL46" s="19"/>
      <c r="AM46" s="18"/>
      <c r="AN46" s="19"/>
      <c r="AO46" s="18"/>
      <c r="AP46" s="19"/>
      <c r="AQ46" s="18"/>
      <c r="AR46" s="19"/>
      <c r="AS46" s="18"/>
      <c r="AT46" s="19"/>
      <c r="AU46" s="18"/>
      <c r="AV46" s="19"/>
      <c r="AW46" s="18"/>
      <c r="AX46" s="19"/>
      <c r="AY46" s="18"/>
      <c r="AZ46" s="19"/>
      <c r="BA46" s="18"/>
      <c r="BB46" s="19"/>
      <c r="BC46" s="18"/>
      <c r="BD46" s="19"/>
      <c r="BE46" s="18"/>
      <c r="BF46" s="19"/>
      <c r="BG46" s="18"/>
      <c r="BH46" s="19"/>
    </row>
    <row r="47" spans="1:60" x14ac:dyDescent="0.15">
      <c r="A47" s="17">
        <v>1988</v>
      </c>
      <c r="B47" s="17">
        <v>4</v>
      </c>
      <c r="C47" s="18">
        <v>82522.675246968094</v>
      </c>
      <c r="D47" s="19">
        <v>2.5533371982127798E-2</v>
      </c>
      <c r="E47" s="18"/>
      <c r="F47" s="19"/>
      <c r="G47" s="18"/>
      <c r="H47" s="19"/>
      <c r="I47" s="18"/>
      <c r="J47" s="19"/>
      <c r="K47" s="18"/>
      <c r="L47" s="19"/>
      <c r="M47" s="18"/>
      <c r="N47" s="19"/>
      <c r="O47" s="18"/>
      <c r="P47" s="19"/>
      <c r="Q47" s="18"/>
      <c r="R47" s="19"/>
      <c r="S47" s="18"/>
      <c r="T47" s="19"/>
      <c r="U47" s="18"/>
      <c r="V47" s="19"/>
      <c r="W47" s="18"/>
      <c r="X47" s="19"/>
      <c r="Y47" s="18"/>
      <c r="Z47" s="19"/>
      <c r="AA47" s="18"/>
      <c r="AB47" s="19"/>
      <c r="AC47" s="18"/>
      <c r="AD47" s="19"/>
      <c r="AE47" s="18"/>
      <c r="AF47" s="19"/>
      <c r="AG47" s="18"/>
      <c r="AH47" s="19"/>
      <c r="AI47" s="18"/>
      <c r="AJ47" s="19"/>
      <c r="AK47" s="18"/>
      <c r="AL47" s="19"/>
      <c r="AM47" s="18"/>
      <c r="AN47" s="19"/>
      <c r="AO47" s="18"/>
      <c r="AP47" s="19"/>
      <c r="AQ47" s="18"/>
      <c r="AR47" s="19"/>
      <c r="AS47" s="18"/>
      <c r="AT47" s="19"/>
      <c r="AU47" s="18"/>
      <c r="AV47" s="19"/>
      <c r="AW47" s="18"/>
      <c r="AX47" s="19"/>
      <c r="AY47" s="18"/>
      <c r="AZ47" s="19"/>
      <c r="BA47" s="18"/>
      <c r="BB47" s="19"/>
      <c r="BC47" s="18"/>
      <c r="BD47" s="19"/>
      <c r="BE47" s="18"/>
      <c r="BF47" s="19"/>
      <c r="BG47" s="18"/>
      <c r="BH47" s="19"/>
    </row>
    <row r="48" spans="1:60" x14ac:dyDescent="0.15">
      <c r="A48" s="17">
        <v>1989</v>
      </c>
      <c r="B48" s="17">
        <v>1</v>
      </c>
      <c r="C48" s="18">
        <v>83631.880418020097</v>
      </c>
      <c r="D48" s="19">
        <v>1.34412168259506E-2</v>
      </c>
      <c r="E48" s="18"/>
      <c r="F48" s="19"/>
      <c r="G48" s="18"/>
      <c r="H48" s="19"/>
      <c r="I48" s="18"/>
      <c r="J48" s="19"/>
      <c r="K48" s="18"/>
      <c r="L48" s="19"/>
      <c r="M48" s="18"/>
      <c r="N48" s="19"/>
      <c r="O48" s="18"/>
      <c r="P48" s="19"/>
      <c r="Q48" s="18"/>
      <c r="R48" s="19"/>
      <c r="S48" s="18"/>
      <c r="T48" s="19"/>
      <c r="U48" s="18"/>
      <c r="V48" s="19"/>
      <c r="W48" s="18"/>
      <c r="X48" s="19"/>
      <c r="Y48" s="18"/>
      <c r="Z48" s="19"/>
      <c r="AA48" s="18"/>
      <c r="AB48" s="19"/>
      <c r="AC48" s="18"/>
      <c r="AD48" s="19"/>
      <c r="AE48" s="18"/>
      <c r="AF48" s="19"/>
      <c r="AG48" s="18"/>
      <c r="AH48" s="19"/>
      <c r="AI48" s="18"/>
      <c r="AJ48" s="19"/>
      <c r="AK48" s="18"/>
      <c r="AL48" s="19"/>
      <c r="AM48" s="18"/>
      <c r="AN48" s="19"/>
      <c r="AO48" s="18"/>
      <c r="AP48" s="19"/>
      <c r="AQ48" s="18"/>
      <c r="AR48" s="19"/>
      <c r="AS48" s="18"/>
      <c r="AT48" s="19"/>
      <c r="AU48" s="18"/>
      <c r="AV48" s="19"/>
      <c r="AW48" s="18"/>
      <c r="AX48" s="19"/>
      <c r="AY48" s="18"/>
      <c r="AZ48" s="19"/>
      <c r="BA48" s="18"/>
      <c r="BB48" s="19"/>
      <c r="BC48" s="18"/>
      <c r="BD48" s="19"/>
      <c r="BE48" s="18"/>
      <c r="BF48" s="19"/>
      <c r="BG48" s="18"/>
      <c r="BH48" s="19"/>
    </row>
    <row r="49" spans="1:60" x14ac:dyDescent="0.15">
      <c r="A49" s="17">
        <v>1989</v>
      </c>
      <c r="B49" s="17">
        <v>2</v>
      </c>
      <c r="C49" s="18">
        <v>85814.328727231594</v>
      </c>
      <c r="D49" s="19">
        <v>2.6095889489784699E-2</v>
      </c>
      <c r="E49" s="18"/>
      <c r="F49" s="19"/>
      <c r="G49" s="18"/>
      <c r="H49" s="19"/>
      <c r="I49" s="18"/>
      <c r="J49" s="19"/>
      <c r="K49" s="18"/>
      <c r="L49" s="19"/>
      <c r="M49" s="18"/>
      <c r="N49" s="19"/>
      <c r="O49" s="18"/>
      <c r="P49" s="19"/>
      <c r="Q49" s="18"/>
      <c r="R49" s="19"/>
      <c r="S49" s="18"/>
      <c r="T49" s="19"/>
      <c r="U49" s="18"/>
      <c r="V49" s="19"/>
      <c r="W49" s="18"/>
      <c r="X49" s="19"/>
      <c r="Y49" s="18"/>
      <c r="Z49" s="19"/>
      <c r="AA49" s="18"/>
      <c r="AB49" s="19"/>
      <c r="AC49" s="18"/>
      <c r="AD49" s="19"/>
      <c r="AE49" s="18"/>
      <c r="AF49" s="19"/>
      <c r="AG49" s="18"/>
      <c r="AH49" s="19"/>
      <c r="AI49" s="18"/>
      <c r="AJ49" s="19"/>
      <c r="AK49" s="18"/>
      <c r="AL49" s="19"/>
      <c r="AM49" s="18"/>
      <c r="AN49" s="19"/>
      <c r="AO49" s="18"/>
      <c r="AP49" s="19"/>
      <c r="AQ49" s="18"/>
      <c r="AR49" s="19"/>
      <c r="AS49" s="18"/>
      <c r="AT49" s="19"/>
      <c r="AU49" s="18"/>
      <c r="AV49" s="19"/>
      <c r="AW49" s="18"/>
      <c r="AX49" s="19"/>
      <c r="AY49" s="18"/>
      <c r="AZ49" s="19"/>
      <c r="BA49" s="18"/>
      <c r="BB49" s="19"/>
      <c r="BC49" s="18"/>
      <c r="BD49" s="19"/>
      <c r="BE49" s="18"/>
      <c r="BF49" s="19"/>
      <c r="BG49" s="18"/>
      <c r="BH49" s="19"/>
    </row>
    <row r="50" spans="1:60" x14ac:dyDescent="0.15">
      <c r="A50" s="17">
        <v>1989</v>
      </c>
      <c r="B50" s="17">
        <v>3</v>
      </c>
      <c r="C50" s="18">
        <v>87264.573432710997</v>
      </c>
      <c r="D50" s="19">
        <v>1.6899796653879501E-2</v>
      </c>
      <c r="E50" s="18"/>
      <c r="F50" s="19"/>
      <c r="G50" s="18"/>
      <c r="H50" s="19"/>
      <c r="I50" s="18"/>
      <c r="J50" s="19"/>
      <c r="K50" s="18"/>
      <c r="L50" s="19"/>
      <c r="M50" s="18"/>
      <c r="N50" s="19"/>
      <c r="O50" s="18"/>
      <c r="P50" s="19"/>
      <c r="Q50" s="18"/>
      <c r="R50" s="19"/>
      <c r="S50" s="18"/>
      <c r="T50" s="19"/>
      <c r="U50" s="18"/>
      <c r="V50" s="19"/>
      <c r="W50" s="18"/>
      <c r="X50" s="19"/>
      <c r="Y50" s="18"/>
      <c r="Z50" s="19"/>
      <c r="AA50" s="18"/>
      <c r="AB50" s="19"/>
      <c r="AC50" s="18"/>
      <c r="AD50" s="19"/>
      <c r="AE50" s="18"/>
      <c r="AF50" s="19"/>
      <c r="AG50" s="18"/>
      <c r="AH50" s="19"/>
      <c r="AI50" s="18"/>
      <c r="AJ50" s="19"/>
      <c r="AK50" s="18"/>
      <c r="AL50" s="19"/>
      <c r="AM50" s="18"/>
      <c r="AN50" s="19"/>
      <c r="AO50" s="18"/>
      <c r="AP50" s="19"/>
      <c r="AQ50" s="18"/>
      <c r="AR50" s="19"/>
      <c r="AS50" s="18"/>
      <c r="AT50" s="19"/>
      <c r="AU50" s="18"/>
      <c r="AV50" s="19"/>
      <c r="AW50" s="18"/>
      <c r="AX50" s="19"/>
      <c r="AY50" s="18"/>
      <c r="AZ50" s="19"/>
      <c r="BA50" s="18"/>
      <c r="BB50" s="19"/>
      <c r="BC50" s="18"/>
      <c r="BD50" s="19"/>
      <c r="BE50" s="18"/>
      <c r="BF50" s="19"/>
      <c r="BG50" s="18"/>
      <c r="BH50" s="19"/>
    </row>
    <row r="51" spans="1:60" x14ac:dyDescent="0.15">
      <c r="A51" s="17">
        <v>1989</v>
      </c>
      <c r="B51" s="17">
        <v>4</v>
      </c>
      <c r="C51" s="18">
        <v>88956.945314826706</v>
      </c>
      <c r="D51" s="19">
        <v>1.93935730794659E-2</v>
      </c>
      <c r="E51" s="18"/>
      <c r="F51" s="19"/>
      <c r="G51" s="18"/>
      <c r="H51" s="19"/>
      <c r="I51" s="18"/>
      <c r="J51" s="19"/>
      <c r="K51" s="18"/>
      <c r="L51" s="19"/>
      <c r="M51" s="18"/>
      <c r="N51" s="19"/>
      <c r="O51" s="18"/>
      <c r="P51" s="19"/>
      <c r="Q51" s="18"/>
      <c r="R51" s="19"/>
      <c r="S51" s="18"/>
      <c r="T51" s="19"/>
      <c r="U51" s="18"/>
      <c r="V51" s="19"/>
      <c r="W51" s="18"/>
      <c r="X51" s="19"/>
      <c r="Y51" s="18"/>
      <c r="Z51" s="19"/>
      <c r="AA51" s="18"/>
      <c r="AB51" s="19"/>
      <c r="AC51" s="18"/>
      <c r="AD51" s="19"/>
      <c r="AE51" s="18"/>
      <c r="AF51" s="19"/>
      <c r="AG51" s="18"/>
      <c r="AH51" s="19"/>
      <c r="AI51" s="18"/>
      <c r="AJ51" s="19"/>
      <c r="AK51" s="18"/>
      <c r="AL51" s="19"/>
      <c r="AM51" s="18"/>
      <c r="AN51" s="19"/>
      <c r="AO51" s="18"/>
      <c r="AP51" s="19"/>
      <c r="AQ51" s="18"/>
      <c r="AR51" s="19"/>
      <c r="AS51" s="18"/>
      <c r="AT51" s="19"/>
      <c r="AU51" s="18"/>
      <c r="AV51" s="19"/>
      <c r="AW51" s="18"/>
      <c r="AX51" s="19"/>
      <c r="AY51" s="18"/>
      <c r="AZ51" s="19"/>
      <c r="BA51" s="18"/>
      <c r="BB51" s="19"/>
      <c r="BC51" s="18"/>
      <c r="BD51" s="19"/>
      <c r="BE51" s="18"/>
      <c r="BF51" s="19"/>
      <c r="BG51" s="18"/>
      <c r="BH51" s="19"/>
    </row>
    <row r="52" spans="1:60" x14ac:dyDescent="0.15">
      <c r="A52" s="17">
        <v>1990</v>
      </c>
      <c r="B52" s="17">
        <v>1</v>
      </c>
      <c r="C52" s="18">
        <v>91808.988854843003</v>
      </c>
      <c r="D52" s="19">
        <v>3.2060942851877702E-2</v>
      </c>
      <c r="E52" s="18">
        <v>89445.856258969099</v>
      </c>
      <c r="F52" s="19"/>
      <c r="G52" s="18">
        <v>1960.2375091526501</v>
      </c>
      <c r="H52" s="19"/>
      <c r="I52" s="18">
        <v>133.81586540786</v>
      </c>
      <c r="J52" s="19"/>
      <c r="K52" s="18">
        <v>18186.395342829499</v>
      </c>
      <c r="L52" s="19"/>
      <c r="M52" s="18">
        <v>2906.6143612362898</v>
      </c>
      <c r="N52" s="19"/>
      <c r="O52" s="18">
        <v>15279.7809815932</v>
      </c>
      <c r="P52" s="19"/>
      <c r="Q52" s="18">
        <v>1495.44014187311</v>
      </c>
      <c r="R52" s="19"/>
      <c r="S52" s="18">
        <v>719.76595188296903</v>
      </c>
      <c r="T52" s="19"/>
      <c r="U52" s="18">
        <v>7022.6814188748704</v>
      </c>
      <c r="V52" s="19"/>
      <c r="W52" s="18">
        <v>15313.8732463419</v>
      </c>
      <c r="X52" s="19"/>
      <c r="Y52" s="18">
        <v>5173.9941765569602</v>
      </c>
      <c r="Z52" s="19"/>
      <c r="AA52" s="18">
        <v>3712.5160450662402</v>
      </c>
      <c r="AB52" s="19"/>
      <c r="AC52" s="18">
        <v>1905.1715280047199</v>
      </c>
      <c r="AD52" s="19"/>
      <c r="AE52" s="18">
        <v>4076.92614360792</v>
      </c>
      <c r="AF52" s="19"/>
      <c r="AG52" s="18">
        <v>6916.1966849250603</v>
      </c>
      <c r="AH52" s="19"/>
      <c r="AI52" s="18">
        <v>2914.4019906377998</v>
      </c>
      <c r="AJ52" s="19"/>
      <c r="AK52" s="18">
        <v>3787.8452922883898</v>
      </c>
      <c r="AL52" s="19"/>
      <c r="AM52" s="18">
        <v>12569.222172215101</v>
      </c>
      <c r="AN52" s="19"/>
      <c r="AO52" s="18">
        <v>5664.9838445896203</v>
      </c>
      <c r="AP52" s="19"/>
      <c r="AQ52" s="18">
        <v>3830.85049197132</v>
      </c>
      <c r="AR52" s="19"/>
      <c r="AS52" s="18">
        <v>3854.41792103848</v>
      </c>
      <c r="AT52" s="19"/>
      <c r="AU52" s="18">
        <v>299.64156789374402</v>
      </c>
      <c r="AV52" s="19"/>
      <c r="AW52" s="18">
        <v>1491.7815907352599</v>
      </c>
      <c r="AX52" s="19"/>
      <c r="AY52" s="18">
        <v>291.93879255878301</v>
      </c>
      <c r="AZ52" s="19"/>
      <c r="BA52" s="18">
        <v>2363.1325958739499</v>
      </c>
      <c r="BB52" s="19"/>
      <c r="BC52" s="18">
        <v>4365.0149822429403</v>
      </c>
      <c r="BD52" s="19"/>
      <c r="BE52" s="18">
        <v>-2001.88238636899</v>
      </c>
      <c r="BF52" s="19"/>
      <c r="BG52" s="18"/>
      <c r="BH52" s="19"/>
    </row>
    <row r="53" spans="1:60" x14ac:dyDescent="0.15">
      <c r="A53" s="17">
        <v>1990</v>
      </c>
      <c r="B53" s="17">
        <v>2</v>
      </c>
      <c r="C53" s="18">
        <v>93393.795184623799</v>
      </c>
      <c r="D53" s="19">
        <v>1.7261995252844799E-2</v>
      </c>
      <c r="E53" s="18">
        <v>90884.457903663293</v>
      </c>
      <c r="F53" s="19">
        <v>1.6083491229925001E-2</v>
      </c>
      <c r="G53" s="18">
        <v>1950.9986591495399</v>
      </c>
      <c r="H53" s="19">
        <v>-4.7131278531184996E-3</v>
      </c>
      <c r="I53" s="18">
        <v>135.21475905428201</v>
      </c>
      <c r="J53" s="19">
        <v>1.04538698917207E-2</v>
      </c>
      <c r="K53" s="18">
        <v>18482.001280655699</v>
      </c>
      <c r="L53" s="19">
        <v>1.6254234676733099E-2</v>
      </c>
      <c r="M53" s="18">
        <v>2932.50790785544</v>
      </c>
      <c r="N53" s="19">
        <v>8.9084905670584504E-3</v>
      </c>
      <c r="O53" s="18">
        <v>15549.4933728003</v>
      </c>
      <c r="P53" s="19">
        <v>1.76515875150276E-2</v>
      </c>
      <c r="Q53" s="18">
        <v>1597.62877243709</v>
      </c>
      <c r="R53" s="19">
        <v>6.8333481028524504E-2</v>
      </c>
      <c r="S53" s="18">
        <v>732.85250235973797</v>
      </c>
      <c r="T53" s="19">
        <v>1.8181674810448599E-2</v>
      </c>
      <c r="U53" s="18">
        <v>7164.1359095728303</v>
      </c>
      <c r="V53" s="19">
        <v>2.0142518542528399E-2</v>
      </c>
      <c r="W53" s="18">
        <v>15497.006982811299</v>
      </c>
      <c r="X53" s="19">
        <v>1.19586817471671E-2</v>
      </c>
      <c r="Y53" s="18">
        <v>5271.44616104948</v>
      </c>
      <c r="Z53" s="19">
        <v>1.88349621524646E-2</v>
      </c>
      <c r="AA53" s="18">
        <v>3678.8953031493902</v>
      </c>
      <c r="AB53" s="19">
        <v>-9.0560529594297893E-3</v>
      </c>
      <c r="AC53" s="18">
        <v>2008.5387084316999</v>
      </c>
      <c r="AD53" s="19">
        <v>5.4256101829966499E-2</v>
      </c>
      <c r="AE53" s="18">
        <v>4109.7071312882399</v>
      </c>
      <c r="AF53" s="19">
        <v>8.0406135715067606E-3</v>
      </c>
      <c r="AG53" s="18">
        <v>6834.3763114194498</v>
      </c>
      <c r="AH53" s="19">
        <v>-1.1830255447181E-2</v>
      </c>
      <c r="AI53" s="18">
        <v>2748.2702869104701</v>
      </c>
      <c r="AJ53" s="19">
        <v>-5.70037023928123E-2</v>
      </c>
      <c r="AK53" s="18">
        <v>3879.2698372868899</v>
      </c>
      <c r="AL53" s="19">
        <v>2.41362933128835E-2</v>
      </c>
      <c r="AM53" s="18">
        <v>12813.3095992369</v>
      </c>
      <c r="AN53" s="19">
        <v>1.9419453620715999E-2</v>
      </c>
      <c r="AO53" s="18">
        <v>5853.8667754676799</v>
      </c>
      <c r="AP53" s="19">
        <v>3.3342183501273701E-2</v>
      </c>
      <c r="AQ53" s="18">
        <v>3985.1020773476498</v>
      </c>
      <c r="AR53" s="19">
        <v>4.02656239651231E-2</v>
      </c>
      <c r="AS53" s="18">
        <v>3914.2832276522199</v>
      </c>
      <c r="AT53" s="19">
        <v>1.5531607583852299E-2</v>
      </c>
      <c r="AU53" s="18">
        <v>297.70051282459002</v>
      </c>
      <c r="AV53" s="19">
        <v>-6.4779232160526697E-3</v>
      </c>
      <c r="AW53" s="18">
        <v>1526.4270575881501</v>
      </c>
      <c r="AX53" s="19">
        <v>2.32242220094812E-2</v>
      </c>
      <c r="AY53" s="18">
        <v>302.412333216864</v>
      </c>
      <c r="AZ53" s="19">
        <v>3.5875810015801E-2</v>
      </c>
      <c r="BA53" s="18">
        <v>2509.3372809604698</v>
      </c>
      <c r="BB53" s="19">
        <v>6.18690146045109E-2</v>
      </c>
      <c r="BC53" s="18">
        <v>4481.1210614192396</v>
      </c>
      <c r="BD53" s="19">
        <v>2.65992395555621E-2</v>
      </c>
      <c r="BE53" s="18">
        <v>-1971.78378045877</v>
      </c>
      <c r="BF53" s="19">
        <v>-1.50351519725476E-2</v>
      </c>
      <c r="BG53" s="18"/>
      <c r="BH53" s="19"/>
    </row>
    <row r="54" spans="1:60" x14ac:dyDescent="0.15">
      <c r="A54" s="17">
        <v>1990</v>
      </c>
      <c r="B54" s="17">
        <v>3</v>
      </c>
      <c r="C54" s="18">
        <v>94439.244138831898</v>
      </c>
      <c r="D54" s="19">
        <v>1.11939872680131E-2</v>
      </c>
      <c r="E54" s="18">
        <v>91890.878057137903</v>
      </c>
      <c r="F54" s="19">
        <v>1.10736222307821E-2</v>
      </c>
      <c r="G54" s="18">
        <v>1940.9827490504299</v>
      </c>
      <c r="H54" s="19">
        <v>-5.1337349988097598E-3</v>
      </c>
      <c r="I54" s="18">
        <v>136.779852624575</v>
      </c>
      <c r="J54" s="19">
        <v>1.15748723086178E-2</v>
      </c>
      <c r="K54" s="18">
        <v>18524.0232684947</v>
      </c>
      <c r="L54" s="19">
        <v>2.2736708650119598E-3</v>
      </c>
      <c r="M54" s="18">
        <v>2955.10929600496</v>
      </c>
      <c r="N54" s="19">
        <v>7.7071874517293804E-3</v>
      </c>
      <c r="O54" s="18">
        <v>15568.9139724897</v>
      </c>
      <c r="P54" s="19">
        <v>1.24895385488188E-3</v>
      </c>
      <c r="Q54" s="18">
        <v>1511.3584838540801</v>
      </c>
      <c r="R54" s="19">
        <v>-5.39989577499983E-2</v>
      </c>
      <c r="S54" s="18">
        <v>741.93886931553902</v>
      </c>
      <c r="T54" s="19">
        <v>1.2398629910580499E-2</v>
      </c>
      <c r="U54" s="18">
        <v>7299.5857489899699</v>
      </c>
      <c r="V54" s="19">
        <v>1.8906654078986201E-2</v>
      </c>
      <c r="W54" s="18">
        <v>15459.7078457157</v>
      </c>
      <c r="X54" s="19">
        <v>-2.4068607013579802E-3</v>
      </c>
      <c r="Y54" s="18">
        <v>5304.9701399324904</v>
      </c>
      <c r="Z54" s="19">
        <v>6.3595411693120303E-3</v>
      </c>
      <c r="AA54" s="18">
        <v>3703.1907953817099</v>
      </c>
      <c r="AB54" s="19">
        <v>6.6040183887614602E-3</v>
      </c>
      <c r="AC54" s="18">
        <v>2068.6912018794701</v>
      </c>
      <c r="AD54" s="19">
        <v>2.9948386453921401E-2</v>
      </c>
      <c r="AE54" s="18">
        <v>4178.9785582310797</v>
      </c>
      <c r="AF54" s="19">
        <v>1.68555628734357E-2</v>
      </c>
      <c r="AG54" s="18">
        <v>6953.1811633818397</v>
      </c>
      <c r="AH54" s="19">
        <v>1.7383422648806299E-2</v>
      </c>
      <c r="AI54" s="18">
        <v>2810.8424119358301</v>
      </c>
      <c r="AJ54" s="19">
        <v>2.27678206628299E-2</v>
      </c>
      <c r="AK54" s="18">
        <v>3937.7473761948199</v>
      </c>
      <c r="AL54" s="19">
        <v>1.50743674352987E-2</v>
      </c>
      <c r="AM54" s="18">
        <v>13080.292365687999</v>
      </c>
      <c r="AN54" s="19">
        <v>2.0836362719825401E-2</v>
      </c>
      <c r="AO54" s="18">
        <v>6008.9933595008297</v>
      </c>
      <c r="AP54" s="19">
        <v>2.6499848729604002E-2</v>
      </c>
      <c r="AQ54" s="18">
        <v>4112.9927043302496</v>
      </c>
      <c r="AR54" s="19">
        <v>3.2092183462393301E-2</v>
      </c>
      <c r="AS54" s="18">
        <v>3992.1304276589299</v>
      </c>
      <c r="AT54" s="19">
        <v>1.9887983438900501E-2</v>
      </c>
      <c r="AU54" s="18">
        <v>317.67221259841</v>
      </c>
      <c r="AV54" s="19">
        <v>6.7086548102748098E-2</v>
      </c>
      <c r="AW54" s="18">
        <v>1549.41114361583</v>
      </c>
      <c r="AX54" s="19">
        <v>1.50574414371303E-2</v>
      </c>
      <c r="AY54" s="18">
        <v>310.96730682656499</v>
      </c>
      <c r="AZ54" s="19">
        <v>2.8289102890410901E-2</v>
      </c>
      <c r="BA54" s="18">
        <v>2548.3660816939901</v>
      </c>
      <c r="BB54" s="19">
        <v>1.5553429596591299E-2</v>
      </c>
      <c r="BC54" s="18">
        <v>4550.4999846472101</v>
      </c>
      <c r="BD54" s="19">
        <v>1.54824925006594E-2</v>
      </c>
      <c r="BE54" s="18">
        <v>-2002.1339029532201</v>
      </c>
      <c r="BF54" s="19">
        <v>1.53922163247473E-2</v>
      </c>
      <c r="BG54" s="18"/>
      <c r="BH54" s="19"/>
    </row>
    <row r="55" spans="1:60" x14ac:dyDescent="0.15">
      <c r="A55" s="17">
        <v>1990</v>
      </c>
      <c r="B55" s="17">
        <v>4</v>
      </c>
      <c r="C55" s="18">
        <v>95256.880998560096</v>
      </c>
      <c r="D55" s="19">
        <v>8.6578081726942403E-3</v>
      </c>
      <c r="E55" s="18">
        <v>92782.254559053705</v>
      </c>
      <c r="F55" s="19">
        <v>9.7003807207229897E-3</v>
      </c>
      <c r="G55" s="18">
        <v>1925.72759684786</v>
      </c>
      <c r="H55" s="19">
        <v>-7.8594991171540007E-3</v>
      </c>
      <c r="I55" s="18">
        <v>140.55054464523499</v>
      </c>
      <c r="J55" s="19">
        <v>2.75675982120622E-2</v>
      </c>
      <c r="K55" s="18">
        <v>18691.692557886199</v>
      </c>
      <c r="L55" s="19">
        <v>9.0514510245043294E-3</v>
      </c>
      <c r="M55" s="18">
        <v>3020.5389649136</v>
      </c>
      <c r="N55" s="19">
        <v>2.2141201002986201E-2</v>
      </c>
      <c r="O55" s="18">
        <v>15671.1535929726</v>
      </c>
      <c r="P55" s="19">
        <v>6.5669076637957496E-3</v>
      </c>
      <c r="Q55" s="18">
        <v>1702.09421384252</v>
      </c>
      <c r="R55" s="19">
        <v>0.126201514747212</v>
      </c>
      <c r="S55" s="18">
        <v>744.21761142854302</v>
      </c>
      <c r="T55" s="19">
        <v>3.071334050885E-3</v>
      </c>
      <c r="U55" s="18">
        <v>7369.2125857177298</v>
      </c>
      <c r="V55" s="19">
        <v>9.5384641159119692E-3</v>
      </c>
      <c r="W55" s="18">
        <v>15047.5212392133</v>
      </c>
      <c r="X55" s="19">
        <v>-2.6661991973971799E-2</v>
      </c>
      <c r="Y55" s="18">
        <v>5263.9001689421102</v>
      </c>
      <c r="Z55" s="19">
        <v>-7.74179117074236E-3</v>
      </c>
      <c r="AA55" s="18">
        <v>3879.9949333244599</v>
      </c>
      <c r="AB55" s="19">
        <v>4.7743729046648899E-2</v>
      </c>
      <c r="AC55" s="18">
        <v>2120.00485210954</v>
      </c>
      <c r="AD55" s="19">
        <v>2.4804886385868301E-2</v>
      </c>
      <c r="AE55" s="18">
        <v>4233.1918077618902</v>
      </c>
      <c r="AF55" s="19">
        <v>1.2972847018807999E-2</v>
      </c>
      <c r="AG55" s="18">
        <v>6980.7672016633696</v>
      </c>
      <c r="AH55" s="19">
        <v>3.9673981783767704E-3</v>
      </c>
      <c r="AI55" s="18">
        <v>2814.8056468244299</v>
      </c>
      <c r="AJ55" s="19">
        <v>1.4099811756682599E-3</v>
      </c>
      <c r="AK55" s="18">
        <v>3962.77740508955</v>
      </c>
      <c r="AL55" s="19">
        <v>6.3564333877885702E-3</v>
      </c>
      <c r="AM55" s="18">
        <v>13391.5269402985</v>
      </c>
      <c r="AN55" s="19">
        <v>2.37941603986607E-2</v>
      </c>
      <c r="AO55" s="18">
        <v>6165.2875814045801</v>
      </c>
      <c r="AP55" s="19">
        <v>2.6010050694538E-2</v>
      </c>
      <c r="AQ55" s="18">
        <v>4158.3710854549599</v>
      </c>
      <c r="AR55" s="19">
        <v>1.1032934990846901E-2</v>
      </c>
      <c r="AS55" s="18">
        <v>4027.4387296805598</v>
      </c>
      <c r="AT55" s="19">
        <v>8.8444760664643206E-3</v>
      </c>
      <c r="AU55" s="18">
        <v>335.3952410704</v>
      </c>
      <c r="AV55" s="19">
        <v>5.57903013519001E-2</v>
      </c>
      <c r="AW55" s="18">
        <v>1551.4691825659399</v>
      </c>
      <c r="AX55" s="19">
        <v>1.32827168475402E-3</v>
      </c>
      <c r="AY55" s="18">
        <v>317.79065413800998</v>
      </c>
      <c r="AZ55" s="19">
        <v>2.19423301474286E-2</v>
      </c>
      <c r="BA55" s="18">
        <v>2474.62643950648</v>
      </c>
      <c r="BB55" s="19">
        <v>-2.8936047578569799E-2</v>
      </c>
      <c r="BC55" s="18">
        <v>4522.3249271905897</v>
      </c>
      <c r="BD55" s="19">
        <v>-6.1916399410345503E-3</v>
      </c>
      <c r="BE55" s="18">
        <v>-2047.69848768411</v>
      </c>
      <c r="BF55" s="19">
        <v>2.2758010672354799E-2</v>
      </c>
      <c r="BG55" s="18"/>
      <c r="BH55" s="19"/>
    </row>
    <row r="56" spans="1:60" x14ac:dyDescent="0.15">
      <c r="A56" s="17">
        <v>1991</v>
      </c>
      <c r="B56" s="17">
        <v>1</v>
      </c>
      <c r="C56" s="18">
        <v>96921.6770758286</v>
      </c>
      <c r="D56" s="19">
        <v>1.7476911482055199E-2</v>
      </c>
      <c r="E56" s="18">
        <v>94585.364173691196</v>
      </c>
      <c r="F56" s="19">
        <v>1.94337766764427E-2</v>
      </c>
      <c r="G56" s="18">
        <v>1913.2566638027799</v>
      </c>
      <c r="H56" s="19">
        <v>-6.4759590429566104E-3</v>
      </c>
      <c r="I56" s="18">
        <v>145.49724999176499</v>
      </c>
      <c r="J56" s="19">
        <v>3.5195205817355003E-2</v>
      </c>
      <c r="K56" s="18">
        <v>19027.873507218501</v>
      </c>
      <c r="L56" s="19">
        <v>1.79855809360829E-2</v>
      </c>
      <c r="M56" s="18">
        <v>3084.95964267507</v>
      </c>
      <c r="N56" s="19">
        <v>2.13275440276668E-2</v>
      </c>
      <c r="O56" s="18">
        <v>15942.9138645434</v>
      </c>
      <c r="P56" s="19">
        <v>1.7341433734184401E-2</v>
      </c>
      <c r="Q56" s="18">
        <v>1814.23252575888</v>
      </c>
      <c r="R56" s="19">
        <v>6.5882552801359406E-2</v>
      </c>
      <c r="S56" s="18">
        <v>731.92813386093599</v>
      </c>
      <c r="T56" s="19">
        <v>-1.6513285064589701E-2</v>
      </c>
      <c r="U56" s="18">
        <v>7370.8441361100604</v>
      </c>
      <c r="V56" s="19">
        <v>2.2140091269684501E-4</v>
      </c>
      <c r="W56" s="18">
        <v>15103.0638623616</v>
      </c>
      <c r="X56" s="19">
        <v>3.69114768242307E-3</v>
      </c>
      <c r="Y56" s="18">
        <v>5204.5120196240396</v>
      </c>
      <c r="Z56" s="19">
        <v>-1.1282157224117901E-2</v>
      </c>
      <c r="AA56" s="18">
        <v>4174.7032332379704</v>
      </c>
      <c r="AB56" s="19">
        <v>7.5955846586890099E-2</v>
      </c>
      <c r="AC56" s="18">
        <v>2163.5883782662399</v>
      </c>
      <c r="AD56" s="19">
        <v>2.0558220002814698E-2</v>
      </c>
      <c r="AE56" s="18">
        <v>4406.9815763415399</v>
      </c>
      <c r="AF56" s="19">
        <v>4.1054073727770903E-2</v>
      </c>
      <c r="AG56" s="18">
        <v>7255.1677157760796</v>
      </c>
      <c r="AH56" s="19">
        <v>3.9308074053426401E-2</v>
      </c>
      <c r="AI56" s="18">
        <v>3081.96166546724</v>
      </c>
      <c r="AJ56" s="19">
        <v>9.4910999963430595E-2</v>
      </c>
      <c r="AK56" s="18">
        <v>3953.24164530092</v>
      </c>
      <c r="AL56" s="19">
        <v>-2.4063324314862501E-3</v>
      </c>
      <c r="AM56" s="18">
        <v>13704.2392247552</v>
      </c>
      <c r="AN56" s="19">
        <v>2.3351503219223701E-2</v>
      </c>
      <c r="AO56" s="18">
        <v>6281.6841251903197</v>
      </c>
      <c r="AP56" s="19">
        <v>1.8879337297551101E-2</v>
      </c>
      <c r="AQ56" s="18">
        <v>4160.8311216095999</v>
      </c>
      <c r="AR56" s="19">
        <v>5.9158649001944696E-4</v>
      </c>
      <c r="AS56" s="18">
        <v>4100.0046694163002</v>
      </c>
      <c r="AT56" s="19">
        <v>1.80178879447506E-2</v>
      </c>
      <c r="AU56" s="18">
        <v>367.51887398694998</v>
      </c>
      <c r="AV56" s="19">
        <v>9.5778439831253101E-2</v>
      </c>
      <c r="AW56" s="18">
        <v>1541.2205443053199</v>
      </c>
      <c r="AX56" s="19">
        <v>-6.6057633472769196E-3</v>
      </c>
      <c r="AY56" s="18">
        <v>322.72863170108297</v>
      </c>
      <c r="AZ56" s="19">
        <v>1.5538460614793199E-2</v>
      </c>
      <c r="BA56" s="18">
        <v>2336.3129021374998</v>
      </c>
      <c r="BB56" s="19">
        <v>-5.5892693604518803E-2</v>
      </c>
      <c r="BC56" s="18">
        <v>4515.2931862166797</v>
      </c>
      <c r="BD56" s="19">
        <v>-1.55489512299978E-3</v>
      </c>
      <c r="BE56" s="18">
        <v>-2178.9802840791799</v>
      </c>
      <c r="BF56" s="19">
        <v>6.4111878376949594E-2</v>
      </c>
      <c r="BG56" s="18"/>
      <c r="BH56" s="19"/>
    </row>
    <row r="57" spans="1:60" x14ac:dyDescent="0.15">
      <c r="A57" s="17">
        <v>1991</v>
      </c>
      <c r="B57" s="17">
        <v>2</v>
      </c>
      <c r="C57" s="18">
        <v>97276.913613601093</v>
      </c>
      <c r="D57" s="19">
        <v>3.66519181766289E-3</v>
      </c>
      <c r="E57" s="18">
        <v>95053.5202900515</v>
      </c>
      <c r="F57" s="19">
        <v>4.9495619163724101E-3</v>
      </c>
      <c r="G57" s="18">
        <v>1956.3475105104701</v>
      </c>
      <c r="H57" s="19">
        <v>2.2522250946740398E-2</v>
      </c>
      <c r="I57" s="18">
        <v>148.54139589280399</v>
      </c>
      <c r="J57" s="19">
        <v>2.09223603965785E-2</v>
      </c>
      <c r="K57" s="18">
        <v>19160.399104976001</v>
      </c>
      <c r="L57" s="19">
        <v>6.9648138930098503E-3</v>
      </c>
      <c r="M57" s="18">
        <v>3111.6404557922101</v>
      </c>
      <c r="N57" s="19">
        <v>8.64867492853039E-3</v>
      </c>
      <c r="O57" s="18">
        <v>16048.758649183799</v>
      </c>
      <c r="P57" s="19">
        <v>6.6389861690074898E-3</v>
      </c>
      <c r="Q57" s="18">
        <v>1762.9788281763799</v>
      </c>
      <c r="R57" s="19">
        <v>-2.8250897751415399E-2</v>
      </c>
      <c r="S57" s="18">
        <v>723.39972339861504</v>
      </c>
      <c r="T57" s="19">
        <v>-1.1651977930309801E-2</v>
      </c>
      <c r="U57" s="18">
        <v>7342.7652314556799</v>
      </c>
      <c r="V57" s="19">
        <v>-3.8094557605448101E-3</v>
      </c>
      <c r="W57" s="18">
        <v>14514.239481856501</v>
      </c>
      <c r="X57" s="19">
        <v>-3.8987081420776802E-2</v>
      </c>
      <c r="Y57" s="18">
        <v>5115.5970478592999</v>
      </c>
      <c r="Z57" s="19">
        <v>-1.70842091303623E-2</v>
      </c>
      <c r="AA57" s="18">
        <v>4440.1345658662804</v>
      </c>
      <c r="AB57" s="19">
        <v>6.3580886544225099E-2</v>
      </c>
      <c r="AC57" s="18">
        <v>2189.5205887602901</v>
      </c>
      <c r="AD57" s="19">
        <v>1.1985741259539899E-2</v>
      </c>
      <c r="AE57" s="18">
        <v>4517.7464647179804</v>
      </c>
      <c r="AF57" s="19">
        <v>2.51339576664154E-2</v>
      </c>
      <c r="AG57" s="18">
        <v>7394.6291801068301</v>
      </c>
      <c r="AH57" s="19">
        <v>1.9222362568889699E-2</v>
      </c>
      <c r="AI57" s="18">
        <v>3203.4481407829999</v>
      </c>
      <c r="AJ57" s="19">
        <v>3.9418554966788297E-2</v>
      </c>
      <c r="AK57" s="18">
        <v>3953.10932668548</v>
      </c>
      <c r="AL57" s="19">
        <v>-3.3470915089650597E-5</v>
      </c>
      <c r="AM57" s="18">
        <v>13895.627475060401</v>
      </c>
      <c r="AN57" s="19">
        <v>1.3965623860344299E-2</v>
      </c>
      <c r="AO57" s="18">
        <v>6397.4218021667702</v>
      </c>
      <c r="AP57" s="19">
        <v>1.8424625414118E-2</v>
      </c>
      <c r="AQ57" s="18">
        <v>4164.9410054889004</v>
      </c>
      <c r="AR57" s="19">
        <v>9.87755513064847E-4</v>
      </c>
      <c r="AS57" s="18">
        <v>4212.7190771681899</v>
      </c>
      <c r="AT57" s="19">
        <v>2.7491287654543901E-2</v>
      </c>
      <c r="AU57" s="18">
        <v>380.21971460983099</v>
      </c>
      <c r="AV57" s="19">
        <v>3.4558335698786198E-2</v>
      </c>
      <c r="AW57" s="18">
        <v>1523.6656687514201</v>
      </c>
      <c r="AX57" s="19">
        <v>-1.13902423756032E-2</v>
      </c>
      <c r="AY57" s="18">
        <v>328.22347108819901</v>
      </c>
      <c r="AZ57" s="19">
        <v>1.7026191193986E-2</v>
      </c>
      <c r="BA57" s="18">
        <v>2223.3933235496602</v>
      </c>
      <c r="BB57" s="19">
        <v>-4.8332386678399002E-2</v>
      </c>
      <c r="BC57" s="18">
        <v>4497.22638610168</v>
      </c>
      <c r="BD57" s="19">
        <v>-4.00124629119514E-3</v>
      </c>
      <c r="BE57" s="18">
        <v>-2273.8330625520098</v>
      </c>
      <c r="BF57" s="19">
        <v>4.3530810795251701E-2</v>
      </c>
      <c r="BG57" s="18"/>
      <c r="BH57" s="19"/>
    </row>
    <row r="58" spans="1:60" x14ac:dyDescent="0.15">
      <c r="A58" s="17">
        <v>1991</v>
      </c>
      <c r="B58" s="17">
        <v>3</v>
      </c>
      <c r="C58" s="18">
        <v>98305.663926879395</v>
      </c>
      <c r="D58" s="19">
        <v>1.05754826614317E-2</v>
      </c>
      <c r="E58" s="18">
        <v>96038.651036858704</v>
      </c>
      <c r="F58" s="19">
        <v>1.0363958576190799E-2</v>
      </c>
      <c r="G58" s="18">
        <v>1907.4911557084199</v>
      </c>
      <c r="H58" s="19">
        <v>-2.4973249660180202E-2</v>
      </c>
      <c r="I58" s="18">
        <v>146.17220312756601</v>
      </c>
      <c r="J58" s="19">
        <v>-1.5949713889505099E-2</v>
      </c>
      <c r="K58" s="18">
        <v>19298.088278273299</v>
      </c>
      <c r="L58" s="19">
        <v>7.1861328432107898E-3</v>
      </c>
      <c r="M58" s="18">
        <v>3182.9791579175999</v>
      </c>
      <c r="N58" s="19">
        <v>2.2926396265546399E-2</v>
      </c>
      <c r="O58" s="18">
        <v>16115.109120355701</v>
      </c>
      <c r="P58" s="19">
        <v>4.1343055012714701E-3</v>
      </c>
      <c r="Q58" s="18">
        <v>1799.3777531410301</v>
      </c>
      <c r="R58" s="19">
        <v>2.0646263235222201E-2</v>
      </c>
      <c r="S58" s="18">
        <v>722.78312285843299</v>
      </c>
      <c r="T58" s="19">
        <v>-8.5236491007412195E-4</v>
      </c>
      <c r="U58" s="18">
        <v>7294.8263298501797</v>
      </c>
      <c r="V58" s="19">
        <v>-6.5287259083458603E-3</v>
      </c>
      <c r="W58" s="18">
        <v>14540.2829363577</v>
      </c>
      <c r="X58" s="19">
        <v>1.79433821067199E-3</v>
      </c>
      <c r="Y58" s="18">
        <v>5116.2387483025605</v>
      </c>
      <c r="Z58" s="19">
        <v>1.2543999014358301E-4</v>
      </c>
      <c r="AA58" s="18">
        <v>4584.9493057087102</v>
      </c>
      <c r="AB58" s="19">
        <v>3.2614943915372001E-2</v>
      </c>
      <c r="AC58" s="18">
        <v>2231.6503935249798</v>
      </c>
      <c r="AD58" s="19">
        <v>1.9241565930443499E-2</v>
      </c>
      <c r="AE58" s="18">
        <v>4568.0865417657096</v>
      </c>
      <c r="AF58" s="19">
        <v>1.11427406209859E-2</v>
      </c>
      <c r="AG58" s="18">
        <v>7442.4378433415404</v>
      </c>
      <c r="AH58" s="19">
        <v>6.4653226105402303E-3</v>
      </c>
      <c r="AI58" s="18">
        <v>3236.2726877516502</v>
      </c>
      <c r="AJ58" s="19">
        <v>1.02466297333668E-2</v>
      </c>
      <c r="AK58" s="18">
        <v>3960.3218676332599</v>
      </c>
      <c r="AL58" s="19">
        <v>1.8245235210412299E-3</v>
      </c>
      <c r="AM58" s="18">
        <v>14151.5883055009</v>
      </c>
      <c r="AN58" s="19">
        <v>1.8420242691443701E-2</v>
      </c>
      <c r="AO58" s="18">
        <v>6519.6244685083502</v>
      </c>
      <c r="AP58" s="19">
        <v>1.91018616749941E-2</v>
      </c>
      <c r="AQ58" s="18">
        <v>4184.2163498730297</v>
      </c>
      <c r="AR58" s="19">
        <v>4.6279993783158203E-3</v>
      </c>
      <c r="AS58" s="18">
        <v>4386.3782134398798</v>
      </c>
      <c r="AT58" s="19">
        <v>4.12225769367991E-2</v>
      </c>
      <c r="AU58" s="18">
        <v>400.34757452708902</v>
      </c>
      <c r="AV58" s="19">
        <v>5.2937444177276999E-2</v>
      </c>
      <c r="AW58" s="18">
        <v>1526.18255067461</v>
      </c>
      <c r="AX58" s="19">
        <v>1.6518597057162401E-3</v>
      </c>
      <c r="AY58" s="18">
        <v>334.16771067740098</v>
      </c>
      <c r="AZ58" s="19">
        <v>1.8110342838962401E-2</v>
      </c>
      <c r="BA58" s="18">
        <v>2267.01289002064</v>
      </c>
      <c r="BB58" s="19">
        <v>1.9618466066695602E-2</v>
      </c>
      <c r="BC58" s="18">
        <v>4608.1616514120497</v>
      </c>
      <c r="BD58" s="19">
        <v>2.4667485197812401E-2</v>
      </c>
      <c r="BE58" s="18">
        <v>-2341.1487613914101</v>
      </c>
      <c r="BF58" s="19">
        <v>2.9604503491494901E-2</v>
      </c>
      <c r="BG58" s="18"/>
      <c r="BH58" s="19"/>
    </row>
    <row r="59" spans="1:60" x14ac:dyDescent="0.15">
      <c r="A59" s="17">
        <v>1991</v>
      </c>
      <c r="B59" s="17">
        <v>4</v>
      </c>
      <c r="C59" s="18">
        <v>99078.617285927103</v>
      </c>
      <c r="D59" s="19">
        <v>7.8627550862446806E-3</v>
      </c>
      <c r="E59" s="18">
        <v>96905.991797263996</v>
      </c>
      <c r="F59" s="19">
        <v>9.0311635059554494E-3</v>
      </c>
      <c r="G59" s="18">
        <v>1865.67167781136</v>
      </c>
      <c r="H59" s="19">
        <v>-2.1923812213707299E-2</v>
      </c>
      <c r="I59" s="18">
        <v>140.870553706583</v>
      </c>
      <c r="J59" s="19">
        <v>-3.6269887896238799E-2</v>
      </c>
      <c r="K59" s="18">
        <v>19364.793639705102</v>
      </c>
      <c r="L59" s="19">
        <v>3.4565787279032798E-3</v>
      </c>
      <c r="M59" s="18">
        <v>3278.2633741731102</v>
      </c>
      <c r="N59" s="19">
        <v>2.9935545138110298E-2</v>
      </c>
      <c r="O59" s="18">
        <v>16086.530265531999</v>
      </c>
      <c r="P59" s="19">
        <v>-1.77341987635238E-3</v>
      </c>
      <c r="Q59" s="18">
        <v>1964.89240385017</v>
      </c>
      <c r="R59" s="19">
        <v>9.1984382056637698E-2</v>
      </c>
      <c r="S59" s="18">
        <v>725.68558293798401</v>
      </c>
      <c r="T59" s="19">
        <v>4.0156721812658596E-3</v>
      </c>
      <c r="U59" s="18">
        <v>7125.6100144432803</v>
      </c>
      <c r="V59" s="19">
        <v>-2.3196757229773501E-2</v>
      </c>
      <c r="W59" s="18">
        <v>14892.4479113333</v>
      </c>
      <c r="X59" s="19">
        <v>2.42199533886003E-2</v>
      </c>
      <c r="Y59" s="18">
        <v>5267.0629299011998</v>
      </c>
      <c r="Z59" s="19">
        <v>2.9479504186287898E-2</v>
      </c>
      <c r="AA59" s="18">
        <v>4564.9962883403005</v>
      </c>
      <c r="AB59" s="19">
        <v>-4.3518512502569396E-3</v>
      </c>
      <c r="AC59" s="18">
        <v>2238.73138722874</v>
      </c>
      <c r="AD59" s="19">
        <v>3.17298521502196E-3</v>
      </c>
      <c r="AE59" s="18">
        <v>4565.0013150867999</v>
      </c>
      <c r="AF59" s="19">
        <v>-6.7538709056846901E-4</v>
      </c>
      <c r="AG59" s="18">
        <v>7446.6208406923397</v>
      </c>
      <c r="AH59" s="19">
        <v>5.6204666251091805E-4</v>
      </c>
      <c r="AI59" s="18">
        <v>3228.22467509014</v>
      </c>
      <c r="AJ59" s="19">
        <v>-2.4868153700287098E-3</v>
      </c>
      <c r="AK59" s="18">
        <v>3973.01067040099</v>
      </c>
      <c r="AL59" s="19">
        <v>3.2039827043923701E-3</v>
      </c>
      <c r="AM59" s="18">
        <v>14423.4838998572</v>
      </c>
      <c r="AN59" s="19">
        <v>1.9213079725517699E-2</v>
      </c>
      <c r="AO59" s="18">
        <v>6651.6574362460797</v>
      </c>
      <c r="AP59" s="19">
        <v>2.0251621604203001E-2</v>
      </c>
      <c r="AQ59" s="18">
        <v>4248.8580246932697</v>
      </c>
      <c r="AR59" s="19">
        <v>1.54489322289011E-2</v>
      </c>
      <c r="AS59" s="18">
        <v>4425.5194492312503</v>
      </c>
      <c r="AT59" s="19">
        <v>8.9233608883616498E-3</v>
      </c>
      <c r="AU59" s="18">
        <v>402.27332180860498</v>
      </c>
      <c r="AV59" s="19">
        <v>4.8101884563453998E-3</v>
      </c>
      <c r="AW59" s="18">
        <v>1518.95998510907</v>
      </c>
      <c r="AX59" s="19">
        <v>-4.7324388306959602E-3</v>
      </c>
      <c r="AY59" s="18">
        <v>339.91806518253998</v>
      </c>
      <c r="AZ59" s="19">
        <v>1.7207989645327899E-2</v>
      </c>
      <c r="BA59" s="18">
        <v>2172.62548866308</v>
      </c>
      <c r="BB59" s="19">
        <v>-4.1635141014438298E-2</v>
      </c>
      <c r="BC59" s="18">
        <v>4527.2015292137903</v>
      </c>
      <c r="BD59" s="19">
        <v>-1.7568854637174801E-2</v>
      </c>
      <c r="BE59" s="18">
        <v>-2354.5760405507099</v>
      </c>
      <c r="BF59" s="19">
        <v>5.7353378737523596E-3</v>
      </c>
      <c r="BG59" s="18"/>
      <c r="BH59" s="19"/>
    </row>
    <row r="60" spans="1:60" x14ac:dyDescent="0.15">
      <c r="A60" s="17">
        <v>1992</v>
      </c>
      <c r="B60" s="17">
        <v>1</v>
      </c>
      <c r="C60" s="18">
        <v>99828.954721032802</v>
      </c>
      <c r="D60" s="19">
        <v>7.5731520650958997E-3</v>
      </c>
      <c r="E60" s="18">
        <v>97641.2586891463</v>
      </c>
      <c r="F60" s="19">
        <v>7.5874244538001196E-3</v>
      </c>
      <c r="G60" s="18">
        <v>1825.0402333147199</v>
      </c>
      <c r="H60" s="19">
        <v>-2.1778453829724299E-2</v>
      </c>
      <c r="I60" s="18">
        <v>131.30506605283799</v>
      </c>
      <c r="J60" s="19">
        <v>-6.79026766209017E-2</v>
      </c>
      <c r="K60" s="18">
        <v>19504.207316738401</v>
      </c>
      <c r="L60" s="19">
        <v>7.1993370870435704E-3</v>
      </c>
      <c r="M60" s="18">
        <v>3359.1568868601198</v>
      </c>
      <c r="N60" s="19">
        <v>2.4675721091936401E-2</v>
      </c>
      <c r="O60" s="18">
        <v>16145.0504298783</v>
      </c>
      <c r="P60" s="19">
        <v>3.6378363376254898E-3</v>
      </c>
      <c r="Q60" s="18">
        <v>2000.88191132663</v>
      </c>
      <c r="R60" s="19">
        <v>1.8316273911967301E-2</v>
      </c>
      <c r="S60" s="18">
        <v>721.19215796743401</v>
      </c>
      <c r="T60" s="19">
        <v>-6.19197222074874E-3</v>
      </c>
      <c r="U60" s="18">
        <v>7070.3914085461502</v>
      </c>
      <c r="V60" s="19">
        <v>-7.7493163090887104E-3</v>
      </c>
      <c r="W60" s="18">
        <v>15077.8618136406</v>
      </c>
      <c r="X60" s="19">
        <v>1.2450196462743901E-2</v>
      </c>
      <c r="Y60" s="18">
        <v>5241.2734896072898</v>
      </c>
      <c r="Z60" s="19">
        <v>-4.8963607682573898E-3</v>
      </c>
      <c r="AA60" s="18">
        <v>4495.3651881660098</v>
      </c>
      <c r="AB60" s="19">
        <v>-1.5253265452184099E-2</v>
      </c>
      <c r="AC60" s="18">
        <v>2250.3045618542601</v>
      </c>
      <c r="AD60" s="19">
        <v>5.1695235487163602E-3</v>
      </c>
      <c r="AE60" s="18">
        <v>4597.2487272089702</v>
      </c>
      <c r="AF60" s="19">
        <v>7.0640531943746403E-3</v>
      </c>
      <c r="AG60" s="18">
        <v>7508.2283355703503</v>
      </c>
      <c r="AH60" s="19">
        <v>8.2732149515862795E-3</v>
      </c>
      <c r="AI60" s="18">
        <v>3273.1137524024698</v>
      </c>
      <c r="AJ60" s="19">
        <v>1.3905189951216399E-2</v>
      </c>
      <c r="AK60" s="18">
        <v>3989.3235498808099</v>
      </c>
      <c r="AL60" s="19">
        <v>4.1059239033391899E-3</v>
      </c>
      <c r="AM60" s="18">
        <v>14670.3265928864</v>
      </c>
      <c r="AN60" s="19">
        <v>1.71139438115691E-2</v>
      </c>
      <c r="AO60" s="18">
        <v>6773.3890049458496</v>
      </c>
      <c r="AP60" s="19">
        <v>1.8300937753713799E-2</v>
      </c>
      <c r="AQ60" s="18">
        <v>4270.3021775011002</v>
      </c>
      <c r="AR60" s="19">
        <v>5.0470391533914399E-3</v>
      </c>
      <c r="AS60" s="18">
        <v>4490.0437721530197</v>
      </c>
      <c r="AT60" s="19">
        <v>1.45800563441145E-2</v>
      </c>
      <c r="AU60" s="18">
        <v>394.79713612668098</v>
      </c>
      <c r="AV60" s="19">
        <v>-1.8584840894524099E-2</v>
      </c>
      <c r="AW60" s="18">
        <v>1516.3939793445199</v>
      </c>
      <c r="AX60" s="19">
        <v>-1.6893175526061499E-3</v>
      </c>
      <c r="AY60" s="18">
        <v>343.97930580238</v>
      </c>
      <c r="AZ60" s="19">
        <v>1.19477045671545E-2</v>
      </c>
      <c r="BA60" s="18">
        <v>2187.6960318864899</v>
      </c>
      <c r="BB60" s="19">
        <v>6.9365582342861797E-3</v>
      </c>
      <c r="BC60" s="18">
        <v>4552.0558310487604</v>
      </c>
      <c r="BD60" s="19">
        <v>5.4899923660549597E-3</v>
      </c>
      <c r="BE60" s="18">
        <v>-2364.3597991622801</v>
      </c>
      <c r="BF60" s="19">
        <v>4.1552102981912099E-3</v>
      </c>
      <c r="BG60" s="18"/>
      <c r="BH60" s="19"/>
    </row>
    <row r="61" spans="1:60" x14ac:dyDescent="0.15">
      <c r="A61" s="17">
        <v>1992</v>
      </c>
      <c r="B61" s="17">
        <v>2</v>
      </c>
      <c r="C61" s="18">
        <v>100088.850263281</v>
      </c>
      <c r="D61" s="19">
        <v>2.60340842968776E-3</v>
      </c>
      <c r="E61" s="18">
        <v>97983.350902343504</v>
      </c>
      <c r="F61" s="19">
        <v>3.5035620985410798E-3</v>
      </c>
      <c r="G61" s="18">
        <v>1800.9172123524399</v>
      </c>
      <c r="H61" s="19">
        <v>-1.3217802282890901E-2</v>
      </c>
      <c r="I61" s="18">
        <v>126.231913554158</v>
      </c>
      <c r="J61" s="19">
        <v>-3.8636380538726402E-2</v>
      </c>
      <c r="K61" s="18">
        <v>19367.487000826601</v>
      </c>
      <c r="L61" s="19">
        <v>-7.0097858216718904E-3</v>
      </c>
      <c r="M61" s="18">
        <v>3359.9697558439302</v>
      </c>
      <c r="N61" s="19">
        <v>2.41986013512996E-4</v>
      </c>
      <c r="O61" s="18">
        <v>16007.517244982701</v>
      </c>
      <c r="P61" s="19">
        <v>-8.5185974173928002E-3</v>
      </c>
      <c r="Q61" s="18">
        <v>2031.87591207332</v>
      </c>
      <c r="R61" s="19">
        <v>1.54901698952001E-2</v>
      </c>
      <c r="S61" s="18">
        <v>717.42283950989997</v>
      </c>
      <c r="T61" s="19">
        <v>-5.2265105990025899E-3</v>
      </c>
      <c r="U61" s="18">
        <v>6933.5163789894204</v>
      </c>
      <c r="V61" s="19">
        <v>-1.9358904146563799E-2</v>
      </c>
      <c r="W61" s="18">
        <v>15255.766567524301</v>
      </c>
      <c r="X61" s="19">
        <v>1.17990704572384E-2</v>
      </c>
      <c r="Y61" s="18">
        <v>5260.6792272520797</v>
      </c>
      <c r="Z61" s="19">
        <v>3.7024852229661201E-3</v>
      </c>
      <c r="AA61" s="18">
        <v>4507.4692655169802</v>
      </c>
      <c r="AB61" s="19">
        <v>2.6925681995400002E-3</v>
      </c>
      <c r="AC61" s="18">
        <v>2251.4658629688802</v>
      </c>
      <c r="AD61" s="19">
        <v>5.1606397387282698E-4</v>
      </c>
      <c r="AE61" s="18">
        <v>4579.78304923821</v>
      </c>
      <c r="AF61" s="19">
        <v>-3.7991588028252199E-3</v>
      </c>
      <c r="AG61" s="18">
        <v>7556.4694357104599</v>
      </c>
      <c r="AH61" s="19">
        <v>6.4250976374247096E-3</v>
      </c>
      <c r="AI61" s="18">
        <v>3284.5987496583498</v>
      </c>
      <c r="AJ61" s="19">
        <v>3.5088903486604202E-3</v>
      </c>
      <c r="AK61" s="18">
        <v>4020.96004255866</v>
      </c>
      <c r="AL61" s="19">
        <v>7.9302900058813002E-3</v>
      </c>
      <c r="AM61" s="18">
        <v>14837.576801655399</v>
      </c>
      <c r="AN61" s="19">
        <v>1.1400578419984E-2</v>
      </c>
      <c r="AO61" s="18">
        <v>6865.1795420808803</v>
      </c>
      <c r="AP61" s="19">
        <v>1.35516411456669E-2</v>
      </c>
      <c r="AQ61" s="18">
        <v>4292.7652721473396</v>
      </c>
      <c r="AR61" s="19">
        <v>5.2603056440796402E-3</v>
      </c>
      <c r="AS61" s="18">
        <v>4598.9887711227302</v>
      </c>
      <c r="AT61" s="19">
        <v>2.4263683050348001E-2</v>
      </c>
      <c r="AU61" s="18">
        <v>388.29659509318498</v>
      </c>
      <c r="AV61" s="19">
        <v>-1.64655222610578E-2</v>
      </c>
      <c r="AW61" s="18">
        <v>1524.37649553458</v>
      </c>
      <c r="AX61" s="19">
        <v>5.2641439485976403E-3</v>
      </c>
      <c r="AY61" s="18">
        <v>347.76198644474101</v>
      </c>
      <c r="AZ61" s="19">
        <v>1.09968262001618E-2</v>
      </c>
      <c r="BA61" s="18">
        <v>2105.4993609370299</v>
      </c>
      <c r="BB61" s="19">
        <v>-3.7572253983830399E-2</v>
      </c>
      <c r="BC61" s="18">
        <v>4478.3513487895198</v>
      </c>
      <c r="BD61" s="19">
        <v>-1.6191471500969098E-2</v>
      </c>
      <c r="BE61" s="18">
        <v>-2372.8519878524899</v>
      </c>
      <c r="BF61" s="19">
        <v>3.5917497384363498E-3</v>
      </c>
      <c r="BG61" s="18"/>
      <c r="BH61" s="19"/>
    </row>
    <row r="62" spans="1:60" x14ac:dyDescent="0.15">
      <c r="A62" s="17">
        <v>1992</v>
      </c>
      <c r="B62" s="17">
        <v>3</v>
      </c>
      <c r="C62" s="18">
        <v>99659.838242554702</v>
      </c>
      <c r="D62" s="19">
        <v>-4.2863118079314901E-3</v>
      </c>
      <c r="E62" s="18">
        <v>97593.905836607795</v>
      </c>
      <c r="F62" s="19">
        <v>-3.9746044827938497E-3</v>
      </c>
      <c r="G62" s="18">
        <v>1787.5073494211899</v>
      </c>
      <c r="H62" s="19">
        <v>-7.4461295829000296E-3</v>
      </c>
      <c r="I62" s="18">
        <v>125.141516732943</v>
      </c>
      <c r="J62" s="19">
        <v>-8.6380439820131806E-3</v>
      </c>
      <c r="K62" s="18">
        <v>19257.678732590099</v>
      </c>
      <c r="L62" s="19">
        <v>-5.6697220569592597E-3</v>
      </c>
      <c r="M62" s="18">
        <v>3364.4754935729202</v>
      </c>
      <c r="N62" s="19">
        <v>1.34100544243099E-3</v>
      </c>
      <c r="O62" s="18">
        <v>15893.203239017201</v>
      </c>
      <c r="P62" s="19">
        <v>-7.1412702054890502E-3</v>
      </c>
      <c r="Q62" s="18">
        <v>2140.4242174062501</v>
      </c>
      <c r="R62" s="19">
        <v>5.3422703959404197E-2</v>
      </c>
      <c r="S62" s="18">
        <v>714.74123573681504</v>
      </c>
      <c r="T62" s="19">
        <v>-3.7378288303691102E-3</v>
      </c>
      <c r="U62" s="18">
        <v>6781.6923360638502</v>
      </c>
      <c r="V62" s="19">
        <v>-2.1897120397038401E-2</v>
      </c>
      <c r="W62" s="18">
        <v>15096.0244989195</v>
      </c>
      <c r="X62" s="19">
        <v>-1.04709303133181E-2</v>
      </c>
      <c r="Y62" s="18">
        <v>5208.9658881485802</v>
      </c>
      <c r="Z62" s="19">
        <v>-9.8301639141210595E-3</v>
      </c>
      <c r="AA62" s="18">
        <v>4479.6567478939296</v>
      </c>
      <c r="AB62" s="19">
        <v>-6.1703177514321698E-3</v>
      </c>
      <c r="AC62" s="18">
        <v>2255.4731021325301</v>
      </c>
      <c r="AD62" s="19">
        <v>1.77983563044637E-3</v>
      </c>
      <c r="AE62" s="18">
        <v>4541.8570067154496</v>
      </c>
      <c r="AF62" s="19">
        <v>-8.28118758356222E-3</v>
      </c>
      <c r="AG62" s="18">
        <v>7700.80007334117</v>
      </c>
      <c r="AH62" s="19">
        <v>1.9100274123869301E-2</v>
      </c>
      <c r="AI62" s="18">
        <v>3382.07523711866</v>
      </c>
      <c r="AJ62" s="19">
        <v>2.9676832663488899E-2</v>
      </c>
      <c r="AK62" s="18">
        <v>4072.1505885207298</v>
      </c>
      <c r="AL62" s="19">
        <v>1.2730926301248099E-2</v>
      </c>
      <c r="AM62" s="18">
        <v>14817.814257242801</v>
      </c>
      <c r="AN62" s="19">
        <v>-1.33192533232973E-3</v>
      </c>
      <c r="AO62" s="18">
        <v>6873.5882673712103</v>
      </c>
      <c r="AP62" s="19">
        <v>1.22483690903996E-3</v>
      </c>
      <c r="AQ62" s="18">
        <v>4368.6021925239502</v>
      </c>
      <c r="AR62" s="19">
        <v>1.7666216428990199E-2</v>
      </c>
      <c r="AS62" s="18">
        <v>4457.6240617241901</v>
      </c>
      <c r="AT62" s="19">
        <v>-3.07382158195669E-2</v>
      </c>
      <c r="AU62" s="18">
        <v>343.93482595495999</v>
      </c>
      <c r="AV62" s="19">
        <v>-0.11424712371628901</v>
      </c>
      <c r="AW62" s="18">
        <v>1500.3330597234501</v>
      </c>
      <c r="AX62" s="19">
        <v>-1.57726361443923E-2</v>
      </c>
      <c r="AY62" s="18">
        <v>351.01235511351501</v>
      </c>
      <c r="AZ62" s="19">
        <v>9.3465323855643802E-3</v>
      </c>
      <c r="BA62" s="18">
        <v>2065.93240594689</v>
      </c>
      <c r="BB62" s="19">
        <v>-1.8792195202820799E-2</v>
      </c>
      <c r="BC62" s="18">
        <v>4442.7549100299502</v>
      </c>
      <c r="BD62" s="19">
        <v>-7.9485587411971502E-3</v>
      </c>
      <c r="BE62" s="18">
        <v>-2376.8225040830598</v>
      </c>
      <c r="BF62" s="19">
        <v>1.67330969268065E-3</v>
      </c>
      <c r="BG62" s="18"/>
      <c r="BH62" s="19"/>
    </row>
    <row r="63" spans="1:60" x14ac:dyDescent="0.15">
      <c r="A63" s="17">
        <v>1992</v>
      </c>
      <c r="B63" s="17">
        <v>4</v>
      </c>
      <c r="C63" s="18">
        <v>99705.187916652998</v>
      </c>
      <c r="D63" s="19">
        <v>4.5504462878964702E-4</v>
      </c>
      <c r="E63" s="18">
        <v>97548.519188910999</v>
      </c>
      <c r="F63" s="19">
        <v>-4.6505616624037399E-4</v>
      </c>
      <c r="G63" s="18">
        <v>1721.75017777894</v>
      </c>
      <c r="H63" s="19">
        <v>-3.6787077638334602E-2</v>
      </c>
      <c r="I63" s="18">
        <v>125.551488023592</v>
      </c>
      <c r="J63" s="19">
        <v>3.27606138516123E-3</v>
      </c>
      <c r="K63" s="18">
        <v>19088.862852890801</v>
      </c>
      <c r="L63" s="19">
        <v>-8.7661593094121599E-3</v>
      </c>
      <c r="M63" s="18">
        <v>3412.59432871218</v>
      </c>
      <c r="N63" s="19">
        <v>1.4302031692957899E-2</v>
      </c>
      <c r="O63" s="18">
        <v>15676.2685241786</v>
      </c>
      <c r="P63" s="19">
        <v>-1.36495275103548E-2</v>
      </c>
      <c r="Q63" s="18">
        <v>2140.9568639449199</v>
      </c>
      <c r="R63" s="19">
        <v>2.4885092139137499E-4</v>
      </c>
      <c r="S63" s="18">
        <v>716.34616602285098</v>
      </c>
      <c r="T63" s="19">
        <v>2.2454703965437699E-3</v>
      </c>
      <c r="U63" s="18">
        <v>6718.6270881103901</v>
      </c>
      <c r="V63" s="19">
        <v>-9.2993378095446201E-3</v>
      </c>
      <c r="W63" s="18">
        <v>14926.6005477527</v>
      </c>
      <c r="X63" s="19">
        <v>-1.1223084009892701E-2</v>
      </c>
      <c r="Y63" s="18">
        <v>5230.7936984860798</v>
      </c>
      <c r="Z63" s="19">
        <v>4.1904306547983997E-3</v>
      </c>
      <c r="AA63" s="18">
        <v>4367.2609168338304</v>
      </c>
      <c r="AB63" s="19">
        <v>-2.50902775336398E-2</v>
      </c>
      <c r="AC63" s="18">
        <v>2256.0725843370701</v>
      </c>
      <c r="AD63" s="19">
        <v>2.6579000387116903E-4</v>
      </c>
      <c r="AE63" s="18">
        <v>4460.1878060403897</v>
      </c>
      <c r="AF63" s="19">
        <v>-1.7981455724896098E-2</v>
      </c>
      <c r="AG63" s="18">
        <v>8206.6619119258503</v>
      </c>
      <c r="AH63" s="19">
        <v>6.5689517162753203E-2</v>
      </c>
      <c r="AI63" s="18">
        <v>3800.75130000544</v>
      </c>
      <c r="AJ63" s="19">
        <v>0.123792652006011</v>
      </c>
      <c r="AK63" s="18">
        <v>4145.7835046741602</v>
      </c>
      <c r="AL63" s="19">
        <v>1.8082071021881401E-2</v>
      </c>
      <c r="AM63" s="18">
        <v>14817.086648225801</v>
      </c>
      <c r="AN63" s="19">
        <v>-4.9103667007499601E-5</v>
      </c>
      <c r="AO63" s="18">
        <v>6858.7577778325503</v>
      </c>
      <c r="AP63" s="19">
        <v>-2.1576051636753601E-3</v>
      </c>
      <c r="AQ63" s="18">
        <v>4477.0946737622598</v>
      </c>
      <c r="AR63" s="19">
        <v>2.4834598449814199E-2</v>
      </c>
      <c r="AS63" s="18">
        <v>4499.2802167094596</v>
      </c>
      <c r="AT63" s="19">
        <v>9.3449233063298606E-3</v>
      </c>
      <c r="AU63" s="18">
        <v>329.76794888998</v>
      </c>
      <c r="AV63" s="19">
        <v>-4.11905861107386E-2</v>
      </c>
      <c r="AW63" s="18">
        <v>1484.9054865497901</v>
      </c>
      <c r="AX63" s="19">
        <v>-1.02827655990594E-2</v>
      </c>
      <c r="AY63" s="18">
        <v>352.74803327990298</v>
      </c>
      <c r="AZ63" s="19">
        <v>4.9447779860256596E-3</v>
      </c>
      <c r="BA63" s="18">
        <v>2156.6687277420601</v>
      </c>
      <c r="BB63" s="19">
        <v>4.3920276159074699E-2</v>
      </c>
      <c r="BC63" s="18">
        <v>4523.7981875662699</v>
      </c>
      <c r="BD63" s="19">
        <v>1.8241671930485599E-2</v>
      </c>
      <c r="BE63" s="18">
        <v>-2367.1294598242098</v>
      </c>
      <c r="BF63" s="19">
        <v>-4.0781523408654997E-3</v>
      </c>
      <c r="BG63" s="18"/>
      <c r="BH63" s="19"/>
    </row>
    <row r="64" spans="1:60" x14ac:dyDescent="0.15">
      <c r="A64" s="17">
        <v>1993</v>
      </c>
      <c r="B64" s="17">
        <v>1</v>
      </c>
      <c r="C64" s="18">
        <v>100044.124499964</v>
      </c>
      <c r="D64" s="19">
        <v>3.3993876386282399E-3</v>
      </c>
      <c r="E64" s="18">
        <v>97808.899353055604</v>
      </c>
      <c r="F64" s="19">
        <v>2.66923748622294E-3</v>
      </c>
      <c r="G64" s="18">
        <v>1719.1450575117001</v>
      </c>
      <c r="H64" s="19">
        <v>-1.51306519428185E-3</v>
      </c>
      <c r="I64" s="18">
        <v>128.38042729244501</v>
      </c>
      <c r="J64" s="19">
        <v>2.2532104663872499E-2</v>
      </c>
      <c r="K64" s="18">
        <v>19212.0818156325</v>
      </c>
      <c r="L64" s="19">
        <v>6.4550184938378897E-3</v>
      </c>
      <c r="M64" s="18">
        <v>3494.59172312491</v>
      </c>
      <c r="N64" s="19">
        <v>2.40278763059638E-2</v>
      </c>
      <c r="O64" s="18">
        <v>15717.4900925076</v>
      </c>
      <c r="P64" s="19">
        <v>2.6295523239754401E-3</v>
      </c>
      <c r="Q64" s="18">
        <v>2158.5592697406901</v>
      </c>
      <c r="R64" s="19">
        <v>8.2217470572163408E-3</v>
      </c>
      <c r="S64" s="18">
        <v>700.62502368854905</v>
      </c>
      <c r="T64" s="19">
        <v>-2.1946292281545099E-2</v>
      </c>
      <c r="U64" s="18">
        <v>6528.80525454499</v>
      </c>
      <c r="V64" s="19">
        <v>-2.8253068830285201E-2</v>
      </c>
      <c r="W64" s="18">
        <v>14692.279931307001</v>
      </c>
      <c r="X64" s="19">
        <v>-1.5698190334502898E-2</v>
      </c>
      <c r="Y64" s="18">
        <v>5149.7780167553101</v>
      </c>
      <c r="Z64" s="19">
        <v>-1.54882196470899E-2</v>
      </c>
      <c r="AA64" s="18">
        <v>4247.1619565952496</v>
      </c>
      <c r="AB64" s="19">
        <v>-2.7499836287694101E-2</v>
      </c>
      <c r="AC64" s="18">
        <v>2268.3240737173201</v>
      </c>
      <c r="AD64" s="19">
        <v>5.4304500064874502E-3</v>
      </c>
      <c r="AE64" s="18">
        <v>4425.0902351843797</v>
      </c>
      <c r="AF64" s="19">
        <v>-7.8690791469545607E-3</v>
      </c>
      <c r="AG64" s="18">
        <v>8759.21552898544</v>
      </c>
      <c r="AH64" s="19">
        <v>6.7329886741968506E-2</v>
      </c>
      <c r="AI64" s="18">
        <v>4231.4450735059099</v>
      </c>
      <c r="AJ64" s="19">
        <v>0.113318062536702</v>
      </c>
      <c r="AK64" s="18">
        <v>4243.61589598503</v>
      </c>
      <c r="AL64" s="19">
        <v>2.3598046352533798E-2</v>
      </c>
      <c r="AM64" s="18">
        <v>14817.163798560699</v>
      </c>
      <c r="AN64" s="19">
        <v>5.20684914184777E-6</v>
      </c>
      <c r="AO64" s="18">
        <v>6879.7713860136801</v>
      </c>
      <c r="AP64" s="19">
        <v>3.0637629818408602E-3</v>
      </c>
      <c r="AQ64" s="18">
        <v>4586.3435731708296</v>
      </c>
      <c r="AR64" s="19">
        <v>2.4401739826681999E-2</v>
      </c>
      <c r="AS64" s="18">
        <v>4522.4471829437198</v>
      </c>
      <c r="AT64" s="19">
        <v>5.1490383168901798E-3</v>
      </c>
      <c r="AU64" s="18">
        <v>329.77523519982799</v>
      </c>
      <c r="AV64" s="19">
        <v>2.2095263872534701E-5</v>
      </c>
      <c r="AW64" s="18">
        <v>1479.32144969203</v>
      </c>
      <c r="AX64" s="19">
        <v>-3.7605335210479898E-3</v>
      </c>
      <c r="AY64" s="18">
        <v>354.408153274646</v>
      </c>
      <c r="AZ64" s="19">
        <v>4.7062487614921702E-3</v>
      </c>
      <c r="BA64" s="18">
        <v>2235.2251469083899</v>
      </c>
      <c r="BB64" s="19">
        <v>3.6424889068884303E-2</v>
      </c>
      <c r="BC64" s="18">
        <v>4602.3397083156196</v>
      </c>
      <c r="BD64" s="19">
        <v>1.7361853357036799E-2</v>
      </c>
      <c r="BE64" s="18">
        <v>-2367.1145614072302</v>
      </c>
      <c r="BF64" s="19">
        <v>-6.2938750223784402E-6</v>
      </c>
      <c r="BG64" s="18"/>
      <c r="BH64" s="19"/>
    </row>
    <row r="65" spans="1:60" x14ac:dyDescent="0.15">
      <c r="A65" s="17">
        <v>1993</v>
      </c>
      <c r="B65" s="17">
        <v>2</v>
      </c>
      <c r="C65" s="18">
        <v>101741.354534417</v>
      </c>
      <c r="D65" s="19">
        <v>1.6964814704871801E-2</v>
      </c>
      <c r="E65" s="18">
        <v>99463.897869381603</v>
      </c>
      <c r="F65" s="19">
        <v>1.6920735508453501E-2</v>
      </c>
      <c r="G65" s="18">
        <v>1671.36746443324</v>
      </c>
      <c r="H65" s="19">
        <v>-2.77914844181942E-2</v>
      </c>
      <c r="I65" s="18">
        <v>127.93541833155101</v>
      </c>
      <c r="J65" s="19">
        <v>-3.4663302676224399E-3</v>
      </c>
      <c r="K65" s="18">
        <v>19409.428140455901</v>
      </c>
      <c r="L65" s="19">
        <v>1.0271990652404001E-2</v>
      </c>
      <c r="M65" s="18">
        <v>3588.3984967584202</v>
      </c>
      <c r="N65" s="19">
        <v>2.6843414357321502E-2</v>
      </c>
      <c r="O65" s="18">
        <v>15821.0296436975</v>
      </c>
      <c r="P65" s="19">
        <v>6.5875372327577298E-3</v>
      </c>
      <c r="Q65" s="18">
        <v>2166.5788394882702</v>
      </c>
      <c r="R65" s="19">
        <v>3.7152418559907E-3</v>
      </c>
      <c r="S65" s="18">
        <v>688.78299585055902</v>
      </c>
      <c r="T65" s="19">
        <v>-1.69020909011303E-2</v>
      </c>
      <c r="U65" s="18">
        <v>6559.5830589433199</v>
      </c>
      <c r="V65" s="19">
        <v>4.7141556836773901E-3</v>
      </c>
      <c r="W65" s="18">
        <v>14929.1290859942</v>
      </c>
      <c r="X65" s="19">
        <v>1.6120653553746599E-2</v>
      </c>
      <c r="Y65" s="18">
        <v>5224.9784856656897</v>
      </c>
      <c r="Z65" s="19">
        <v>1.46026622246056E-2</v>
      </c>
      <c r="AA65" s="18">
        <v>4181.3195462728399</v>
      </c>
      <c r="AB65" s="19">
        <v>-1.55026841442129E-2</v>
      </c>
      <c r="AC65" s="18">
        <v>2278.7854384745301</v>
      </c>
      <c r="AD65" s="19">
        <v>4.6119356922693601E-3</v>
      </c>
      <c r="AE65" s="18">
        <v>4456.7757607407302</v>
      </c>
      <c r="AF65" s="19">
        <v>7.16042473087097E-3</v>
      </c>
      <c r="AG65" s="18">
        <v>9402.5786724929694</v>
      </c>
      <c r="AH65" s="19">
        <v>7.34498587662962E-2</v>
      </c>
      <c r="AI65" s="18">
        <v>4833.3320619298402</v>
      </c>
      <c r="AJ65" s="19">
        <v>0.142241474949656</v>
      </c>
      <c r="AK65" s="18">
        <v>4265.2977565536503</v>
      </c>
      <c r="AL65" s="19">
        <v>5.1092891298503097E-3</v>
      </c>
      <c r="AM65" s="18">
        <v>15230.695950790399</v>
      </c>
      <c r="AN65" s="19">
        <v>2.7908995125630401E-2</v>
      </c>
      <c r="AO65" s="18">
        <v>6970.7983256716398</v>
      </c>
      <c r="AP65" s="19">
        <v>1.32310994872606E-2</v>
      </c>
      <c r="AQ65" s="18">
        <v>4606.1218159960399</v>
      </c>
      <c r="AR65" s="19">
        <v>4.3124206701192803E-3</v>
      </c>
      <c r="AS65" s="18">
        <v>4597.0665756342996</v>
      </c>
      <c r="AT65" s="19">
        <v>1.6499782014482298E-2</v>
      </c>
      <c r="AU65" s="18">
        <v>346.96743164399498</v>
      </c>
      <c r="AV65" s="19">
        <v>5.2133073102806002E-2</v>
      </c>
      <c r="AW65" s="18">
        <v>1482.1412691104899</v>
      </c>
      <c r="AX65" s="19">
        <v>1.90615732574506E-3</v>
      </c>
      <c r="AY65" s="18">
        <v>357.84207905671298</v>
      </c>
      <c r="AZ65" s="19">
        <v>9.6891839263262298E-3</v>
      </c>
      <c r="BA65" s="18">
        <v>2277.45666503537</v>
      </c>
      <c r="BB65" s="19">
        <v>1.8893630552337899E-2</v>
      </c>
      <c r="BC65" s="18">
        <v>4643.2914824439204</v>
      </c>
      <c r="BD65" s="19">
        <v>8.8980337662405394E-3</v>
      </c>
      <c r="BE65" s="18">
        <v>-2365.83481740855</v>
      </c>
      <c r="BF65" s="19">
        <v>-5.4063458505315698E-4</v>
      </c>
      <c r="BG65" s="18"/>
      <c r="BH65" s="19"/>
    </row>
    <row r="66" spans="1:60" x14ac:dyDescent="0.15">
      <c r="A66" s="17">
        <v>1993</v>
      </c>
      <c r="B66" s="17">
        <v>3</v>
      </c>
      <c r="C66" s="18">
        <v>102766.04748397401</v>
      </c>
      <c r="D66" s="19">
        <v>1.0071548135423001E-2</v>
      </c>
      <c r="E66" s="18">
        <v>100450.812802039</v>
      </c>
      <c r="F66" s="19">
        <v>9.9223432199826399E-3</v>
      </c>
      <c r="G66" s="18">
        <v>1665.80740680658</v>
      </c>
      <c r="H66" s="19">
        <v>-3.3266518255172799E-3</v>
      </c>
      <c r="I66" s="18">
        <v>127.117264564235</v>
      </c>
      <c r="J66" s="19">
        <v>-6.3950528945448896E-3</v>
      </c>
      <c r="K66" s="18">
        <v>19546.220412574701</v>
      </c>
      <c r="L66" s="19">
        <v>7.0477229482943703E-3</v>
      </c>
      <c r="M66" s="18">
        <v>3602.1198706160199</v>
      </c>
      <c r="N66" s="19">
        <v>3.8238155182583901E-3</v>
      </c>
      <c r="O66" s="18">
        <v>15944.1005419587</v>
      </c>
      <c r="P66" s="19">
        <v>7.7789436612418798E-3</v>
      </c>
      <c r="Q66" s="18">
        <v>2352.5128171588999</v>
      </c>
      <c r="R66" s="19">
        <v>8.5819160734789304E-2</v>
      </c>
      <c r="S66" s="18">
        <v>727.74583693860495</v>
      </c>
      <c r="T66" s="19">
        <v>5.6567658206968997E-2</v>
      </c>
      <c r="U66" s="18">
        <v>6591.4570674093802</v>
      </c>
      <c r="V66" s="19">
        <v>4.8591515923568397E-3</v>
      </c>
      <c r="W66" s="18">
        <v>14948.1605529927</v>
      </c>
      <c r="X66" s="19">
        <v>1.2747874902028201E-3</v>
      </c>
      <c r="Y66" s="18">
        <v>5202.7482294185402</v>
      </c>
      <c r="Z66" s="19">
        <v>-4.2546120157505004E-3</v>
      </c>
      <c r="AA66" s="18">
        <v>4110.6342530095098</v>
      </c>
      <c r="AB66" s="19">
        <v>-1.6905020647449899E-2</v>
      </c>
      <c r="AC66" s="18">
        <v>2282.0976292555001</v>
      </c>
      <c r="AD66" s="19">
        <v>1.45348953220492E-3</v>
      </c>
      <c r="AE66" s="18">
        <v>4425.9943488948102</v>
      </c>
      <c r="AF66" s="19">
        <v>-6.9066548326418599E-3</v>
      </c>
      <c r="AG66" s="18">
        <v>9817.3795180878897</v>
      </c>
      <c r="AH66" s="19">
        <v>4.4115647424297397E-2</v>
      </c>
      <c r="AI66" s="18">
        <v>5280.6326539972597</v>
      </c>
      <c r="AJ66" s="19">
        <v>9.2544974426776797E-2</v>
      </c>
      <c r="AK66" s="18">
        <v>4209.05836320055</v>
      </c>
      <c r="AL66" s="19">
        <v>-1.3185338178721299E-2</v>
      </c>
      <c r="AM66" s="18">
        <v>15452.7669649421</v>
      </c>
      <c r="AN66" s="19">
        <v>1.4580490272355201E-2</v>
      </c>
      <c r="AO66" s="18">
        <v>7003.7037720476801</v>
      </c>
      <c r="AP66" s="19">
        <v>4.7204702874350498E-3</v>
      </c>
      <c r="AQ66" s="18">
        <v>4570.10878924191</v>
      </c>
      <c r="AR66" s="19">
        <v>-7.8185137503441506E-3</v>
      </c>
      <c r="AS66" s="18">
        <v>4636.15032500097</v>
      </c>
      <c r="AT66" s="19">
        <v>8.5018889162558099E-3</v>
      </c>
      <c r="AU66" s="18">
        <v>343.785854025106</v>
      </c>
      <c r="AV66" s="19">
        <v>-9.1696722191323392E-3</v>
      </c>
      <c r="AW66" s="18">
        <v>1486.6650159457299</v>
      </c>
      <c r="AX66" s="19">
        <v>3.05216980966172E-3</v>
      </c>
      <c r="AY66" s="18">
        <v>362.50497314273599</v>
      </c>
      <c r="AZ66" s="19">
        <v>1.3030591869784201E-2</v>
      </c>
      <c r="BA66" s="18">
        <v>2315.2346819345698</v>
      </c>
      <c r="BB66" s="19">
        <v>1.6587809322206701E-2</v>
      </c>
      <c r="BC66" s="18">
        <v>4681.9129122982804</v>
      </c>
      <c r="BD66" s="19">
        <v>8.3176836949345693E-3</v>
      </c>
      <c r="BE66" s="18">
        <v>-2366.6782303637101</v>
      </c>
      <c r="BF66" s="19">
        <v>3.5649697474693398E-4</v>
      </c>
      <c r="BG66" s="18"/>
      <c r="BH66" s="19"/>
    </row>
    <row r="67" spans="1:60" x14ac:dyDescent="0.15">
      <c r="A67" s="17">
        <v>1993</v>
      </c>
      <c r="B67" s="17">
        <v>4</v>
      </c>
      <c r="C67" s="18">
        <v>103728.89223177799</v>
      </c>
      <c r="D67" s="19">
        <v>9.3692885089717796E-3</v>
      </c>
      <c r="E67" s="18">
        <v>101264.520065529</v>
      </c>
      <c r="F67" s="19">
        <v>8.1005542990855196E-3</v>
      </c>
      <c r="G67" s="18">
        <v>1607.42579699308</v>
      </c>
      <c r="H67" s="19">
        <v>-3.5047034594124601E-2</v>
      </c>
      <c r="I67" s="18">
        <v>123.878246692301</v>
      </c>
      <c r="J67" s="19">
        <v>-2.5480550443223601E-2</v>
      </c>
      <c r="K67" s="18">
        <v>19838.760251633001</v>
      </c>
      <c r="L67" s="19">
        <v>1.49665681079767E-2</v>
      </c>
      <c r="M67" s="18">
        <v>3677.2714736083699</v>
      </c>
      <c r="N67" s="19">
        <v>2.0863159942396702E-2</v>
      </c>
      <c r="O67" s="18">
        <v>16161.488778024601</v>
      </c>
      <c r="P67" s="19">
        <v>1.36343994754609E-2</v>
      </c>
      <c r="Q67" s="18">
        <v>2577.6749610947099</v>
      </c>
      <c r="R67" s="19">
        <v>9.5711335680514598E-2</v>
      </c>
      <c r="S67" s="18">
        <v>717.94483427163698</v>
      </c>
      <c r="T67" s="19">
        <v>-1.3467617634472399E-2</v>
      </c>
      <c r="U67" s="18">
        <v>6719.2563764680999</v>
      </c>
      <c r="V67" s="19">
        <v>1.9388628000112498E-2</v>
      </c>
      <c r="W67" s="18">
        <v>14911.088984608699</v>
      </c>
      <c r="X67" s="19">
        <v>-2.48000871094245E-3</v>
      </c>
      <c r="Y67" s="18">
        <v>5198.04172383695</v>
      </c>
      <c r="Z67" s="19">
        <v>-9.0461913089934199E-4</v>
      </c>
      <c r="AA67" s="18">
        <v>4076.3380576836398</v>
      </c>
      <c r="AB67" s="19">
        <v>-8.3432855406105899E-3</v>
      </c>
      <c r="AC67" s="18">
        <v>2270.0298680822798</v>
      </c>
      <c r="AD67" s="19">
        <v>-5.2880126680445701E-3</v>
      </c>
      <c r="AE67" s="18">
        <v>4408.8349314974203</v>
      </c>
      <c r="AF67" s="19">
        <v>-3.8769632414161802E-3</v>
      </c>
      <c r="AG67" s="18">
        <v>9847.7025886003303</v>
      </c>
      <c r="AH67" s="19">
        <v>3.0887132820494002E-3</v>
      </c>
      <c r="AI67" s="18">
        <v>5422.7420636501201</v>
      </c>
      <c r="AJ67" s="19">
        <v>2.69114363683833E-2</v>
      </c>
      <c r="AK67" s="18">
        <v>4071.9024394685098</v>
      </c>
      <c r="AL67" s="19">
        <v>-3.2585892590890002E-2</v>
      </c>
      <c r="AM67" s="18">
        <v>15676.4663794636</v>
      </c>
      <c r="AN67" s="19">
        <v>1.4476333916707799E-2</v>
      </c>
      <c r="AO67" s="18">
        <v>7092.4100515233004</v>
      </c>
      <c r="AP67" s="19">
        <v>1.2665624127288401E-2</v>
      </c>
      <c r="AQ67" s="18">
        <v>4471.1867010892202</v>
      </c>
      <c r="AR67" s="19">
        <v>-2.1645455877450901E-2</v>
      </c>
      <c r="AS67" s="18">
        <v>4680.0006067561199</v>
      </c>
      <c r="AT67" s="19">
        <v>9.4583390703879607E-3</v>
      </c>
      <c r="AU67" s="18">
        <v>382.64576378320601</v>
      </c>
      <c r="AV67" s="19">
        <v>0.11303522033591901</v>
      </c>
      <c r="AW67" s="18">
        <v>1493.9077170391199</v>
      </c>
      <c r="AX67" s="19">
        <v>4.87177744529244E-3</v>
      </c>
      <c r="AY67" s="18">
        <v>368.96794824931601</v>
      </c>
      <c r="AZ67" s="19">
        <v>1.7828652254198399E-2</v>
      </c>
      <c r="BA67" s="18">
        <v>2464.3721662484299</v>
      </c>
      <c r="BB67" s="19">
        <v>6.4415709335022206E-2</v>
      </c>
      <c r="BC67" s="18">
        <v>4800.1855346189304</v>
      </c>
      <c r="BD67" s="19">
        <v>2.52616023698309E-2</v>
      </c>
      <c r="BE67" s="18">
        <v>-2335.8133683705</v>
      </c>
      <c r="BF67" s="19">
        <v>-1.30414272617283E-2</v>
      </c>
      <c r="BG67" s="18"/>
      <c r="BH67" s="19"/>
    </row>
    <row r="68" spans="1:60" x14ac:dyDescent="0.15">
      <c r="A68" s="17">
        <v>1994</v>
      </c>
      <c r="B68" s="17">
        <v>1</v>
      </c>
      <c r="C68" s="18">
        <v>104661.369118571</v>
      </c>
      <c r="D68" s="19">
        <v>8.9895579402263798E-3</v>
      </c>
      <c r="E68" s="18">
        <v>102207.14402468</v>
      </c>
      <c r="F68" s="19">
        <v>9.3085313448448802E-3</v>
      </c>
      <c r="G68" s="18">
        <v>1589.50798920786</v>
      </c>
      <c r="H68" s="19">
        <v>-1.11468957501701E-2</v>
      </c>
      <c r="I68" s="18">
        <v>120.131630428655</v>
      </c>
      <c r="J68" s="19">
        <v>-3.0244343649395499E-2</v>
      </c>
      <c r="K68" s="18">
        <v>20309.978852107499</v>
      </c>
      <c r="L68" s="19">
        <v>2.37524217490197E-2</v>
      </c>
      <c r="M68" s="18">
        <v>3813.9014855547398</v>
      </c>
      <c r="N68" s="19">
        <v>3.7155269315022797E-2</v>
      </c>
      <c r="O68" s="18">
        <v>16496.077366552701</v>
      </c>
      <c r="P68" s="19">
        <v>2.07028320919951E-2</v>
      </c>
      <c r="Q68" s="18">
        <v>2601.1126046305599</v>
      </c>
      <c r="R68" s="19">
        <v>9.0925519662490295E-3</v>
      </c>
      <c r="S68" s="18">
        <v>706.18857626449199</v>
      </c>
      <c r="T68" s="19">
        <v>-1.6374876516901501E-2</v>
      </c>
      <c r="U68" s="18">
        <v>6877.3241619918799</v>
      </c>
      <c r="V68" s="19">
        <v>2.3524595084265999E-2</v>
      </c>
      <c r="W68" s="18">
        <v>15151.127065640099</v>
      </c>
      <c r="X68" s="19">
        <v>1.60979577869311E-2</v>
      </c>
      <c r="Y68" s="18">
        <v>5225.36422522459</v>
      </c>
      <c r="Z68" s="19">
        <v>5.2563066707105302E-3</v>
      </c>
      <c r="AA68" s="18">
        <v>4063.27900902177</v>
      </c>
      <c r="AB68" s="19">
        <v>-3.20362258406248E-3</v>
      </c>
      <c r="AC68" s="18">
        <v>2281.0096666261602</v>
      </c>
      <c r="AD68" s="19">
        <v>4.83685201603112E-3</v>
      </c>
      <c r="AE68" s="18">
        <v>4396.38990236268</v>
      </c>
      <c r="AF68" s="19">
        <v>-2.8227478070978998E-3</v>
      </c>
      <c r="AG68" s="18">
        <v>9675.7450416008705</v>
      </c>
      <c r="AH68" s="19">
        <v>-1.7461691745089301E-2</v>
      </c>
      <c r="AI68" s="18">
        <v>5459.1370957018498</v>
      </c>
      <c r="AJ68" s="19">
        <v>6.7115550812750797E-3</v>
      </c>
      <c r="AK68" s="18">
        <v>3849.80049323107</v>
      </c>
      <c r="AL68" s="19">
        <v>-5.4545006796976499E-2</v>
      </c>
      <c r="AM68" s="18">
        <v>15979.8151709918</v>
      </c>
      <c r="AN68" s="19">
        <v>1.9350584767337899E-2</v>
      </c>
      <c r="AO68" s="18">
        <v>7152.4886646474997</v>
      </c>
      <c r="AP68" s="19">
        <v>8.4708318734745304E-3</v>
      </c>
      <c r="AQ68" s="18">
        <v>4287.4550577749596</v>
      </c>
      <c r="AR68" s="19">
        <v>-4.10923666572688E-2</v>
      </c>
      <c r="AS68" s="18">
        <v>4796.3378963597697</v>
      </c>
      <c r="AT68" s="19">
        <v>2.48583919915943E-2</v>
      </c>
      <c r="AU68" s="18">
        <v>366.90012690036099</v>
      </c>
      <c r="AV68" s="19">
        <v>-4.1149382465831198E-2</v>
      </c>
      <c r="AW68" s="18">
        <v>1476.03737975633</v>
      </c>
      <c r="AX68" s="19">
        <v>-1.1962142693928699E-2</v>
      </c>
      <c r="AY68" s="18">
        <v>376.31522836657001</v>
      </c>
      <c r="AZ68" s="19">
        <v>1.9913057901413501E-2</v>
      </c>
      <c r="BA68" s="18">
        <v>2454.2250938908201</v>
      </c>
      <c r="BB68" s="19">
        <v>-4.1175081006754599E-3</v>
      </c>
      <c r="BC68" s="18">
        <v>4782.2461311355701</v>
      </c>
      <c r="BD68" s="19">
        <v>-3.7372312703304301E-3</v>
      </c>
      <c r="BE68" s="18">
        <v>-2328.02103724474</v>
      </c>
      <c r="BF68" s="19">
        <v>-3.3360247146777501E-3</v>
      </c>
      <c r="BG68" s="18"/>
      <c r="BH68" s="19"/>
    </row>
    <row r="69" spans="1:60" x14ac:dyDescent="0.15">
      <c r="A69" s="17">
        <v>1994</v>
      </c>
      <c r="B69" s="17">
        <v>2</v>
      </c>
      <c r="C69" s="18">
        <v>103969.548367355</v>
      </c>
      <c r="D69" s="19">
        <v>-6.6100869598969504E-3</v>
      </c>
      <c r="E69" s="18">
        <v>101465.62721398</v>
      </c>
      <c r="F69" s="19">
        <v>-7.25503894835966E-3</v>
      </c>
      <c r="G69" s="18">
        <v>1556.5145469510001</v>
      </c>
      <c r="H69" s="19">
        <v>-2.0757015680871301E-2</v>
      </c>
      <c r="I69" s="18">
        <v>117.880477004485</v>
      </c>
      <c r="J69" s="19">
        <v>-1.8739056617620199E-2</v>
      </c>
      <c r="K69" s="18">
        <v>20328.931071088999</v>
      </c>
      <c r="L69" s="19">
        <v>9.3314813961731203E-4</v>
      </c>
      <c r="M69" s="18">
        <v>3817.9153321696299</v>
      </c>
      <c r="N69" s="19">
        <v>1.05242535238403E-3</v>
      </c>
      <c r="O69" s="18">
        <v>16511.015738919399</v>
      </c>
      <c r="P69" s="19">
        <v>9.0557118729983599E-4</v>
      </c>
      <c r="Q69" s="18">
        <v>2753.5313189728399</v>
      </c>
      <c r="R69" s="19">
        <v>5.8597507109431797E-2</v>
      </c>
      <c r="S69" s="18">
        <v>707.83021913764799</v>
      </c>
      <c r="T69" s="19">
        <v>2.3246522647537601E-3</v>
      </c>
      <c r="U69" s="18">
        <v>6944.8882884494797</v>
      </c>
      <c r="V69" s="19">
        <v>9.8241881386071893E-3</v>
      </c>
      <c r="W69" s="18">
        <v>14875.4516382374</v>
      </c>
      <c r="X69" s="19">
        <v>-1.81950442503943E-2</v>
      </c>
      <c r="Y69" s="18">
        <v>5158.7138748699499</v>
      </c>
      <c r="Z69" s="19">
        <v>-1.2755158775898799E-2</v>
      </c>
      <c r="AA69" s="18">
        <v>4032.5233409781699</v>
      </c>
      <c r="AB69" s="19">
        <v>-7.5691745448239799E-3</v>
      </c>
      <c r="AC69" s="18">
        <v>2233.1846997471898</v>
      </c>
      <c r="AD69" s="19">
        <v>-2.0966577905698801E-2</v>
      </c>
      <c r="AE69" s="18">
        <v>4397.2138232060097</v>
      </c>
      <c r="AF69" s="19">
        <v>1.8740850143528199E-4</v>
      </c>
      <c r="AG69" s="18">
        <v>8984.6604032941304</v>
      </c>
      <c r="AH69" s="19">
        <v>-7.1424436602600394E-2</v>
      </c>
      <c r="AI69" s="18">
        <v>4913.1160908198799</v>
      </c>
      <c r="AJ69" s="19">
        <v>-0.10001965426218599</v>
      </c>
      <c r="AK69" s="18">
        <v>3724.2520657289901</v>
      </c>
      <c r="AL69" s="19">
        <v>-3.2611671104212397E-2</v>
      </c>
      <c r="AM69" s="18">
        <v>16142.1588256504</v>
      </c>
      <c r="AN69" s="19">
        <v>1.0159294893053099E-2</v>
      </c>
      <c r="AO69" s="18">
        <v>7120.9097932841996</v>
      </c>
      <c r="AP69" s="19">
        <v>-4.4150886277364298E-3</v>
      </c>
      <c r="AQ69" s="18">
        <v>4189.6037196070502</v>
      </c>
      <c r="AR69" s="19">
        <v>-2.2822708774629601E-2</v>
      </c>
      <c r="AS69" s="18">
        <v>4848.2732721298198</v>
      </c>
      <c r="AT69" s="19">
        <v>1.0828131147613501E-2</v>
      </c>
      <c r="AU69" s="18">
        <v>373.05642626190598</v>
      </c>
      <c r="AV69" s="19">
        <v>1.6779223854607801E-2</v>
      </c>
      <c r="AW69" s="18">
        <v>1477.76337341823</v>
      </c>
      <c r="AX69" s="19">
        <v>1.169342786006E-3</v>
      </c>
      <c r="AY69" s="18">
        <v>381.25197656120002</v>
      </c>
      <c r="AZ69" s="19">
        <v>1.31186511267656E-2</v>
      </c>
      <c r="BA69" s="18">
        <v>2503.9211533748698</v>
      </c>
      <c r="BB69" s="19">
        <v>2.0249185621870301E-2</v>
      </c>
      <c r="BC69" s="18">
        <v>4826.3494001175304</v>
      </c>
      <c r="BD69" s="19">
        <v>9.2222917375204307E-3</v>
      </c>
      <c r="BE69" s="18">
        <v>-2322.4282467426601</v>
      </c>
      <c r="BF69" s="19">
        <v>-2.4023797090366701E-3</v>
      </c>
      <c r="BG69" s="18"/>
      <c r="BH69" s="19"/>
    </row>
    <row r="70" spans="1:60" x14ac:dyDescent="0.15">
      <c r="A70" s="17">
        <v>1994</v>
      </c>
      <c r="B70" s="17">
        <v>3</v>
      </c>
      <c r="C70" s="18">
        <v>104722.24647968799</v>
      </c>
      <c r="D70" s="19">
        <v>7.2396016348319501E-3</v>
      </c>
      <c r="E70" s="18">
        <v>102354.153388625</v>
      </c>
      <c r="F70" s="19">
        <v>8.7569179735242902E-3</v>
      </c>
      <c r="G70" s="18">
        <v>1578.05831338232</v>
      </c>
      <c r="H70" s="19">
        <v>1.3841031215237699E-2</v>
      </c>
      <c r="I70" s="18">
        <v>121.00998883104801</v>
      </c>
      <c r="J70" s="19">
        <v>2.6548177493751501E-2</v>
      </c>
      <c r="K70" s="18">
        <v>20501.918077108501</v>
      </c>
      <c r="L70" s="19">
        <v>8.5093999981893393E-3</v>
      </c>
      <c r="M70" s="18">
        <v>3825.0524835513402</v>
      </c>
      <c r="N70" s="19">
        <v>1.86938440503659E-3</v>
      </c>
      <c r="O70" s="18">
        <v>16676.865593557199</v>
      </c>
      <c r="P70" s="19">
        <v>1.00448002267282E-2</v>
      </c>
      <c r="Q70" s="18">
        <v>2905.0108211631</v>
      </c>
      <c r="R70" s="19">
        <v>5.5012812509707597E-2</v>
      </c>
      <c r="S70" s="18">
        <v>673.68132735000495</v>
      </c>
      <c r="T70" s="19">
        <v>-4.8244467196167998E-2</v>
      </c>
      <c r="U70" s="18">
        <v>6973.3901896243096</v>
      </c>
      <c r="V70" s="19">
        <v>4.1040114672876698E-3</v>
      </c>
      <c r="W70" s="18">
        <v>15319.9149829526</v>
      </c>
      <c r="X70" s="19">
        <v>2.9878981527704501E-2</v>
      </c>
      <c r="Y70" s="18">
        <v>5258.8295552084901</v>
      </c>
      <c r="Z70" s="19">
        <v>1.9407100833067601E-2</v>
      </c>
      <c r="AA70" s="18">
        <v>4015.2171281157198</v>
      </c>
      <c r="AB70" s="19">
        <v>-4.2916584478462898E-3</v>
      </c>
      <c r="AC70" s="18">
        <v>2249.1081849033499</v>
      </c>
      <c r="AD70" s="19">
        <v>7.1303932710791197E-3</v>
      </c>
      <c r="AE70" s="18">
        <v>4422.1907937762498</v>
      </c>
      <c r="AF70" s="19">
        <v>5.6801810360969096E-3</v>
      </c>
      <c r="AG70" s="18">
        <v>8685.3331793235193</v>
      </c>
      <c r="AH70" s="19">
        <v>-3.3315363133910599E-2</v>
      </c>
      <c r="AI70" s="18">
        <v>4662.6042372165603</v>
      </c>
      <c r="AJ70" s="19">
        <v>-5.0988384758787898E-2</v>
      </c>
      <c r="AK70" s="18">
        <v>3689.0863496452698</v>
      </c>
      <c r="AL70" s="19">
        <v>-9.4423566029050408E-3</v>
      </c>
      <c r="AM70" s="18">
        <v>16287.2419649447</v>
      </c>
      <c r="AN70" s="19">
        <v>8.9878399079921199E-3</v>
      </c>
      <c r="AO70" s="18">
        <v>7222.50570860273</v>
      </c>
      <c r="AP70" s="19">
        <v>1.42672661594936E-2</v>
      </c>
      <c r="AQ70" s="18">
        <v>4137.7968752966199</v>
      </c>
      <c r="AR70" s="19">
        <v>-1.2365571490206E-2</v>
      </c>
      <c r="AS70" s="18">
        <v>5021.8668583723702</v>
      </c>
      <c r="AT70" s="19">
        <v>3.58052396180817E-2</v>
      </c>
      <c r="AU70" s="18">
        <v>384.714133491371</v>
      </c>
      <c r="AV70" s="19">
        <v>3.12491795042322E-2</v>
      </c>
      <c r="AW70" s="18">
        <v>1470.95242596398</v>
      </c>
      <c r="AX70" s="19">
        <v>-4.6089567360814198E-3</v>
      </c>
      <c r="AY70" s="18">
        <v>384.24243542273001</v>
      </c>
      <c r="AZ70" s="19">
        <v>7.8437858565434393E-3</v>
      </c>
      <c r="BA70" s="18">
        <v>2368.0930910628899</v>
      </c>
      <c r="BB70" s="19">
        <v>-5.4246141947763303E-2</v>
      </c>
      <c r="BC70" s="18">
        <v>4691.4978202593402</v>
      </c>
      <c r="BD70" s="19">
        <v>-2.7940699828922302E-2</v>
      </c>
      <c r="BE70" s="18">
        <v>-2323.4047291964498</v>
      </c>
      <c r="BF70" s="19">
        <v>4.20457534120677E-4</v>
      </c>
      <c r="BG70" s="18"/>
      <c r="BH70" s="19"/>
    </row>
    <row r="71" spans="1:60" x14ac:dyDescent="0.15">
      <c r="A71" s="17">
        <v>1994</v>
      </c>
      <c r="B71" s="17">
        <v>4</v>
      </c>
      <c r="C71" s="18">
        <v>105039.653946297</v>
      </c>
      <c r="D71" s="19">
        <v>3.03094592866948E-3</v>
      </c>
      <c r="E71" s="18">
        <v>102598.43570718</v>
      </c>
      <c r="F71" s="19">
        <v>2.3866380646790902E-3</v>
      </c>
      <c r="G71" s="18">
        <v>1567.0610715641601</v>
      </c>
      <c r="H71" s="19">
        <v>-6.9688437524139104E-3</v>
      </c>
      <c r="I71" s="18">
        <v>130.35617457683699</v>
      </c>
      <c r="J71" s="19">
        <v>7.7234828596152397E-2</v>
      </c>
      <c r="K71" s="18">
        <v>20597.5903500692</v>
      </c>
      <c r="L71" s="19">
        <v>4.6665035242481299E-3</v>
      </c>
      <c r="M71" s="18">
        <v>3873.6066582899098</v>
      </c>
      <c r="N71" s="19">
        <v>1.26937277193873E-2</v>
      </c>
      <c r="O71" s="18">
        <v>16723.9836917793</v>
      </c>
      <c r="P71" s="19">
        <v>2.8253569567839899E-3</v>
      </c>
      <c r="Q71" s="18">
        <v>2879.7195526227001</v>
      </c>
      <c r="R71" s="19">
        <v>-8.7060841068634705E-3</v>
      </c>
      <c r="S71" s="18">
        <v>680.92676007937496</v>
      </c>
      <c r="T71" s="19">
        <v>1.07549852359279E-2</v>
      </c>
      <c r="U71" s="18">
        <v>6928.6193045848404</v>
      </c>
      <c r="V71" s="19">
        <v>-6.4202466550747897E-3</v>
      </c>
      <c r="W71" s="18">
        <v>15517.928868646901</v>
      </c>
      <c r="X71" s="19">
        <v>1.29252600888865E-2</v>
      </c>
      <c r="Y71" s="18">
        <v>5242.2615362714496</v>
      </c>
      <c r="Z71" s="19">
        <v>-3.1505145323890101E-3</v>
      </c>
      <c r="AA71" s="18">
        <v>4031.30259519336</v>
      </c>
      <c r="AB71" s="19">
        <v>4.0061263349884203E-3</v>
      </c>
      <c r="AC71" s="18">
        <v>2220.4834151298101</v>
      </c>
      <c r="AD71" s="19">
        <v>-1.27271644670881E-2</v>
      </c>
      <c r="AE71" s="18">
        <v>4436.8470520413603</v>
      </c>
      <c r="AF71" s="19">
        <v>3.3142528101088899E-3</v>
      </c>
      <c r="AG71" s="18">
        <v>8552.9431292908594</v>
      </c>
      <c r="AH71" s="19">
        <v>-1.5242944317648201E-2</v>
      </c>
      <c r="AI71" s="18">
        <v>4485.4674738226404</v>
      </c>
      <c r="AJ71" s="19">
        <v>-3.7990949774382998E-2</v>
      </c>
      <c r="AK71" s="18">
        <v>3743.7800393819002</v>
      </c>
      <c r="AL71" s="19">
        <v>1.48258090358573E-2</v>
      </c>
      <c r="AM71" s="18">
        <v>16330.1341476709</v>
      </c>
      <c r="AN71" s="19">
        <v>2.6334834847112601E-3</v>
      </c>
      <c r="AO71" s="18">
        <v>7245.3092868760396</v>
      </c>
      <c r="AP71" s="19">
        <v>3.1572946001479098E-3</v>
      </c>
      <c r="AQ71" s="18">
        <v>4157.50288321271</v>
      </c>
      <c r="AR71" s="19">
        <v>4.7624396532703903E-3</v>
      </c>
      <c r="AS71" s="18">
        <v>5080.0680150889402</v>
      </c>
      <c r="AT71" s="19">
        <v>1.1589545951330899E-2</v>
      </c>
      <c r="AU71" s="18">
        <v>396.825419666176</v>
      </c>
      <c r="AV71" s="19">
        <v>3.1481261332647802E-2</v>
      </c>
      <c r="AW71" s="18">
        <v>1459.20414369068</v>
      </c>
      <c r="AX71" s="19">
        <v>-7.9868540041989605E-3</v>
      </c>
      <c r="AY71" s="18">
        <v>385.61353717567903</v>
      </c>
      <c r="AZ71" s="19">
        <v>3.5683246475373101E-3</v>
      </c>
      <c r="BA71" s="18">
        <v>2441.2182391163401</v>
      </c>
      <c r="BB71" s="19">
        <v>3.0879338455666299E-2</v>
      </c>
      <c r="BC71" s="18">
        <v>4766.7630456543602</v>
      </c>
      <c r="BD71" s="19">
        <v>1.6042898937307801E-2</v>
      </c>
      <c r="BE71" s="18">
        <v>-2325.5448065380201</v>
      </c>
      <c r="BF71" s="19">
        <v>9.2109537123374896E-4</v>
      </c>
      <c r="BG71" s="18"/>
      <c r="BH71" s="19"/>
    </row>
    <row r="72" spans="1:60" x14ac:dyDescent="0.15">
      <c r="A72" s="17">
        <v>1995</v>
      </c>
      <c r="B72" s="17">
        <v>1</v>
      </c>
      <c r="C72" s="18">
        <v>104983.31716622</v>
      </c>
      <c r="D72" s="19">
        <v>-5.3633821095233603E-4</v>
      </c>
      <c r="E72" s="18">
        <v>101840.22097061601</v>
      </c>
      <c r="F72" s="19">
        <v>-7.3901198525908596E-3</v>
      </c>
      <c r="G72" s="18">
        <v>1523.8666711472199</v>
      </c>
      <c r="H72" s="19">
        <v>-2.7563954718007901E-2</v>
      </c>
      <c r="I72" s="18">
        <v>146.76706223040799</v>
      </c>
      <c r="J72" s="19">
        <v>0.125892676022789</v>
      </c>
      <c r="K72" s="18">
        <v>20009.9022426337</v>
      </c>
      <c r="L72" s="19">
        <v>-2.85318863734704E-2</v>
      </c>
      <c r="M72" s="18">
        <v>3666.1589155120801</v>
      </c>
      <c r="N72" s="19">
        <v>-5.3554157940601498E-2</v>
      </c>
      <c r="O72" s="18">
        <v>16343.7433271216</v>
      </c>
      <c r="P72" s="19">
        <v>-2.2736231490380499E-2</v>
      </c>
      <c r="Q72" s="18">
        <v>3001.8897946062798</v>
      </c>
      <c r="R72" s="19">
        <v>4.2424354091116702E-2</v>
      </c>
      <c r="S72" s="18">
        <v>692.70669776659201</v>
      </c>
      <c r="T72" s="19">
        <v>1.7299860099262002E-2</v>
      </c>
      <c r="U72" s="18">
        <v>6696.5276913387597</v>
      </c>
      <c r="V72" s="19">
        <v>-3.3497527146930398E-2</v>
      </c>
      <c r="W72" s="18">
        <v>15369.5044913724</v>
      </c>
      <c r="X72" s="19">
        <v>-9.5647027725690396E-3</v>
      </c>
      <c r="Y72" s="18">
        <v>5205.01101471931</v>
      </c>
      <c r="Z72" s="19">
        <v>-7.1058113553478198E-3</v>
      </c>
      <c r="AA72" s="18">
        <v>4131.80515403552</v>
      </c>
      <c r="AB72" s="19">
        <v>2.49305420441501E-2</v>
      </c>
      <c r="AC72" s="18">
        <v>2281.8174497180898</v>
      </c>
      <c r="AD72" s="19">
        <v>2.7621928707222399E-2</v>
      </c>
      <c r="AE72" s="18">
        <v>4509.5753171971501</v>
      </c>
      <c r="AF72" s="19">
        <v>1.6391880157854199E-2</v>
      </c>
      <c r="AG72" s="18">
        <v>8447.3617392599499</v>
      </c>
      <c r="AH72" s="19">
        <v>-1.23444513116581E-2</v>
      </c>
      <c r="AI72" s="18">
        <v>4204.6405975478801</v>
      </c>
      <c r="AJ72" s="19">
        <v>-6.2608162452115299E-2</v>
      </c>
      <c r="AK72" s="18">
        <v>3951.8730789475399</v>
      </c>
      <c r="AL72" s="19">
        <v>5.5583671416764298E-2</v>
      </c>
      <c r="AM72" s="18">
        <v>16066.6997529295</v>
      </c>
      <c r="AN72" s="19">
        <v>-1.6131796123606799E-2</v>
      </c>
      <c r="AO72" s="18">
        <v>7219.8641320664301</v>
      </c>
      <c r="AP72" s="19">
        <v>-3.5119487384333002E-3</v>
      </c>
      <c r="AQ72" s="18">
        <v>4338.4179971544499</v>
      </c>
      <c r="AR72" s="19">
        <v>4.3515330962786897E-2</v>
      </c>
      <c r="AS72" s="18">
        <v>5123.7006434007899</v>
      </c>
      <c r="AT72" s="19">
        <v>8.5889850652110002E-3</v>
      </c>
      <c r="AU72" s="18">
        <v>459.17157674410402</v>
      </c>
      <c r="AV72" s="19">
        <v>0.157112306793187</v>
      </c>
      <c r="AW72" s="18">
        <v>1438.8205646873901</v>
      </c>
      <c r="AX72" s="19">
        <v>-1.3968970065923601E-2</v>
      </c>
      <c r="AY72" s="18">
        <v>381.82199232728999</v>
      </c>
      <c r="AZ72" s="19">
        <v>-9.8324993364053998E-3</v>
      </c>
      <c r="BA72" s="18">
        <v>3143.0961956041601</v>
      </c>
      <c r="BB72" s="19">
        <v>0.28751135201327799</v>
      </c>
      <c r="BC72" s="18">
        <v>5469.6262055993702</v>
      </c>
      <c r="BD72" s="19">
        <v>0.14745082841610399</v>
      </c>
      <c r="BE72" s="18">
        <v>-2326.5300099952101</v>
      </c>
      <c r="BF72" s="19">
        <v>4.2364415186546501E-4</v>
      </c>
      <c r="BG72" s="18"/>
      <c r="BH72" s="19"/>
    </row>
    <row r="73" spans="1:60" x14ac:dyDescent="0.15">
      <c r="A73" s="17">
        <v>1995</v>
      </c>
      <c r="B73" s="17">
        <v>2</v>
      </c>
      <c r="C73" s="18">
        <v>105762.19519313901</v>
      </c>
      <c r="D73" s="19">
        <v>7.41906474231269E-3</v>
      </c>
      <c r="E73" s="18">
        <v>102650.814797643</v>
      </c>
      <c r="F73" s="19">
        <v>7.9594664986120094E-3</v>
      </c>
      <c r="G73" s="18">
        <v>1469.7870211346001</v>
      </c>
      <c r="H73" s="19">
        <v>-3.5488439399951499E-2</v>
      </c>
      <c r="I73" s="18">
        <v>148.006576045597</v>
      </c>
      <c r="J73" s="19">
        <v>8.4454495194727901E-3</v>
      </c>
      <c r="K73" s="18">
        <v>20126.6914108577</v>
      </c>
      <c r="L73" s="19">
        <v>5.83656865524929E-3</v>
      </c>
      <c r="M73" s="18">
        <v>3761.0377166007602</v>
      </c>
      <c r="N73" s="19">
        <v>2.5879620407950998E-2</v>
      </c>
      <c r="O73" s="18">
        <v>16365.6536942569</v>
      </c>
      <c r="P73" s="19">
        <v>1.3405966244537399E-3</v>
      </c>
      <c r="Q73" s="18">
        <v>3044.1762437011098</v>
      </c>
      <c r="R73" s="19">
        <v>1.40866094321015E-2</v>
      </c>
      <c r="S73" s="18">
        <v>679.85912181971696</v>
      </c>
      <c r="T73" s="19">
        <v>-1.8546920346371499E-2</v>
      </c>
      <c r="U73" s="18">
        <v>6639.1923096174696</v>
      </c>
      <c r="V73" s="19">
        <v>-8.5619569370926091E-3</v>
      </c>
      <c r="W73" s="18">
        <v>15479.317744767101</v>
      </c>
      <c r="X73" s="19">
        <v>7.1448792286272801E-3</v>
      </c>
      <c r="Y73" s="18">
        <v>5216.5207049963901</v>
      </c>
      <c r="Z73" s="19">
        <v>2.21127107022934E-3</v>
      </c>
      <c r="AA73" s="18">
        <v>4153.6389245823802</v>
      </c>
      <c r="AB73" s="19">
        <v>5.2843175640879796E-3</v>
      </c>
      <c r="AC73" s="18">
        <v>2273.2632431350298</v>
      </c>
      <c r="AD73" s="19">
        <v>-3.74885667743607E-3</v>
      </c>
      <c r="AE73" s="18">
        <v>4569.9857074893298</v>
      </c>
      <c r="AF73" s="19">
        <v>1.33960264643569E-2</v>
      </c>
      <c r="AG73" s="18">
        <v>8746.7168533672793</v>
      </c>
      <c r="AH73" s="19">
        <v>3.54377050903412E-2</v>
      </c>
      <c r="AI73" s="18">
        <v>4440.7053276971701</v>
      </c>
      <c r="AJ73" s="19">
        <v>5.6143854551318699E-2</v>
      </c>
      <c r="AK73" s="18">
        <v>3983.1339823487301</v>
      </c>
      <c r="AL73" s="19">
        <v>7.9104016694571105E-3</v>
      </c>
      <c r="AM73" s="18">
        <v>16245.237135839299</v>
      </c>
      <c r="AN73" s="19">
        <v>1.1112262359741901E-2</v>
      </c>
      <c r="AO73" s="18">
        <v>7226.6154885362002</v>
      </c>
      <c r="AP73" s="19">
        <v>9.3510852091793805E-4</v>
      </c>
      <c r="AQ73" s="18">
        <v>4367.1467029332398</v>
      </c>
      <c r="AR73" s="19">
        <v>6.6219312656441397E-3</v>
      </c>
      <c r="AS73" s="18">
        <v>5148.8547770069999</v>
      </c>
      <c r="AT73" s="19">
        <v>4.9093683173324597E-3</v>
      </c>
      <c r="AU73" s="18">
        <v>478.84560251852599</v>
      </c>
      <c r="AV73" s="19">
        <v>4.2846784885785902E-2</v>
      </c>
      <c r="AW73" s="18">
        <v>1466.9669141908801</v>
      </c>
      <c r="AX73" s="19">
        <v>1.9562098425804E-2</v>
      </c>
      <c r="AY73" s="18">
        <v>386.51302010056099</v>
      </c>
      <c r="AZ73" s="19">
        <v>1.2285902508333699E-2</v>
      </c>
      <c r="BA73" s="18">
        <v>3111.38039549619</v>
      </c>
      <c r="BB73" s="19">
        <v>-1.0090623428048199E-2</v>
      </c>
      <c r="BC73" s="18">
        <v>5457.6995262960399</v>
      </c>
      <c r="BD73" s="19">
        <v>-2.1805291358157901E-3</v>
      </c>
      <c r="BE73" s="18">
        <v>-2346.31913079985</v>
      </c>
      <c r="BF73" s="19">
        <v>8.5058523722554309E-3</v>
      </c>
      <c r="BG73" s="18"/>
      <c r="BH73" s="19"/>
    </row>
    <row r="74" spans="1:60" x14ac:dyDescent="0.15">
      <c r="A74" s="17">
        <v>1995</v>
      </c>
      <c r="B74" s="17">
        <v>3</v>
      </c>
      <c r="C74" s="18">
        <v>106566.104314422</v>
      </c>
      <c r="D74" s="19">
        <v>7.6011009398477799E-3</v>
      </c>
      <c r="E74" s="18">
        <v>103433.87827589099</v>
      </c>
      <c r="F74" s="19">
        <v>7.6284195093023798E-3</v>
      </c>
      <c r="G74" s="18">
        <v>1453.7662245206</v>
      </c>
      <c r="H74" s="19">
        <v>-1.0900080340644E-2</v>
      </c>
      <c r="I74" s="18">
        <v>142.37337132170501</v>
      </c>
      <c r="J74" s="19">
        <v>-3.8060502947896403E-2</v>
      </c>
      <c r="K74" s="18">
        <v>20106.268572065899</v>
      </c>
      <c r="L74" s="19">
        <v>-1.01471416115295E-3</v>
      </c>
      <c r="M74" s="18">
        <v>3842.8188806233902</v>
      </c>
      <c r="N74" s="19">
        <v>2.17443084023481E-2</v>
      </c>
      <c r="O74" s="18">
        <v>16263.4496914425</v>
      </c>
      <c r="P74" s="19">
        <v>-6.2450302764410796E-3</v>
      </c>
      <c r="Q74" s="18">
        <v>3086.3400156625198</v>
      </c>
      <c r="R74" s="19">
        <v>1.38506343214049E-2</v>
      </c>
      <c r="S74" s="18">
        <v>682.20552694223397</v>
      </c>
      <c r="T74" s="19">
        <v>3.45131078956062E-3</v>
      </c>
      <c r="U74" s="18">
        <v>6595.2623312231299</v>
      </c>
      <c r="V74" s="19">
        <v>-6.6167654656886796E-3</v>
      </c>
      <c r="W74" s="18">
        <v>15580.923537955799</v>
      </c>
      <c r="X74" s="19">
        <v>6.5639710266296404E-3</v>
      </c>
      <c r="Y74" s="18">
        <v>5247.0264349200997</v>
      </c>
      <c r="Z74" s="19">
        <v>5.8479073790504996E-3</v>
      </c>
      <c r="AA74" s="18">
        <v>4120.0796985311099</v>
      </c>
      <c r="AB74" s="19">
        <v>-8.0794760114203407E-3</v>
      </c>
      <c r="AC74" s="18">
        <v>2248.13719036255</v>
      </c>
      <c r="AD74" s="19">
        <v>-1.10528566580894E-2</v>
      </c>
      <c r="AE74" s="18">
        <v>4598.9577274932899</v>
      </c>
      <c r="AF74" s="19">
        <v>6.3396303311145097E-3</v>
      </c>
      <c r="AG74" s="18">
        <v>9182.7870941466699</v>
      </c>
      <c r="AH74" s="19">
        <v>4.9855305492313699E-2</v>
      </c>
      <c r="AI74" s="18">
        <v>4859.9019197632697</v>
      </c>
      <c r="AJ74" s="19">
        <v>9.4398650919600896E-2</v>
      </c>
      <c r="AK74" s="18">
        <v>3980.6059525464402</v>
      </c>
      <c r="AL74" s="19">
        <v>-6.3468359675866704E-4</v>
      </c>
      <c r="AM74" s="18">
        <v>16478.238903139099</v>
      </c>
      <c r="AN74" s="19">
        <v>1.4342774152914101E-2</v>
      </c>
      <c r="AO74" s="18">
        <v>7216.9274011270199</v>
      </c>
      <c r="AP74" s="19">
        <v>-1.3406119952757999E-3</v>
      </c>
      <c r="AQ74" s="18">
        <v>4372.3238994079002</v>
      </c>
      <c r="AR74" s="19">
        <v>1.18548719033917E-3</v>
      </c>
      <c r="AS74" s="18">
        <v>5232.1084372812502</v>
      </c>
      <c r="AT74" s="19">
        <v>1.6169354910927001E-2</v>
      </c>
      <c r="AU74" s="18">
        <v>477.48545293519999</v>
      </c>
      <c r="AV74" s="19">
        <v>-2.8404762958498301E-3</v>
      </c>
      <c r="AW74" s="18">
        <v>1471.9336447354101</v>
      </c>
      <c r="AX74" s="19">
        <v>3.38571408563215E-3</v>
      </c>
      <c r="AY74" s="18">
        <v>387.75924703962602</v>
      </c>
      <c r="AZ74" s="19">
        <v>3.22428191097113E-3</v>
      </c>
      <c r="BA74" s="18">
        <v>3132.2260385310501</v>
      </c>
      <c r="BB74" s="19">
        <v>6.6998053548965597E-3</v>
      </c>
      <c r="BC74" s="18">
        <v>5503.5336705828904</v>
      </c>
      <c r="BD74" s="19">
        <v>8.3980702979367106E-3</v>
      </c>
      <c r="BE74" s="18">
        <v>-2371.3076320518398</v>
      </c>
      <c r="BF74" s="19">
        <v>1.06500863092167E-2</v>
      </c>
      <c r="BG74" s="18"/>
      <c r="BH74" s="19"/>
    </row>
    <row r="75" spans="1:60" x14ac:dyDescent="0.15">
      <c r="A75" s="17">
        <v>1995</v>
      </c>
      <c r="B75" s="17">
        <v>4</v>
      </c>
      <c r="C75" s="18">
        <v>106411.747459023</v>
      </c>
      <c r="D75" s="19">
        <v>-1.44846108800167E-3</v>
      </c>
      <c r="E75" s="18">
        <v>103377.30718073199</v>
      </c>
      <c r="F75" s="19">
        <v>-5.4693003976780097E-4</v>
      </c>
      <c r="G75" s="18">
        <v>1404.0756966911299</v>
      </c>
      <c r="H75" s="19">
        <v>-3.41805491084793E-2</v>
      </c>
      <c r="I75" s="18">
        <v>140.39188883337999</v>
      </c>
      <c r="J75" s="19">
        <v>-1.39175076766838E-2</v>
      </c>
      <c r="K75" s="18">
        <v>20040.7293326613</v>
      </c>
      <c r="L75" s="19">
        <v>-3.2596420946873201E-3</v>
      </c>
      <c r="M75" s="18">
        <v>3839.6439146377302</v>
      </c>
      <c r="N75" s="19">
        <v>-8.2620755343698604E-4</v>
      </c>
      <c r="O75" s="18">
        <v>16201.0854180236</v>
      </c>
      <c r="P75" s="19">
        <v>-3.8346276221918902E-3</v>
      </c>
      <c r="Q75" s="18">
        <v>3027.9624834658698</v>
      </c>
      <c r="R75" s="19">
        <v>-1.8914809094395999E-2</v>
      </c>
      <c r="S75" s="18">
        <v>671.39612024452799</v>
      </c>
      <c r="T75" s="19">
        <v>-1.5844794963998401E-2</v>
      </c>
      <c r="U75" s="18">
        <v>6498.2417703537303</v>
      </c>
      <c r="V75" s="19">
        <v>-1.4710644701741001E-2</v>
      </c>
      <c r="W75" s="18">
        <v>15301.237725679901</v>
      </c>
      <c r="X75" s="19">
        <v>-1.7950528516141699E-2</v>
      </c>
      <c r="Y75" s="18">
        <v>5172.2371379719798</v>
      </c>
      <c r="Z75" s="19">
        <v>-1.42536535456323E-2</v>
      </c>
      <c r="AA75" s="18">
        <v>4305.6400313477598</v>
      </c>
      <c r="AB75" s="19">
        <v>4.5038044502586402E-2</v>
      </c>
      <c r="AC75" s="18">
        <v>2237.5134465553601</v>
      </c>
      <c r="AD75" s="19">
        <v>-4.7255762916690296E-3</v>
      </c>
      <c r="AE75" s="18">
        <v>4641.9543490631204</v>
      </c>
      <c r="AF75" s="19">
        <v>9.3492099987753097E-3</v>
      </c>
      <c r="AG75" s="18">
        <v>9264.41604824551</v>
      </c>
      <c r="AH75" s="19">
        <v>8.8893440806077102E-3</v>
      </c>
      <c r="AI75" s="18">
        <v>4961.2051660425504</v>
      </c>
      <c r="AJ75" s="19">
        <v>2.0844710027442901E-2</v>
      </c>
      <c r="AK75" s="18">
        <v>3941.7253358794601</v>
      </c>
      <c r="AL75" s="19">
        <v>-9.7675120648680301E-3</v>
      </c>
      <c r="AM75" s="18">
        <v>16625.1576587411</v>
      </c>
      <c r="AN75" s="19">
        <v>8.9159258137720999E-3</v>
      </c>
      <c r="AO75" s="18">
        <v>7206.6001131490902</v>
      </c>
      <c r="AP75" s="19">
        <v>-1.4309812755377599E-3</v>
      </c>
      <c r="AQ75" s="18">
        <v>4379.8734132827103</v>
      </c>
      <c r="AR75" s="19">
        <v>1.7266593346008099E-3</v>
      </c>
      <c r="AS75" s="18">
        <v>5275.1426564661897</v>
      </c>
      <c r="AT75" s="19">
        <v>8.2250243282990798E-3</v>
      </c>
      <c r="AU75" s="18">
        <v>504.59843175182402</v>
      </c>
      <c r="AV75" s="19">
        <v>5.6782837361756697E-2</v>
      </c>
      <c r="AW75" s="18">
        <v>1465.6076993952099</v>
      </c>
      <c r="AX75" s="19">
        <v>-4.2977109483344203E-3</v>
      </c>
      <c r="AY75" s="18">
        <v>386.76831480454501</v>
      </c>
      <c r="AZ75" s="19">
        <v>-2.55553476195891E-3</v>
      </c>
      <c r="BA75" s="18">
        <v>3034.4402782904399</v>
      </c>
      <c r="BB75" s="19">
        <v>-3.1219253986684799E-2</v>
      </c>
      <c r="BC75" s="18">
        <v>5432.3483713835403</v>
      </c>
      <c r="BD75" s="19">
        <v>-1.29344714614611E-2</v>
      </c>
      <c r="BE75" s="18">
        <v>-2397.9080930931</v>
      </c>
      <c r="BF75" s="19">
        <v>1.1217633967739201E-2</v>
      </c>
      <c r="BG75" s="18"/>
      <c r="BH75" s="19"/>
    </row>
    <row r="76" spans="1:60" x14ac:dyDescent="0.15">
      <c r="A76" s="17">
        <v>1996</v>
      </c>
      <c r="B76" s="17">
        <v>1</v>
      </c>
      <c r="C76" s="18">
        <v>107110.912539948</v>
      </c>
      <c r="D76" s="19">
        <v>6.5703749597212403E-3</v>
      </c>
      <c r="E76" s="18">
        <v>104220.30130309099</v>
      </c>
      <c r="F76" s="19">
        <v>8.1545374449019103E-3</v>
      </c>
      <c r="G76" s="18">
        <v>1317.55243606622</v>
      </c>
      <c r="H76" s="19">
        <v>-6.1622931604618299E-2</v>
      </c>
      <c r="I76" s="18">
        <v>127.609001375193</v>
      </c>
      <c r="J76" s="19">
        <v>-9.1051467178121001E-2</v>
      </c>
      <c r="K76" s="18">
        <v>20261.125256484898</v>
      </c>
      <c r="L76" s="19">
        <v>1.09974003523108E-2</v>
      </c>
      <c r="M76" s="18">
        <v>3829.0885266423202</v>
      </c>
      <c r="N76" s="19">
        <v>-2.7490538784523699E-3</v>
      </c>
      <c r="O76" s="18">
        <v>16432.036729842599</v>
      </c>
      <c r="P76" s="19">
        <v>1.42552986951145E-2</v>
      </c>
      <c r="Q76" s="18">
        <v>2959.3851215588102</v>
      </c>
      <c r="R76" s="19">
        <v>-2.2648022319142501E-2</v>
      </c>
      <c r="S76" s="18">
        <v>649.55032319327904</v>
      </c>
      <c r="T76" s="19">
        <v>-3.2537866086107502E-2</v>
      </c>
      <c r="U76" s="18">
        <v>6316.6840648867301</v>
      </c>
      <c r="V76" s="19">
        <v>-2.7939512237802298E-2</v>
      </c>
      <c r="W76" s="18">
        <v>15456.149796378901</v>
      </c>
      <c r="X76" s="19">
        <v>1.01241529264713E-2</v>
      </c>
      <c r="Y76" s="18">
        <v>5170.5940723765198</v>
      </c>
      <c r="Z76" s="19">
        <v>-3.1767019794903801E-4</v>
      </c>
      <c r="AA76" s="18">
        <v>4348.5876200411703</v>
      </c>
      <c r="AB76" s="19">
        <v>9.9747281195645705E-3</v>
      </c>
      <c r="AC76" s="18">
        <v>2218.46879733066</v>
      </c>
      <c r="AD76" s="19">
        <v>-8.5115239213500206E-3</v>
      </c>
      <c r="AE76" s="18">
        <v>4663.3740452376396</v>
      </c>
      <c r="AF76" s="19">
        <v>4.6143702767882403E-3</v>
      </c>
      <c r="AG76" s="18">
        <v>9805.8043060525706</v>
      </c>
      <c r="AH76" s="19">
        <v>5.8437386122095702E-2</v>
      </c>
      <c r="AI76" s="18">
        <v>5569.7226234688496</v>
      </c>
      <c r="AJ76" s="19">
        <v>0.122655168867306</v>
      </c>
      <c r="AK76" s="18">
        <v>3862.24107677439</v>
      </c>
      <c r="AL76" s="19">
        <v>-2.0164839589802599E-2</v>
      </c>
      <c r="AM76" s="18">
        <v>16754.9757793598</v>
      </c>
      <c r="AN76" s="19">
        <v>7.80853470886478E-3</v>
      </c>
      <c r="AO76" s="18">
        <v>7225.2412236766404</v>
      </c>
      <c r="AP76" s="19">
        <v>2.5866719722018598E-3</v>
      </c>
      <c r="AQ76" s="18">
        <v>4430.9546632616502</v>
      </c>
      <c r="AR76" s="19">
        <v>1.1662722905193299E-2</v>
      </c>
      <c r="AS76" s="18">
        <v>5358.9997018802096</v>
      </c>
      <c r="AT76" s="19">
        <v>1.5896640313837002E-2</v>
      </c>
      <c r="AU76" s="18">
        <v>498.17528801366399</v>
      </c>
      <c r="AV76" s="19">
        <v>-1.2729218590435E-2</v>
      </c>
      <c r="AW76" s="18">
        <v>1447.27658641224</v>
      </c>
      <c r="AX76" s="19">
        <v>-1.25075168413299E-2</v>
      </c>
      <c r="AY76" s="18">
        <v>380.387291880389</v>
      </c>
      <c r="AZ76" s="19">
        <v>-1.64983083668097E-2</v>
      </c>
      <c r="BA76" s="18">
        <v>2890.6112368570102</v>
      </c>
      <c r="BB76" s="19">
        <v>-4.7398870382273403E-2</v>
      </c>
      <c r="BC76" s="18">
        <v>5317.2111227149699</v>
      </c>
      <c r="BD76" s="19">
        <v>-2.11947468750525E-2</v>
      </c>
      <c r="BE76" s="18">
        <v>-2426.5998858579601</v>
      </c>
      <c r="BF76" s="19">
        <v>1.19653429785336E-2</v>
      </c>
      <c r="BG76" s="18"/>
      <c r="BH76" s="19"/>
    </row>
    <row r="77" spans="1:60" x14ac:dyDescent="0.15">
      <c r="A77" s="17">
        <v>1996</v>
      </c>
      <c r="B77" s="17">
        <v>2</v>
      </c>
      <c r="C77" s="18">
        <v>106991.45238536</v>
      </c>
      <c r="D77" s="19">
        <v>-1.11529396730081E-3</v>
      </c>
      <c r="E77" s="18">
        <v>103567.360157901</v>
      </c>
      <c r="F77" s="19">
        <v>-6.2650091875130504E-3</v>
      </c>
      <c r="G77" s="18">
        <v>1295.0448909516999</v>
      </c>
      <c r="H77" s="19">
        <v>-1.7082845811979899E-2</v>
      </c>
      <c r="I77" s="18">
        <v>128.727256005328</v>
      </c>
      <c r="J77" s="19">
        <v>8.7631328361168492E-3</v>
      </c>
      <c r="K77" s="18">
        <v>19956.7014174209</v>
      </c>
      <c r="L77" s="19">
        <v>-1.5025021325829301E-2</v>
      </c>
      <c r="M77" s="18">
        <v>3803.6272783920399</v>
      </c>
      <c r="N77" s="19">
        <v>-6.6494279443057901E-3</v>
      </c>
      <c r="O77" s="18">
        <v>16153.0741390289</v>
      </c>
      <c r="P77" s="19">
        <v>-1.6976750685268299E-2</v>
      </c>
      <c r="Q77" s="18">
        <v>2859.1388018447301</v>
      </c>
      <c r="R77" s="19">
        <v>-3.3874036530018997E-2</v>
      </c>
      <c r="S77" s="18">
        <v>643.63269017977098</v>
      </c>
      <c r="T77" s="19">
        <v>-9.1103534279177705E-3</v>
      </c>
      <c r="U77" s="18">
        <v>6162.0024449042903</v>
      </c>
      <c r="V77" s="19">
        <v>-2.44877879586053E-2</v>
      </c>
      <c r="W77" s="18">
        <v>15254.800228595999</v>
      </c>
      <c r="X77" s="19">
        <v>-1.30271490918178E-2</v>
      </c>
      <c r="Y77" s="18">
        <v>5150.3233030911797</v>
      </c>
      <c r="Z77" s="19">
        <v>-3.92039463968674E-3</v>
      </c>
      <c r="AA77" s="18">
        <v>4331.99556303789</v>
      </c>
      <c r="AB77" s="19">
        <v>-3.8155048151283801E-3</v>
      </c>
      <c r="AC77" s="18">
        <v>2277.3710637115801</v>
      </c>
      <c r="AD77" s="19">
        <v>2.65508653769655E-2</v>
      </c>
      <c r="AE77" s="18">
        <v>4680.4670452917599</v>
      </c>
      <c r="AF77" s="19">
        <v>3.6653718720180998E-3</v>
      </c>
      <c r="AG77" s="18">
        <v>9859.03414299617</v>
      </c>
      <c r="AH77" s="19">
        <v>5.4284009023866098E-3</v>
      </c>
      <c r="AI77" s="18">
        <v>5637.1159568898001</v>
      </c>
      <c r="AJ77" s="19">
        <v>1.20999442839353E-2</v>
      </c>
      <c r="AK77" s="18">
        <v>3827.7483351536698</v>
      </c>
      <c r="AL77" s="19">
        <v>-8.9307583175319803E-3</v>
      </c>
      <c r="AM77" s="18">
        <v>16786.056602229401</v>
      </c>
      <c r="AN77" s="19">
        <v>1.85502045953023E-3</v>
      </c>
      <c r="AO77" s="18">
        <v>7217.6022030537597</v>
      </c>
      <c r="AP77" s="19">
        <v>-1.05726859303401E-3</v>
      </c>
      <c r="AQ77" s="18">
        <v>4439.9245457098596</v>
      </c>
      <c r="AR77" s="19">
        <v>2.0243679138907101E-3</v>
      </c>
      <c r="AS77" s="18">
        <v>5367.9741718274399</v>
      </c>
      <c r="AT77" s="19">
        <v>1.67465393664412E-3</v>
      </c>
      <c r="AU77" s="18">
        <v>488.90381937699698</v>
      </c>
      <c r="AV77" s="19">
        <v>-1.86108561780234E-2</v>
      </c>
      <c r="AW77" s="18">
        <v>1440.134845073</v>
      </c>
      <c r="AX77" s="19">
        <v>-4.9346071140028399E-3</v>
      </c>
      <c r="AY77" s="18">
        <v>377.84842569079001</v>
      </c>
      <c r="AZ77" s="19">
        <v>-6.6744243138313602E-3</v>
      </c>
      <c r="BA77" s="18">
        <v>3424.09222745836</v>
      </c>
      <c r="BB77" s="19">
        <v>0.18455646466711101</v>
      </c>
      <c r="BC77" s="18">
        <v>5865.2054897615399</v>
      </c>
      <c r="BD77" s="19">
        <v>0.103060486860407</v>
      </c>
      <c r="BE77" s="18">
        <v>-2441.1132623031799</v>
      </c>
      <c r="BF77" s="19">
        <v>5.9809515898381297E-3</v>
      </c>
      <c r="BG77" s="18"/>
      <c r="BH77" s="19"/>
    </row>
    <row r="78" spans="1:60" x14ac:dyDescent="0.15">
      <c r="A78" s="17">
        <v>1996</v>
      </c>
      <c r="B78" s="17">
        <v>3</v>
      </c>
      <c r="C78" s="18">
        <v>106155.07112458401</v>
      </c>
      <c r="D78" s="19">
        <v>-7.8172717738568299E-3</v>
      </c>
      <c r="E78" s="18">
        <v>103262.201489632</v>
      </c>
      <c r="F78" s="19">
        <v>-2.9464752968878499E-3</v>
      </c>
      <c r="G78" s="18">
        <v>1268.31917971536</v>
      </c>
      <c r="H78" s="19">
        <v>-2.0636899479759201E-2</v>
      </c>
      <c r="I78" s="18">
        <v>129.95758449462301</v>
      </c>
      <c r="J78" s="19">
        <v>9.5576378109412108E-3</v>
      </c>
      <c r="K78" s="18">
        <v>19943.8900401012</v>
      </c>
      <c r="L78" s="19">
        <v>-6.4195866099214804E-4</v>
      </c>
      <c r="M78" s="18">
        <v>3771.0989927643</v>
      </c>
      <c r="N78" s="19">
        <v>-8.5519119637529305E-3</v>
      </c>
      <c r="O78" s="18">
        <v>16172.791047336899</v>
      </c>
      <c r="P78" s="19">
        <v>1.22062884985774E-3</v>
      </c>
      <c r="Q78" s="18">
        <v>2797.0484267412999</v>
      </c>
      <c r="R78" s="19">
        <v>-2.1716460587141599E-2</v>
      </c>
      <c r="S78" s="18">
        <v>638.183231743683</v>
      </c>
      <c r="T78" s="19">
        <v>-8.4667210339570698E-3</v>
      </c>
      <c r="U78" s="18">
        <v>5996.8814663861904</v>
      </c>
      <c r="V78" s="19">
        <v>-2.6796642811241701E-2</v>
      </c>
      <c r="W78" s="18">
        <v>15156.9375591688</v>
      </c>
      <c r="X78" s="19">
        <v>-6.4152049165316898E-3</v>
      </c>
      <c r="Y78" s="18">
        <v>5132.2810959793396</v>
      </c>
      <c r="Z78" s="19">
        <v>-3.50312127027241E-3</v>
      </c>
      <c r="AA78" s="18">
        <v>4271.1126446523904</v>
      </c>
      <c r="AB78" s="19">
        <v>-1.4054243015615E-2</v>
      </c>
      <c r="AC78" s="18">
        <v>2333.6902952656701</v>
      </c>
      <c r="AD78" s="19">
        <v>2.4729932004274899E-2</v>
      </c>
      <c r="AE78" s="18">
        <v>4613.1410043200203</v>
      </c>
      <c r="AF78" s="19">
        <v>-1.4384470677870201E-2</v>
      </c>
      <c r="AG78" s="18">
        <v>10041.6962152871</v>
      </c>
      <c r="AH78" s="19">
        <v>1.8527380029481001E-2</v>
      </c>
      <c r="AI78" s="18">
        <v>5787.8590040259796</v>
      </c>
      <c r="AJ78" s="19">
        <v>2.6741164859654901E-2</v>
      </c>
      <c r="AK78" s="18">
        <v>3833.4108963605399</v>
      </c>
      <c r="AL78" s="19">
        <v>1.4793452210175599E-3</v>
      </c>
      <c r="AM78" s="18">
        <v>16746.308725502</v>
      </c>
      <c r="AN78" s="19">
        <v>-2.3679103239827599E-3</v>
      </c>
      <c r="AO78" s="18">
        <v>7189.5628098017396</v>
      </c>
      <c r="AP78" s="19">
        <v>-3.8848626542696799E-3</v>
      </c>
      <c r="AQ78" s="18">
        <v>4446.0869367577898</v>
      </c>
      <c r="AR78" s="19">
        <v>1.38794949879961E-3</v>
      </c>
      <c r="AS78" s="18">
        <v>5386.3654118842396</v>
      </c>
      <c r="AT78" s="19">
        <v>3.4261044237744501E-3</v>
      </c>
      <c r="AU78" s="18">
        <v>500.80938990519297</v>
      </c>
      <c r="AV78" s="19">
        <v>2.4351559665389998E-2</v>
      </c>
      <c r="AW78" s="18">
        <v>1424.97173855807</v>
      </c>
      <c r="AX78" s="19">
        <v>-1.05289491236221E-2</v>
      </c>
      <c r="AY78" s="18">
        <v>377.238829346861</v>
      </c>
      <c r="AZ78" s="19">
        <v>-1.6133356724027401E-3</v>
      </c>
      <c r="BA78" s="18">
        <v>2892.8696349514798</v>
      </c>
      <c r="BB78" s="19">
        <v>-0.155142606337212</v>
      </c>
      <c r="BC78" s="18">
        <v>5326.69309177163</v>
      </c>
      <c r="BD78" s="19">
        <v>-9.1814753793359002E-2</v>
      </c>
      <c r="BE78" s="18">
        <v>-2433.8234568201501</v>
      </c>
      <c r="BF78" s="19">
        <v>-2.9862627005495801E-3</v>
      </c>
      <c r="BG78" s="18"/>
      <c r="BH78" s="19"/>
    </row>
    <row r="79" spans="1:60" x14ac:dyDescent="0.15">
      <c r="A79" s="17">
        <v>1996</v>
      </c>
      <c r="B79" s="17">
        <v>4</v>
      </c>
      <c r="C79" s="18">
        <v>106490.45374596601</v>
      </c>
      <c r="D79" s="19">
        <v>3.1593650480325999E-3</v>
      </c>
      <c r="E79" s="18">
        <v>103481.921378043</v>
      </c>
      <c r="F79" s="19">
        <v>2.1277862106472401E-3</v>
      </c>
      <c r="G79" s="18">
        <v>1282.8109017807701</v>
      </c>
      <c r="H79" s="19">
        <v>1.1425926767633999E-2</v>
      </c>
      <c r="I79" s="18">
        <v>133.54432342105801</v>
      </c>
      <c r="J79" s="19">
        <v>2.7599304345201199E-2</v>
      </c>
      <c r="K79" s="18">
        <v>19871.5157396717</v>
      </c>
      <c r="L79" s="19">
        <v>-3.6288958815937598E-3</v>
      </c>
      <c r="M79" s="18">
        <v>3738.9356496504001</v>
      </c>
      <c r="N79" s="19">
        <v>-8.5289044853021894E-3</v>
      </c>
      <c r="O79" s="18">
        <v>16132.5800900213</v>
      </c>
      <c r="P79" s="19">
        <v>-2.4863338181938502E-3</v>
      </c>
      <c r="Q79" s="18">
        <v>2842.4320079219901</v>
      </c>
      <c r="R79" s="19">
        <v>1.6225525717320499E-2</v>
      </c>
      <c r="S79" s="18">
        <v>631.00280336265598</v>
      </c>
      <c r="T79" s="19">
        <v>-1.1251358581465601E-2</v>
      </c>
      <c r="U79" s="18">
        <v>5727.2696572022896</v>
      </c>
      <c r="V79" s="19">
        <v>-4.4958669050761797E-2</v>
      </c>
      <c r="W79" s="18">
        <v>15245.438466582</v>
      </c>
      <c r="X79" s="19">
        <v>5.8389702449899196E-3</v>
      </c>
      <c r="Y79" s="18">
        <v>5144.4645392529001</v>
      </c>
      <c r="Z79" s="19">
        <v>2.3738846422713998E-3</v>
      </c>
      <c r="AA79" s="18">
        <v>4243.2083428717797</v>
      </c>
      <c r="AB79" s="19">
        <v>-6.5332628994341198E-3</v>
      </c>
      <c r="AC79" s="18">
        <v>2423.0814290101598</v>
      </c>
      <c r="AD79" s="19">
        <v>3.8304625907657597E-2</v>
      </c>
      <c r="AE79" s="18">
        <v>4591.8002245857797</v>
      </c>
      <c r="AF79" s="19">
        <v>-4.6260844214944799E-3</v>
      </c>
      <c r="AG79" s="18">
        <v>10495.331097525701</v>
      </c>
      <c r="AH79" s="19">
        <v>4.5175125049888E-2</v>
      </c>
      <c r="AI79" s="18">
        <v>6156.4589762164896</v>
      </c>
      <c r="AJ79" s="19">
        <v>6.3685029634293899E-2</v>
      </c>
      <c r="AK79" s="18">
        <v>3877.9637582329901</v>
      </c>
      <c r="AL79" s="19">
        <v>1.16222505431769E-2</v>
      </c>
      <c r="AM79" s="18">
        <v>16688.608872711098</v>
      </c>
      <c r="AN79" s="19">
        <v>-3.4455266373460999E-3</v>
      </c>
      <c r="AO79" s="18">
        <v>7153.27283682285</v>
      </c>
      <c r="AP79" s="19">
        <v>-5.0475910620615396E-3</v>
      </c>
      <c r="AQ79" s="18">
        <v>4429.7392896990004</v>
      </c>
      <c r="AR79" s="19">
        <v>-3.6768617643601099E-3</v>
      </c>
      <c r="AS79" s="18">
        <v>5418.2685095970301</v>
      </c>
      <c r="AT79" s="19">
        <v>5.9229360196015896E-3</v>
      </c>
      <c r="AU79" s="18">
        <v>506.14636571212998</v>
      </c>
      <c r="AV79" s="19">
        <v>1.06567007618359E-2</v>
      </c>
      <c r="AW79" s="18">
        <v>1423.4194776740201</v>
      </c>
      <c r="AX79" s="19">
        <v>-1.0893274877297201E-3</v>
      </c>
      <c r="AY79" s="18">
        <v>375.03103189099897</v>
      </c>
      <c r="AZ79" s="19">
        <v>-5.8525191048991497E-3</v>
      </c>
      <c r="BA79" s="18">
        <v>3008.5323679232001</v>
      </c>
      <c r="BB79" s="19">
        <v>3.9982006646374503E-2</v>
      </c>
      <c r="BC79" s="18">
        <v>5410.1790804419197</v>
      </c>
      <c r="BD79" s="19">
        <v>1.5673136640676998E-2</v>
      </c>
      <c r="BE79" s="18">
        <v>-2401.64671251871</v>
      </c>
      <c r="BF79" s="19">
        <v>-1.32206566631903E-2</v>
      </c>
      <c r="BG79" s="18"/>
      <c r="BH79" s="19"/>
    </row>
    <row r="80" spans="1:60" x14ac:dyDescent="0.15">
      <c r="A80" s="17">
        <v>1997</v>
      </c>
      <c r="B80" s="17">
        <v>1</v>
      </c>
      <c r="C80" s="18">
        <v>106933.036373196</v>
      </c>
      <c r="D80" s="19">
        <v>4.1560779549831804E-3</v>
      </c>
      <c r="E80" s="18">
        <v>103760.21767105001</v>
      </c>
      <c r="F80" s="19">
        <v>2.6893228237476799E-3</v>
      </c>
      <c r="G80" s="18">
        <v>1324.4834301532101</v>
      </c>
      <c r="H80" s="19">
        <v>3.2485324465666703E-2</v>
      </c>
      <c r="I80" s="18">
        <v>142.56565628400301</v>
      </c>
      <c r="J80" s="19">
        <v>6.7553098715408294E-2</v>
      </c>
      <c r="K80" s="18">
        <v>19994.377114486499</v>
      </c>
      <c r="L80" s="19">
        <v>6.1827882897467204E-3</v>
      </c>
      <c r="M80" s="18">
        <v>3782.6768327482901</v>
      </c>
      <c r="N80" s="19">
        <v>1.16988328221102E-2</v>
      </c>
      <c r="O80" s="18">
        <v>16211.7002817382</v>
      </c>
      <c r="P80" s="19">
        <v>4.9043730931679396E-3</v>
      </c>
      <c r="Q80" s="18">
        <v>2835.5388352739001</v>
      </c>
      <c r="R80" s="19">
        <v>-2.4250967582940498E-3</v>
      </c>
      <c r="S80" s="18">
        <v>629.88077697600204</v>
      </c>
      <c r="T80" s="19">
        <v>-1.7781638697557101E-3</v>
      </c>
      <c r="U80" s="18">
        <v>5583.4838116282499</v>
      </c>
      <c r="V80" s="19">
        <v>-2.5105478557869799E-2</v>
      </c>
      <c r="W80" s="18">
        <v>15260.377207371001</v>
      </c>
      <c r="X80" s="19">
        <v>9.798826594435981E-4</v>
      </c>
      <c r="Y80" s="18">
        <v>5178.0212064033904</v>
      </c>
      <c r="Z80" s="19">
        <v>6.5228687834162401E-3</v>
      </c>
      <c r="AA80" s="18">
        <v>4049.3174573175102</v>
      </c>
      <c r="AB80" s="19">
        <v>-4.5694406186768302E-2</v>
      </c>
      <c r="AC80" s="18">
        <v>2592.22488180657</v>
      </c>
      <c r="AD80" s="19">
        <v>6.9805104678431804E-2</v>
      </c>
      <c r="AE80" s="18">
        <v>4477.2192380446404</v>
      </c>
      <c r="AF80" s="19">
        <v>-2.4953391031176098E-2</v>
      </c>
      <c r="AG80" s="18">
        <v>11074.6842142475</v>
      </c>
      <c r="AH80" s="19">
        <v>5.5201032853404698E-2</v>
      </c>
      <c r="AI80" s="18">
        <v>6587.9622932845396</v>
      </c>
      <c r="AJ80" s="19">
        <v>7.0089530156056207E-2</v>
      </c>
      <c r="AK80" s="18">
        <v>3963.5831422988899</v>
      </c>
      <c r="AL80" s="19">
        <v>2.2078438428964699E-2</v>
      </c>
      <c r="AM80" s="18">
        <v>16549.224434214801</v>
      </c>
      <c r="AN80" s="19">
        <v>-8.3520705386187499E-3</v>
      </c>
      <c r="AO80" s="18">
        <v>7117.44831818889</v>
      </c>
      <c r="AP80" s="19">
        <v>-5.0081297681736602E-3</v>
      </c>
      <c r="AQ80" s="18">
        <v>4428.57753969842</v>
      </c>
      <c r="AR80" s="19">
        <v>-2.6226148416497202E-4</v>
      </c>
      <c r="AS80" s="18">
        <v>5417.8587524858103</v>
      </c>
      <c r="AT80" s="19">
        <v>-7.5625102464615997E-5</v>
      </c>
      <c r="AU80" s="18">
        <v>500.42405690132802</v>
      </c>
      <c r="AV80" s="19">
        <v>-1.13056404203367E-2</v>
      </c>
      <c r="AW80" s="18">
        <v>1409.69166501785</v>
      </c>
      <c r="AX80" s="19">
        <v>-9.6442495494081203E-3</v>
      </c>
      <c r="AY80" s="18">
        <v>372.840280954018</v>
      </c>
      <c r="AZ80" s="19">
        <v>-5.8415191029245203E-3</v>
      </c>
      <c r="BA80" s="18">
        <v>3172.8187021457302</v>
      </c>
      <c r="BB80" s="19">
        <v>5.46068029628448E-2</v>
      </c>
      <c r="BC80" s="18">
        <v>5516.5756740710904</v>
      </c>
      <c r="BD80" s="19">
        <v>1.9666002187210801E-2</v>
      </c>
      <c r="BE80" s="18">
        <v>-2343.7569719253602</v>
      </c>
      <c r="BF80" s="19">
        <v>-2.41041866364426E-2</v>
      </c>
      <c r="BG80" s="18"/>
      <c r="BH80" s="19"/>
    </row>
    <row r="81" spans="1:60" x14ac:dyDescent="0.15">
      <c r="A81" s="17">
        <v>1997</v>
      </c>
      <c r="B81" s="17">
        <v>2</v>
      </c>
      <c r="C81" s="18">
        <v>107940.748651195</v>
      </c>
      <c r="D81" s="19">
        <v>9.4237694184819993E-3</v>
      </c>
      <c r="E81" s="18">
        <v>104685.400972969</v>
      </c>
      <c r="F81" s="19">
        <v>8.9165512822266795E-3</v>
      </c>
      <c r="G81" s="18">
        <v>1351.13961551702</v>
      </c>
      <c r="H81" s="19">
        <v>2.01257220414774E-2</v>
      </c>
      <c r="I81" s="18">
        <v>147.32514204737799</v>
      </c>
      <c r="J81" s="19">
        <v>3.3384518315502203E-2</v>
      </c>
      <c r="K81" s="18">
        <v>20257.037235621599</v>
      </c>
      <c r="L81" s="19">
        <v>1.31366993645865E-2</v>
      </c>
      <c r="M81" s="18">
        <v>3765.1838551804799</v>
      </c>
      <c r="N81" s="19">
        <v>-4.6244969743007803E-3</v>
      </c>
      <c r="O81" s="18">
        <v>16491.853380441102</v>
      </c>
      <c r="P81" s="19">
        <v>1.72809201893869E-2</v>
      </c>
      <c r="Q81" s="18">
        <v>2857.1222256859701</v>
      </c>
      <c r="R81" s="19">
        <v>7.6117421294217297E-3</v>
      </c>
      <c r="S81" s="18">
        <v>634.30387819525799</v>
      </c>
      <c r="T81" s="19">
        <v>7.02212447328687E-3</v>
      </c>
      <c r="U81" s="18">
        <v>5464.4143920448596</v>
      </c>
      <c r="V81" s="19">
        <v>-2.13252914489372E-2</v>
      </c>
      <c r="W81" s="18">
        <v>15317.373824942501</v>
      </c>
      <c r="X81" s="19">
        <v>3.7349415939735798E-3</v>
      </c>
      <c r="Y81" s="18">
        <v>5178.7723420541697</v>
      </c>
      <c r="Z81" s="19">
        <v>1.4506229712885101E-4</v>
      </c>
      <c r="AA81" s="18">
        <v>4086.7111595328602</v>
      </c>
      <c r="AB81" s="19">
        <v>9.2345691859176994E-3</v>
      </c>
      <c r="AC81" s="18">
        <v>2722.6294940530902</v>
      </c>
      <c r="AD81" s="19">
        <v>5.03060568401121E-2</v>
      </c>
      <c r="AE81" s="18">
        <v>4430.2676160199298</v>
      </c>
      <c r="AF81" s="19">
        <v>-1.0486781979705401E-2</v>
      </c>
      <c r="AG81" s="18">
        <v>11732.420668973</v>
      </c>
      <c r="AH81" s="19">
        <v>5.9390989575966599E-2</v>
      </c>
      <c r="AI81" s="18">
        <v>7101.22478195041</v>
      </c>
      <c r="AJ81" s="19">
        <v>7.7909141828128595E-2</v>
      </c>
      <c r="AK81" s="18">
        <v>4039.2529502821899</v>
      </c>
      <c r="AL81" s="19">
        <v>1.9091262947346799E-2</v>
      </c>
      <c r="AM81" s="18">
        <v>16437.788116537598</v>
      </c>
      <c r="AN81" s="19">
        <v>-6.7336277974935398E-3</v>
      </c>
      <c r="AO81" s="18">
        <v>7112.6768886205</v>
      </c>
      <c r="AP81" s="19">
        <v>-6.7038485635317901E-4</v>
      </c>
      <c r="AQ81" s="18">
        <v>4429.7699658103102</v>
      </c>
      <c r="AR81" s="19">
        <v>2.6925713757841601E-4</v>
      </c>
      <c r="AS81" s="18">
        <v>5445.9314306276001</v>
      </c>
      <c r="AT81" s="19">
        <v>5.1815079396284602E-3</v>
      </c>
      <c r="AU81" s="18">
        <v>499.72347680297599</v>
      </c>
      <c r="AV81" s="19">
        <v>-1.3999728603987199E-3</v>
      </c>
      <c r="AW81" s="18">
        <v>1384.4982956384799</v>
      </c>
      <c r="AX81" s="19">
        <v>-1.7871545958987701E-2</v>
      </c>
      <c r="AY81" s="18">
        <v>374.26754629812098</v>
      </c>
      <c r="AZ81" s="19">
        <v>3.82808783549549E-3</v>
      </c>
      <c r="BA81" s="18">
        <v>3255.34767822596</v>
      </c>
      <c r="BB81" s="19">
        <v>2.6011248617647999E-2</v>
      </c>
      <c r="BC81" s="18">
        <v>5601.3403192258702</v>
      </c>
      <c r="BD81" s="19">
        <v>1.53654459147885E-2</v>
      </c>
      <c r="BE81" s="18">
        <v>-2345.9926409998998</v>
      </c>
      <c r="BF81" s="19">
        <v>9.5388263430096199E-4</v>
      </c>
      <c r="BG81" s="18"/>
      <c r="BH81" s="19"/>
    </row>
    <row r="82" spans="1:60" x14ac:dyDescent="0.15">
      <c r="A82" s="17">
        <v>1997</v>
      </c>
      <c r="B82" s="17">
        <v>3</v>
      </c>
      <c r="C82" s="18">
        <v>109418.32513060101</v>
      </c>
      <c r="D82" s="19">
        <v>1.3688773682498699E-2</v>
      </c>
      <c r="E82" s="18">
        <v>106092.57985527501</v>
      </c>
      <c r="F82" s="19">
        <v>1.3441978243649001E-2</v>
      </c>
      <c r="G82" s="18">
        <v>1349.7986210105601</v>
      </c>
      <c r="H82" s="19">
        <v>-9.9249144282331802E-4</v>
      </c>
      <c r="I82" s="18">
        <v>151.599258454005</v>
      </c>
      <c r="J82" s="19">
        <v>2.9011452812671899E-2</v>
      </c>
      <c r="K82" s="18">
        <v>20575.674507234799</v>
      </c>
      <c r="L82" s="19">
        <v>1.5729707553327602E-2</v>
      </c>
      <c r="M82" s="18">
        <v>3829.54076872112</v>
      </c>
      <c r="N82" s="19">
        <v>1.7092635052095E-2</v>
      </c>
      <c r="O82" s="18">
        <v>16746.133738513701</v>
      </c>
      <c r="P82" s="19">
        <v>1.54185434594103E-2</v>
      </c>
      <c r="Q82" s="18">
        <v>2907.35296764741</v>
      </c>
      <c r="R82" s="19">
        <v>1.7580886638260299E-2</v>
      </c>
      <c r="S82" s="18">
        <v>634.65155965209897</v>
      </c>
      <c r="T82" s="19">
        <v>5.48130744257191E-4</v>
      </c>
      <c r="U82" s="18">
        <v>5361.1107038097498</v>
      </c>
      <c r="V82" s="19">
        <v>-1.8904804947717398E-2</v>
      </c>
      <c r="W82" s="18">
        <v>15441.801309377999</v>
      </c>
      <c r="X82" s="19">
        <v>8.1232909673385496E-3</v>
      </c>
      <c r="Y82" s="18">
        <v>5180.2439272769998</v>
      </c>
      <c r="Z82" s="19">
        <v>2.8415715648955102E-4</v>
      </c>
      <c r="AA82" s="18">
        <v>4229.1102943796805</v>
      </c>
      <c r="AB82" s="19">
        <v>3.4844433405737597E-2</v>
      </c>
      <c r="AC82" s="18">
        <v>2851.3841018414801</v>
      </c>
      <c r="AD82" s="19">
        <v>4.7290535884379599E-2</v>
      </c>
      <c r="AE82" s="18">
        <v>4447.4734118328297</v>
      </c>
      <c r="AF82" s="19">
        <v>3.883692206468E-3</v>
      </c>
      <c r="AG82" s="18">
        <v>12376.464283294201</v>
      </c>
      <c r="AH82" s="19">
        <v>5.48943506623807E-2</v>
      </c>
      <c r="AI82" s="18">
        <v>7602.2837608293103</v>
      </c>
      <c r="AJ82" s="19">
        <v>7.0559515332126302E-2</v>
      </c>
      <c r="AK82" s="18">
        <v>4108.4220583445303</v>
      </c>
      <c r="AL82" s="19">
        <v>1.71242328504124E-2</v>
      </c>
      <c r="AM82" s="18">
        <v>16425.541501154901</v>
      </c>
      <c r="AN82" s="19">
        <v>-7.4502818115695902E-4</v>
      </c>
      <c r="AO82" s="18">
        <v>7110.9474572683002</v>
      </c>
      <c r="AP82" s="19">
        <v>-2.4314774581835099E-4</v>
      </c>
      <c r="AQ82" s="18">
        <v>4450.71893611002</v>
      </c>
      <c r="AR82" s="19">
        <v>4.7291327679328497E-3</v>
      </c>
      <c r="AS82" s="18">
        <v>5466.4252978336099</v>
      </c>
      <c r="AT82" s="19">
        <v>3.7631518991878602E-3</v>
      </c>
      <c r="AU82" s="18">
        <v>532.401776134785</v>
      </c>
      <c r="AV82" s="19">
        <v>6.5392763895887607E-2</v>
      </c>
      <c r="AW82" s="18">
        <v>1404.1185507400701</v>
      </c>
      <c r="AX82" s="19">
        <v>1.4171382632540299E-2</v>
      </c>
      <c r="AY82" s="18">
        <v>376.00531749888802</v>
      </c>
      <c r="AZ82" s="19">
        <v>4.6431255340062504E-3</v>
      </c>
      <c r="BA82" s="18">
        <v>3325.7452753252901</v>
      </c>
      <c r="BB82" s="19">
        <v>2.1625216123670101E-2</v>
      </c>
      <c r="BC82" s="18">
        <v>5723.2637796722802</v>
      </c>
      <c r="BD82" s="19">
        <v>2.17668367743926E-2</v>
      </c>
      <c r="BE82" s="18">
        <v>-2397.5185043469901</v>
      </c>
      <c r="BF82" s="19">
        <v>2.1963352504434298E-2</v>
      </c>
      <c r="BG82" s="18"/>
      <c r="BH82" s="19"/>
    </row>
    <row r="83" spans="1:60" x14ac:dyDescent="0.15">
      <c r="A83" s="17">
        <v>1997</v>
      </c>
      <c r="B83" s="17">
        <v>4</v>
      </c>
      <c r="C83" s="18">
        <v>109850.64824586399</v>
      </c>
      <c r="D83" s="19">
        <v>3.9511033891894698E-3</v>
      </c>
      <c r="E83" s="18">
        <v>106492.247072489</v>
      </c>
      <c r="F83" s="19">
        <v>3.7671552313924802E-3</v>
      </c>
      <c r="G83" s="18">
        <v>1368.49395324743</v>
      </c>
      <c r="H83" s="19">
        <v>1.38504603174587E-2</v>
      </c>
      <c r="I83" s="18">
        <v>157.84824643093299</v>
      </c>
      <c r="J83" s="19">
        <v>4.1220438943134097E-2</v>
      </c>
      <c r="K83" s="18">
        <v>20721.438487935899</v>
      </c>
      <c r="L83" s="19">
        <v>7.0842868674787498E-3</v>
      </c>
      <c r="M83" s="18">
        <v>3949.6021775221998</v>
      </c>
      <c r="N83" s="19">
        <v>3.1351385466820599E-2</v>
      </c>
      <c r="O83" s="18">
        <v>16771.836310413699</v>
      </c>
      <c r="P83" s="19">
        <v>1.5348361777936001E-3</v>
      </c>
      <c r="Q83" s="18">
        <v>2732.4623294626999</v>
      </c>
      <c r="R83" s="19">
        <v>-6.0154594275571301E-2</v>
      </c>
      <c r="S83" s="18">
        <v>645.279978589601</v>
      </c>
      <c r="T83" s="19">
        <v>1.67468570365263E-2</v>
      </c>
      <c r="U83" s="18">
        <v>5313.3101974769297</v>
      </c>
      <c r="V83" s="19">
        <v>-8.9161572990569295E-3</v>
      </c>
      <c r="W83" s="18">
        <v>15682.8631895902</v>
      </c>
      <c r="X83" s="19">
        <v>1.5610994817411499E-2</v>
      </c>
      <c r="Y83" s="18">
        <v>5251.7545081291501</v>
      </c>
      <c r="Z83" s="19">
        <v>1.38044813827412E-2</v>
      </c>
      <c r="AA83" s="18">
        <v>4264.4992100919399</v>
      </c>
      <c r="AB83" s="19">
        <v>8.3679339740303504E-3</v>
      </c>
      <c r="AC83" s="18">
        <v>2886.2318808407299</v>
      </c>
      <c r="AD83" s="19">
        <v>1.2221355578419199E-2</v>
      </c>
      <c r="AE83" s="18">
        <v>4611.9574828552004</v>
      </c>
      <c r="AF83" s="19">
        <v>3.6983710927813898E-2</v>
      </c>
      <c r="AG83" s="18">
        <v>12222.663210680201</v>
      </c>
      <c r="AH83" s="19">
        <v>-1.24268990798579E-2</v>
      </c>
      <c r="AI83" s="18">
        <v>7342.7786267723004</v>
      </c>
      <c r="AJ83" s="19">
        <v>-3.4135154937797799E-2</v>
      </c>
      <c r="AK83" s="18">
        <v>4174.2552010170903</v>
      </c>
      <c r="AL83" s="19">
        <v>1.6023948303665499E-2</v>
      </c>
      <c r="AM83" s="18">
        <v>16495.4990109727</v>
      </c>
      <c r="AN83" s="19">
        <v>4.2590687078978302E-3</v>
      </c>
      <c r="AO83" s="18">
        <v>7119.0018208649899</v>
      </c>
      <c r="AP83" s="19">
        <v>1.1326709478722799E-3</v>
      </c>
      <c r="AQ83" s="18">
        <v>4451.7559810098601</v>
      </c>
      <c r="AR83" s="19">
        <v>2.3300615354982001E-4</v>
      </c>
      <c r="AS83" s="18">
        <v>5511.3419062653102</v>
      </c>
      <c r="AT83" s="19">
        <v>8.2168155576001194E-3</v>
      </c>
      <c r="AU83" s="18">
        <v>528.84138246818702</v>
      </c>
      <c r="AV83" s="19">
        <v>-6.6874188370414896E-3</v>
      </c>
      <c r="AW83" s="18">
        <v>1400.9319665210801</v>
      </c>
      <c r="AX83" s="19">
        <v>-2.26945525170597E-3</v>
      </c>
      <c r="AY83" s="18">
        <v>377.82683718517097</v>
      </c>
      <c r="AZ83" s="19">
        <v>4.8443987398898401E-3</v>
      </c>
      <c r="BA83" s="18">
        <v>3358.4011733745201</v>
      </c>
      <c r="BB83" s="19">
        <v>9.8191218345917708E-3</v>
      </c>
      <c r="BC83" s="18">
        <v>5852.8123878422603</v>
      </c>
      <c r="BD83" s="19">
        <v>2.2635442495261102E-2</v>
      </c>
      <c r="BE83" s="18">
        <v>-2494.4112144677401</v>
      </c>
      <c r="BF83" s="19">
        <v>4.0413748609266803E-2</v>
      </c>
      <c r="BG83" s="18"/>
      <c r="BH83" s="19"/>
    </row>
    <row r="84" spans="1:60" x14ac:dyDescent="0.15">
      <c r="A84" s="17">
        <v>1998</v>
      </c>
      <c r="B84" s="17">
        <v>1</v>
      </c>
      <c r="C84" s="18">
        <v>110597.463312854</v>
      </c>
      <c r="D84" s="19">
        <v>6.7984584425844199E-3</v>
      </c>
      <c r="E84" s="18">
        <v>107220.45412091901</v>
      </c>
      <c r="F84" s="19">
        <v>6.8381226657212597E-3</v>
      </c>
      <c r="G84" s="18">
        <v>1339.7265643278799</v>
      </c>
      <c r="H84" s="19">
        <v>-2.1021202798363899E-2</v>
      </c>
      <c r="I84" s="18">
        <v>160.57654307884701</v>
      </c>
      <c r="J84" s="19">
        <v>1.72843012805186E-2</v>
      </c>
      <c r="K84" s="18">
        <v>20647.995668720701</v>
      </c>
      <c r="L84" s="19">
        <v>-3.5442915441422601E-3</v>
      </c>
      <c r="M84" s="18">
        <v>4056.0089949992298</v>
      </c>
      <c r="N84" s="19">
        <v>2.6941148169961099E-2</v>
      </c>
      <c r="O84" s="18">
        <v>16591.986673721502</v>
      </c>
      <c r="P84" s="19">
        <v>-1.0723312186192499E-2</v>
      </c>
      <c r="Q84" s="18">
        <v>2706.82444187804</v>
      </c>
      <c r="R84" s="19">
        <v>-9.3827048622853199E-3</v>
      </c>
      <c r="S84" s="18">
        <v>648.68693629016298</v>
      </c>
      <c r="T84" s="19">
        <v>5.2798131254718798E-3</v>
      </c>
      <c r="U84" s="18">
        <v>5397.4625316152997</v>
      </c>
      <c r="V84" s="19">
        <v>1.58380239456632E-2</v>
      </c>
      <c r="W84" s="18">
        <v>15533.218430094499</v>
      </c>
      <c r="X84" s="19">
        <v>-9.5419285169209295E-3</v>
      </c>
      <c r="Y84" s="18">
        <v>5240.92348529021</v>
      </c>
      <c r="Z84" s="19">
        <v>-2.06236274414084E-3</v>
      </c>
      <c r="AA84" s="18">
        <v>4451.1322017938901</v>
      </c>
      <c r="AB84" s="19">
        <v>4.3764339611149103E-2</v>
      </c>
      <c r="AC84" s="18">
        <v>2850.5487944083702</v>
      </c>
      <c r="AD84" s="19">
        <v>-1.2363208468879901E-2</v>
      </c>
      <c r="AE84" s="18">
        <v>4717.5534271636998</v>
      </c>
      <c r="AF84" s="19">
        <v>2.28961226769866E-2</v>
      </c>
      <c r="AG84" s="18">
        <v>12560.1901762977</v>
      </c>
      <c r="AH84" s="19">
        <v>2.76148462736414E-2</v>
      </c>
      <c r="AI84" s="18">
        <v>7530.1088726971102</v>
      </c>
      <c r="AJ84" s="19">
        <v>2.5512173993886798E-2</v>
      </c>
      <c r="AK84" s="18">
        <v>4239.9430957817704</v>
      </c>
      <c r="AL84" s="19">
        <v>1.57364347892948E-2</v>
      </c>
      <c r="AM84" s="18">
        <v>16659.6616914675</v>
      </c>
      <c r="AN84" s="19">
        <v>9.9519681329796102E-3</v>
      </c>
      <c r="AO84" s="18">
        <v>7117.1716617713</v>
      </c>
      <c r="AP84" s="19">
        <v>-2.57080857645753E-4</v>
      </c>
      <c r="AQ84" s="18">
        <v>4436.6942174958504</v>
      </c>
      <c r="AR84" s="19">
        <v>-3.3833308874646798E-3</v>
      </c>
      <c r="AS84" s="18">
        <v>5664.1275385716499</v>
      </c>
      <c r="AT84" s="19">
        <v>2.77220384626575E-2</v>
      </c>
      <c r="AU84" s="18">
        <v>543.75520229414599</v>
      </c>
      <c r="AV84" s="19">
        <v>2.82009319247183E-2</v>
      </c>
      <c r="AW84" s="18">
        <v>1406.09947460585</v>
      </c>
      <c r="AX84" s="19">
        <v>3.68862172344486E-3</v>
      </c>
      <c r="AY84" s="18">
        <v>379.02861904380097</v>
      </c>
      <c r="AZ84" s="19">
        <v>3.1807742075260501E-3</v>
      </c>
      <c r="BA84" s="18">
        <v>3377.0091919349702</v>
      </c>
      <c r="BB84" s="19">
        <v>5.5407372734295199E-3</v>
      </c>
      <c r="BC84" s="18">
        <v>6008.0894380028903</v>
      </c>
      <c r="BD84" s="19">
        <v>2.6530331039343699E-2</v>
      </c>
      <c r="BE84" s="18">
        <v>-2631.0802460679201</v>
      </c>
      <c r="BF84" s="19">
        <v>5.4790096679926598E-2</v>
      </c>
      <c r="BG84" s="18"/>
      <c r="BH84" s="19"/>
    </row>
    <row r="85" spans="1:60" x14ac:dyDescent="0.15">
      <c r="A85" s="17">
        <v>1998</v>
      </c>
      <c r="B85" s="17">
        <v>2</v>
      </c>
      <c r="C85" s="18">
        <v>111791.75779849</v>
      </c>
      <c r="D85" s="19">
        <v>1.07985703275781E-2</v>
      </c>
      <c r="E85" s="18">
        <v>108254.80430865999</v>
      </c>
      <c r="F85" s="19">
        <v>9.6469483945094102E-3</v>
      </c>
      <c r="G85" s="18">
        <v>1316.50902585525</v>
      </c>
      <c r="H85" s="19">
        <v>-1.73300575586273E-2</v>
      </c>
      <c r="I85" s="18">
        <v>154.54755547916</v>
      </c>
      <c r="J85" s="19">
        <v>-3.7545879890602103E-2</v>
      </c>
      <c r="K85" s="18">
        <v>20830.563678140799</v>
      </c>
      <c r="L85" s="19">
        <v>8.8419240467339007E-3</v>
      </c>
      <c r="M85" s="18">
        <v>4105.6069698317997</v>
      </c>
      <c r="N85" s="19">
        <v>1.22282704238863E-2</v>
      </c>
      <c r="O85" s="18">
        <v>16724.956708309001</v>
      </c>
      <c r="P85" s="19">
        <v>8.0141117035823495E-3</v>
      </c>
      <c r="Q85" s="18">
        <v>2759.9720213820001</v>
      </c>
      <c r="R85" s="19">
        <v>1.9634660704884298E-2</v>
      </c>
      <c r="S85" s="18">
        <v>636.12568307932099</v>
      </c>
      <c r="T85" s="19">
        <v>-1.9364122364910301E-2</v>
      </c>
      <c r="U85" s="18">
        <v>5467.0746977069102</v>
      </c>
      <c r="V85" s="19">
        <v>1.2897202284196E-2</v>
      </c>
      <c r="W85" s="18">
        <v>15687.769889409899</v>
      </c>
      <c r="X85" s="19">
        <v>9.9497383630398097E-3</v>
      </c>
      <c r="Y85" s="18">
        <v>5284.1579716466604</v>
      </c>
      <c r="Z85" s="19">
        <v>8.2494023196100202E-3</v>
      </c>
      <c r="AA85" s="18">
        <v>4484.3425272141903</v>
      </c>
      <c r="AB85" s="19">
        <v>7.4610961694014898E-3</v>
      </c>
      <c r="AC85" s="18">
        <v>2865.7051165471498</v>
      </c>
      <c r="AD85" s="19">
        <v>5.3169839325373199E-3</v>
      </c>
      <c r="AE85" s="18">
        <v>4841.6764075344499</v>
      </c>
      <c r="AF85" s="19">
        <v>2.6310879630117901E-2</v>
      </c>
      <c r="AG85" s="18">
        <v>12785.8110723432</v>
      </c>
      <c r="AH85" s="19">
        <v>1.7963175149310999E-2</v>
      </c>
      <c r="AI85" s="18">
        <v>7671.0128047898397</v>
      </c>
      <c r="AJ85" s="19">
        <v>1.8712071030424E-2</v>
      </c>
      <c r="AK85" s="18">
        <v>4271.4761428377897</v>
      </c>
      <c r="AL85" s="19">
        <v>7.4371392124101803E-3</v>
      </c>
      <c r="AM85" s="18">
        <v>16730.979648274599</v>
      </c>
      <c r="AN85" s="19">
        <v>4.2808766545103802E-3</v>
      </c>
      <c r="AO85" s="18">
        <v>7128.63301660243</v>
      </c>
      <c r="AP85" s="19">
        <v>1.61038055224805E-3</v>
      </c>
      <c r="AQ85" s="18">
        <v>4429.2766145748901</v>
      </c>
      <c r="AR85" s="19">
        <v>-1.6718760764957701E-3</v>
      </c>
      <c r="AS85" s="18">
        <v>5800.0841765123296</v>
      </c>
      <c r="AT85" s="19">
        <v>2.40031032166628E-2</v>
      </c>
      <c r="AU85" s="18">
        <v>553.84192070269205</v>
      </c>
      <c r="AV85" s="19">
        <v>1.8550109251349398E-2</v>
      </c>
      <c r="AW85" s="18">
        <v>1400.4500230352501</v>
      </c>
      <c r="AX85" s="19">
        <v>-4.0178178518891503E-3</v>
      </c>
      <c r="AY85" s="18">
        <v>381.44123426506701</v>
      </c>
      <c r="AZ85" s="19">
        <v>6.3652587167497597E-3</v>
      </c>
      <c r="BA85" s="18">
        <v>3536.95348983022</v>
      </c>
      <c r="BB85" s="19">
        <v>4.7362707296512797E-2</v>
      </c>
      <c r="BC85" s="18">
        <v>6234.9431216120902</v>
      </c>
      <c r="BD85" s="19">
        <v>3.7758040380405603E-2</v>
      </c>
      <c r="BE85" s="18">
        <v>-2697.9896317818698</v>
      </c>
      <c r="BF85" s="19">
        <v>2.5430385794559699E-2</v>
      </c>
      <c r="BG85" s="18"/>
      <c r="BH85" s="19"/>
    </row>
    <row r="86" spans="1:60" x14ac:dyDescent="0.15">
      <c r="A86" s="17">
        <v>1998</v>
      </c>
      <c r="B86" s="17">
        <v>3</v>
      </c>
      <c r="C86" s="18">
        <v>111510.42451923199</v>
      </c>
      <c r="D86" s="19">
        <v>-2.5165833760751898E-3</v>
      </c>
      <c r="E86" s="18">
        <v>107916.563159795</v>
      </c>
      <c r="F86" s="19">
        <v>-3.12449088079758E-3</v>
      </c>
      <c r="G86" s="18">
        <v>1300.26795182408</v>
      </c>
      <c r="H86" s="19">
        <v>-1.23364699460546E-2</v>
      </c>
      <c r="I86" s="18">
        <v>155.506787809955</v>
      </c>
      <c r="J86" s="19">
        <v>6.2067130587775098E-3</v>
      </c>
      <c r="K86" s="18">
        <v>20729.7930829744</v>
      </c>
      <c r="L86" s="19">
        <v>-4.8376316994325199E-3</v>
      </c>
      <c r="M86" s="18">
        <v>4000.69599580047</v>
      </c>
      <c r="N86" s="19">
        <v>-2.5553097216128601E-2</v>
      </c>
      <c r="O86" s="18">
        <v>16729.097087173901</v>
      </c>
      <c r="P86" s="19">
        <v>2.4755692568412301E-4</v>
      </c>
      <c r="Q86" s="18">
        <v>2748.0266830279302</v>
      </c>
      <c r="R86" s="19">
        <v>-4.32806501715599E-3</v>
      </c>
      <c r="S86" s="18">
        <v>621.70611360310795</v>
      </c>
      <c r="T86" s="19">
        <v>-2.2667799555602601E-2</v>
      </c>
      <c r="U86" s="18">
        <v>5596.4868292146402</v>
      </c>
      <c r="V86" s="19">
        <v>2.3671184072536801E-2</v>
      </c>
      <c r="W86" s="18">
        <v>15587.941246836899</v>
      </c>
      <c r="X86" s="19">
        <v>-6.3634693316337899E-3</v>
      </c>
      <c r="Y86" s="18">
        <v>5285.1604378406801</v>
      </c>
      <c r="Z86" s="19">
        <v>1.8971162470826601E-4</v>
      </c>
      <c r="AA86" s="18">
        <v>4354.5587115196104</v>
      </c>
      <c r="AB86" s="19">
        <v>-2.8941548266431201E-2</v>
      </c>
      <c r="AC86" s="18">
        <v>2878.22847709393</v>
      </c>
      <c r="AD86" s="19">
        <v>4.3700799759418497E-3</v>
      </c>
      <c r="AE86" s="18">
        <v>4872.5424693841396</v>
      </c>
      <c r="AF86" s="19">
        <v>6.3750774012192304E-3</v>
      </c>
      <c r="AG86" s="18">
        <v>12513.5691531751</v>
      </c>
      <c r="AH86" s="19">
        <v>-2.1292502886812101E-2</v>
      </c>
      <c r="AI86" s="18">
        <v>7389.5020481280399</v>
      </c>
      <c r="AJ86" s="19">
        <v>-3.6697990711999001E-2</v>
      </c>
      <c r="AK86" s="18">
        <v>4269.1115373111397</v>
      </c>
      <c r="AL86" s="19">
        <v>-5.5358041285613602E-4</v>
      </c>
      <c r="AM86" s="18">
        <v>16777.438041817499</v>
      </c>
      <c r="AN86" s="19">
        <v>2.7767885993286198E-3</v>
      </c>
      <c r="AO86" s="18">
        <v>7145.0713084336003</v>
      </c>
      <c r="AP86" s="19">
        <v>2.3059528794493502E-3</v>
      </c>
      <c r="AQ86" s="18">
        <v>4452.6626486474997</v>
      </c>
      <c r="AR86" s="19">
        <v>5.2798766271786599E-3</v>
      </c>
      <c r="AS86" s="18">
        <v>5841.5616203085101</v>
      </c>
      <c r="AT86" s="19">
        <v>7.1511796266938701E-3</v>
      </c>
      <c r="AU86" s="18">
        <v>560.906423468507</v>
      </c>
      <c r="AV86" s="19">
        <v>1.2755449708198301E-2</v>
      </c>
      <c r="AW86" s="18">
        <v>1395.9974896615399</v>
      </c>
      <c r="AX86" s="19">
        <v>-3.1793589920889901E-3</v>
      </c>
      <c r="AY86" s="18">
        <v>384.29812099369798</v>
      </c>
      <c r="AZ86" s="19">
        <v>7.48971655918362E-3</v>
      </c>
      <c r="BA86" s="18">
        <v>3593.86135943729</v>
      </c>
      <c r="BB86" s="19">
        <v>1.6089515955100199E-2</v>
      </c>
      <c r="BC86" s="18">
        <v>6270.7095299092698</v>
      </c>
      <c r="BD86" s="19">
        <v>5.7364450003092298E-3</v>
      </c>
      <c r="BE86" s="18">
        <v>-2676.8481704719902</v>
      </c>
      <c r="BF86" s="19">
        <v>-7.8360053948478593E-3</v>
      </c>
      <c r="BG86" s="18"/>
      <c r="BH86" s="19"/>
    </row>
    <row r="87" spans="1:60" x14ac:dyDescent="0.15">
      <c r="A87" s="17">
        <v>1998</v>
      </c>
      <c r="B87" s="17">
        <v>4</v>
      </c>
      <c r="C87" s="18">
        <v>110667.879733555</v>
      </c>
      <c r="D87" s="19">
        <v>-7.55574906390732E-3</v>
      </c>
      <c r="E87" s="18">
        <v>106922.88557147799</v>
      </c>
      <c r="F87" s="19">
        <v>-9.20783204377007E-3</v>
      </c>
      <c r="G87" s="18">
        <v>1246.6286459155299</v>
      </c>
      <c r="H87" s="19">
        <v>-4.1252501711903103E-2</v>
      </c>
      <c r="I87" s="18">
        <v>150.637283922883</v>
      </c>
      <c r="J87" s="19">
        <v>-3.13137706440344E-2</v>
      </c>
      <c r="K87" s="18">
        <v>20293.642397502499</v>
      </c>
      <c r="L87" s="19">
        <v>-2.1039799274704198E-2</v>
      </c>
      <c r="M87" s="18">
        <v>3888.7930108208302</v>
      </c>
      <c r="N87" s="19">
        <v>-2.79708793412713E-2</v>
      </c>
      <c r="O87" s="18">
        <v>16404.849386681599</v>
      </c>
      <c r="P87" s="19">
        <v>-1.9382259472980799E-2</v>
      </c>
      <c r="Q87" s="18">
        <v>2772.9116779678102</v>
      </c>
      <c r="R87" s="19">
        <v>9.0555870849344799E-3</v>
      </c>
      <c r="S87" s="18">
        <v>601.98012102553901</v>
      </c>
      <c r="T87" s="19">
        <v>-3.1728805855305797E-2</v>
      </c>
      <c r="U87" s="18">
        <v>5346.5097204313497</v>
      </c>
      <c r="V87" s="19">
        <v>-4.4666791223088698E-2</v>
      </c>
      <c r="W87" s="18">
        <v>15567.897476652999</v>
      </c>
      <c r="X87" s="19">
        <v>-1.2858510220505901E-3</v>
      </c>
      <c r="Y87" s="18">
        <v>5267.4065383227398</v>
      </c>
      <c r="Z87" s="19">
        <v>-3.3591978383147301E-3</v>
      </c>
      <c r="AA87" s="18">
        <v>4190.5929626625202</v>
      </c>
      <c r="AB87" s="19">
        <v>-3.7653815166925703E-2</v>
      </c>
      <c r="AC87" s="18">
        <v>2878.9964754402899</v>
      </c>
      <c r="AD87" s="19">
        <v>2.6683022298912301E-4</v>
      </c>
      <c r="AE87" s="18">
        <v>4960.4688995303204</v>
      </c>
      <c r="AF87" s="19">
        <v>1.80452875882882E-2</v>
      </c>
      <c r="AG87" s="18">
        <v>12240.6004645105</v>
      </c>
      <c r="AH87" s="19">
        <v>-2.18138154928624E-2</v>
      </c>
      <c r="AI87" s="18">
        <v>7195.7201074407903</v>
      </c>
      <c r="AJ87" s="19">
        <v>-2.6223951143816902E-2</v>
      </c>
      <c r="AK87" s="18">
        <v>4230.8565487988699</v>
      </c>
      <c r="AL87" s="19">
        <v>-8.9608782009861204E-3</v>
      </c>
      <c r="AM87" s="18">
        <v>16924.9961513948</v>
      </c>
      <c r="AN87" s="19">
        <v>8.7950323052601292E-3</v>
      </c>
      <c r="AO87" s="18">
        <v>7120.2688723198899</v>
      </c>
      <c r="AP87" s="19">
        <v>-3.4712650221470102E-3</v>
      </c>
      <c r="AQ87" s="18">
        <v>4429.3395248472598</v>
      </c>
      <c r="AR87" s="19">
        <v>-5.2380172585768702E-3</v>
      </c>
      <c r="AS87" s="18">
        <v>5878.4318371913096</v>
      </c>
      <c r="AT87" s="19">
        <v>6.31170554712868E-3</v>
      </c>
      <c r="AU87" s="18">
        <v>564.48677140994403</v>
      </c>
      <c r="AV87" s="19">
        <v>6.3831466206012398E-3</v>
      </c>
      <c r="AW87" s="18">
        <v>1369.3172938145599</v>
      </c>
      <c r="AX87" s="19">
        <v>-1.9111922510301801E-2</v>
      </c>
      <c r="AY87" s="18">
        <v>385.17899493831499</v>
      </c>
      <c r="AZ87" s="19">
        <v>2.2921630278591701E-3</v>
      </c>
      <c r="BA87" s="18">
        <v>3744.9941620765098</v>
      </c>
      <c r="BB87" s="19">
        <v>4.2053041985706398E-2</v>
      </c>
      <c r="BC87" s="18">
        <v>6328.2267531747402</v>
      </c>
      <c r="BD87" s="19">
        <v>9.1723628707602901E-3</v>
      </c>
      <c r="BE87" s="18">
        <v>-2583.2325910982199</v>
      </c>
      <c r="BF87" s="19">
        <v>-3.4972315728035899E-2</v>
      </c>
      <c r="BG87" s="18"/>
      <c r="BH87" s="19"/>
    </row>
    <row r="88" spans="1:60" x14ac:dyDescent="0.15">
      <c r="A88" s="17">
        <v>1999</v>
      </c>
      <c r="B88" s="17">
        <v>1</v>
      </c>
      <c r="C88" s="18">
        <v>111372.72066827099</v>
      </c>
      <c r="D88" s="19">
        <v>6.36897477762854E-3</v>
      </c>
      <c r="E88" s="18">
        <v>107316.487361605</v>
      </c>
      <c r="F88" s="19">
        <v>3.6811744092337699E-3</v>
      </c>
      <c r="G88" s="18">
        <v>1208.97212995419</v>
      </c>
      <c r="H88" s="19">
        <v>-3.0206682707566702E-2</v>
      </c>
      <c r="I88" s="18">
        <v>148.42941224381801</v>
      </c>
      <c r="J88" s="19">
        <v>-1.46568739263478E-2</v>
      </c>
      <c r="K88" s="18">
        <v>20530.887567611699</v>
      </c>
      <c r="L88" s="19">
        <v>1.1690615487461E-2</v>
      </c>
      <c r="M88" s="18">
        <v>3855.1114498409102</v>
      </c>
      <c r="N88" s="19">
        <v>-8.66118635941804E-3</v>
      </c>
      <c r="O88" s="18">
        <v>16675.776117770802</v>
      </c>
      <c r="P88" s="19">
        <v>1.6515039224261899E-2</v>
      </c>
      <c r="Q88" s="18">
        <v>2724.34279645786</v>
      </c>
      <c r="R88" s="19">
        <v>-1.751548089175E-2</v>
      </c>
      <c r="S88" s="18">
        <v>621.87695501208998</v>
      </c>
      <c r="T88" s="19">
        <v>3.3052310685368597E-2</v>
      </c>
      <c r="U88" s="18">
        <v>5334.82336065249</v>
      </c>
      <c r="V88" s="19">
        <v>-2.1857923000121499E-3</v>
      </c>
      <c r="W88" s="18">
        <v>15858.3518754621</v>
      </c>
      <c r="X88" s="19">
        <v>1.8657265648404801E-2</v>
      </c>
      <c r="Y88" s="18">
        <v>5296.8292942008802</v>
      </c>
      <c r="Z88" s="19">
        <v>5.5858145111980003E-3</v>
      </c>
      <c r="AA88" s="18">
        <v>3908.3749642880698</v>
      </c>
      <c r="AB88" s="19">
        <v>-6.7345600226261501E-2</v>
      </c>
      <c r="AC88" s="18">
        <v>2857.7080357971299</v>
      </c>
      <c r="AD88" s="19">
        <v>-7.3943958684092896E-3</v>
      </c>
      <c r="AE88" s="18">
        <v>4943.4959142534899</v>
      </c>
      <c r="AF88" s="19">
        <v>-3.4216493683571999E-3</v>
      </c>
      <c r="AG88" s="18">
        <v>12341.0300946425</v>
      </c>
      <c r="AH88" s="19">
        <v>8.2046326422615702E-3</v>
      </c>
      <c r="AI88" s="18">
        <v>7343.6627047272304</v>
      </c>
      <c r="AJ88" s="19">
        <v>2.0559804311101E-2</v>
      </c>
      <c r="AK88" s="18">
        <v>4152.3223939377303</v>
      </c>
      <c r="AL88" s="19">
        <v>-1.8562235319329899E-2</v>
      </c>
      <c r="AM88" s="18">
        <v>17092.5195488229</v>
      </c>
      <c r="AN88" s="19">
        <v>9.8979873277114105E-3</v>
      </c>
      <c r="AO88" s="18">
        <v>7115.2873509972496</v>
      </c>
      <c r="AP88" s="19">
        <v>-6.9962545122581599E-4</v>
      </c>
      <c r="AQ88" s="18">
        <v>4447.0824434243204</v>
      </c>
      <c r="AR88" s="19">
        <v>4.0057707198854998E-3</v>
      </c>
      <c r="AS88" s="18">
        <v>5871.6435982339799</v>
      </c>
      <c r="AT88" s="19">
        <v>-1.15477037845046E-3</v>
      </c>
      <c r="AU88" s="18">
        <v>571.84348634692105</v>
      </c>
      <c r="AV88" s="19">
        <v>1.3032572789264601E-2</v>
      </c>
      <c r="AW88" s="18">
        <v>1352.3970135198799</v>
      </c>
      <c r="AX88" s="19">
        <v>-1.23567272326958E-2</v>
      </c>
      <c r="AY88" s="18">
        <v>387.420813884832</v>
      </c>
      <c r="AZ88" s="19">
        <v>5.8202004158507403E-3</v>
      </c>
      <c r="BA88" s="18">
        <v>4056.2333066659799</v>
      </c>
      <c r="BB88" s="19">
        <v>8.3108045331876698E-2</v>
      </c>
      <c r="BC88" s="18">
        <v>6441.94254208647</v>
      </c>
      <c r="BD88" s="19">
        <v>1.7969613502658102E-2</v>
      </c>
      <c r="BE88" s="18">
        <v>-2385.7092354204901</v>
      </c>
      <c r="BF88" s="19">
        <v>-7.6463635662695997E-2</v>
      </c>
      <c r="BG88" s="18"/>
      <c r="BH88" s="19"/>
    </row>
    <row r="89" spans="1:60" x14ac:dyDescent="0.15">
      <c r="A89" s="17">
        <v>1999</v>
      </c>
      <c r="B89" s="17">
        <v>2</v>
      </c>
      <c r="C89" s="18">
        <v>112287.79092729</v>
      </c>
      <c r="D89" s="19">
        <v>8.2162871978666008E-3</v>
      </c>
      <c r="E89" s="18">
        <v>107989.823293543</v>
      </c>
      <c r="F89" s="19">
        <v>6.2743008878871596E-3</v>
      </c>
      <c r="G89" s="18">
        <v>1192.88105783079</v>
      </c>
      <c r="H89" s="19">
        <v>-1.3309713040294401E-2</v>
      </c>
      <c r="I89" s="18">
        <v>147.49171096326299</v>
      </c>
      <c r="J89" s="19">
        <v>-6.3174896833443402E-3</v>
      </c>
      <c r="K89" s="18">
        <v>20445.591464820802</v>
      </c>
      <c r="L89" s="19">
        <v>-4.1545258338203696E-3</v>
      </c>
      <c r="M89" s="18">
        <v>3841.4399539471701</v>
      </c>
      <c r="N89" s="19">
        <v>-3.5463296124152999E-3</v>
      </c>
      <c r="O89" s="18">
        <v>16604.151510873598</v>
      </c>
      <c r="P89" s="19">
        <v>-4.2951288378622098E-3</v>
      </c>
      <c r="Q89" s="18">
        <v>2860.9987953568698</v>
      </c>
      <c r="R89" s="19">
        <v>5.0161088052757E-2</v>
      </c>
      <c r="S89" s="18">
        <v>638.64627249264402</v>
      </c>
      <c r="T89" s="19">
        <v>2.6965651879200699E-2</v>
      </c>
      <c r="U89" s="18">
        <v>5351.2491153114297</v>
      </c>
      <c r="V89" s="19">
        <v>3.0789687958734401E-3</v>
      </c>
      <c r="W89" s="18">
        <v>15928.997724692899</v>
      </c>
      <c r="X89" s="19">
        <v>4.4548039913365799E-3</v>
      </c>
      <c r="Y89" s="18">
        <v>5299.7780719620696</v>
      </c>
      <c r="Z89" s="19">
        <v>5.5670620996273201E-4</v>
      </c>
      <c r="AA89" s="18">
        <v>3857.5125596348398</v>
      </c>
      <c r="AB89" s="19">
        <v>-1.30136962594368E-2</v>
      </c>
      <c r="AC89" s="18">
        <v>2877.3227033949202</v>
      </c>
      <c r="AD89" s="19">
        <v>6.8637759183547403E-3</v>
      </c>
      <c r="AE89" s="18">
        <v>4982.9400664778004</v>
      </c>
      <c r="AF89" s="19">
        <v>7.9789996610655205E-3</v>
      </c>
      <c r="AG89" s="18">
        <v>12639.066634773</v>
      </c>
      <c r="AH89" s="19">
        <v>2.4150053751172101E-2</v>
      </c>
      <c r="AI89" s="18">
        <v>7652.7279082473797</v>
      </c>
      <c r="AJ89" s="19">
        <v>4.2085974798543098E-2</v>
      </c>
      <c r="AK89" s="18">
        <v>4138.2508002765298</v>
      </c>
      <c r="AL89" s="19">
        <v>-3.38884901657732E-3</v>
      </c>
      <c r="AM89" s="18">
        <v>17150.876522708098</v>
      </c>
      <c r="AN89" s="19">
        <v>3.41418207646571E-3</v>
      </c>
      <c r="AO89" s="18">
        <v>7150.5998478826396</v>
      </c>
      <c r="AP89" s="19">
        <v>4.9629052409871904E-3</v>
      </c>
      <c r="AQ89" s="18">
        <v>4481.2260557402496</v>
      </c>
      <c r="AR89" s="19">
        <v>7.6777556409857199E-3</v>
      </c>
      <c r="AS89" s="18">
        <v>5954.3098873926601</v>
      </c>
      <c r="AT89" s="19">
        <v>1.4078901039487699E-2</v>
      </c>
      <c r="AU89" s="18">
        <v>585.46741900134896</v>
      </c>
      <c r="AV89" s="19">
        <v>2.3824583089091501E-2</v>
      </c>
      <c r="AW89" s="18">
        <v>1352.4911751566899</v>
      </c>
      <c r="AX89" s="19">
        <v>6.9625735544809304E-5</v>
      </c>
      <c r="AY89" s="18">
        <v>392.15427991240898</v>
      </c>
      <c r="AZ89" s="19">
        <v>1.2217892942076199E-2</v>
      </c>
      <c r="BA89" s="18">
        <v>4297.9676337464398</v>
      </c>
      <c r="BB89" s="19">
        <v>5.9595765037281999E-2</v>
      </c>
      <c r="BC89" s="18">
        <v>6552.3051150492201</v>
      </c>
      <c r="BD89" s="19">
        <v>1.7131877883375599E-2</v>
      </c>
      <c r="BE89" s="18">
        <v>-2254.3374813027699</v>
      </c>
      <c r="BF89" s="19">
        <v>-5.5066121288901003E-2</v>
      </c>
      <c r="BG89" s="18"/>
      <c r="BH89" s="19"/>
    </row>
    <row r="90" spans="1:60" x14ac:dyDescent="0.15">
      <c r="A90" s="17">
        <v>1999</v>
      </c>
      <c r="B90" s="17">
        <v>3</v>
      </c>
      <c r="C90" s="18">
        <v>113509.055077992</v>
      </c>
      <c r="D90" s="19">
        <v>1.08761971414433E-2</v>
      </c>
      <c r="E90" s="18">
        <v>108882.318994961</v>
      </c>
      <c r="F90" s="19">
        <v>8.2646278528621907E-3</v>
      </c>
      <c r="G90" s="18">
        <v>1254.74047362386</v>
      </c>
      <c r="H90" s="19">
        <v>5.18571532232757E-2</v>
      </c>
      <c r="I90" s="18">
        <v>147.97910019571299</v>
      </c>
      <c r="J90" s="19">
        <v>3.30451948293664E-3</v>
      </c>
      <c r="K90" s="18">
        <v>20696.384931696</v>
      </c>
      <c r="L90" s="19">
        <v>1.22663835529884E-2</v>
      </c>
      <c r="M90" s="18">
        <v>4017.3991445274801</v>
      </c>
      <c r="N90" s="19">
        <v>4.5805529356121699E-2</v>
      </c>
      <c r="O90" s="18">
        <v>16678.985787168502</v>
      </c>
      <c r="P90" s="19">
        <v>4.5069617827737697E-3</v>
      </c>
      <c r="Q90" s="18">
        <v>2836.5607382244898</v>
      </c>
      <c r="R90" s="19">
        <v>-8.5417921783260704E-3</v>
      </c>
      <c r="S90" s="18">
        <v>650.06873160717396</v>
      </c>
      <c r="T90" s="19">
        <v>1.7885423600685599E-2</v>
      </c>
      <c r="U90" s="18">
        <v>5382.7432057164997</v>
      </c>
      <c r="V90" s="19">
        <v>5.8853717564666397E-3</v>
      </c>
      <c r="W90" s="18">
        <v>16190.670840741999</v>
      </c>
      <c r="X90" s="19">
        <v>1.6427468982777499E-2</v>
      </c>
      <c r="Y90" s="18">
        <v>5312.8948203612299</v>
      </c>
      <c r="Z90" s="19">
        <v>2.4749618231279E-3</v>
      </c>
      <c r="AA90" s="18">
        <v>3897.50431851352</v>
      </c>
      <c r="AB90" s="19">
        <v>1.03672400959001E-2</v>
      </c>
      <c r="AC90" s="18">
        <v>2899.3640952689698</v>
      </c>
      <c r="AD90" s="19">
        <v>7.6603822880352297E-3</v>
      </c>
      <c r="AE90" s="18">
        <v>5024.0334558672203</v>
      </c>
      <c r="AF90" s="19">
        <v>8.2468159041044799E-3</v>
      </c>
      <c r="AG90" s="18">
        <v>12609.550637455501</v>
      </c>
      <c r="AH90" s="19">
        <v>-2.3352988136209302E-3</v>
      </c>
      <c r="AI90" s="18">
        <v>7548.9699717212497</v>
      </c>
      <c r="AJ90" s="19">
        <v>-1.35582942148403E-2</v>
      </c>
      <c r="AK90" s="18">
        <v>4185.8863118225599</v>
      </c>
      <c r="AL90" s="19">
        <v>1.15110257558226E-2</v>
      </c>
      <c r="AM90" s="18">
        <v>17289.019652228901</v>
      </c>
      <c r="AN90" s="19">
        <v>8.0545813118020303E-3</v>
      </c>
      <c r="AO90" s="18">
        <v>7185.6997530339204</v>
      </c>
      <c r="AP90" s="19">
        <v>4.9086658319541501E-3</v>
      </c>
      <c r="AQ90" s="18">
        <v>4507.3563211437504</v>
      </c>
      <c r="AR90" s="19">
        <v>5.8310527249620901E-3</v>
      </c>
      <c r="AS90" s="18">
        <v>5968.2815215717601</v>
      </c>
      <c r="AT90" s="19">
        <v>2.3464741411394199E-3</v>
      </c>
      <c r="AU90" s="18">
        <v>593.04074744888101</v>
      </c>
      <c r="AV90" s="19">
        <v>1.29355250211023E-2</v>
      </c>
      <c r="AW90" s="18">
        <v>1353.5805774067801</v>
      </c>
      <c r="AX90" s="19">
        <v>8.0547826861843098E-4</v>
      </c>
      <c r="AY90" s="18">
        <v>395.73989321581598</v>
      </c>
      <c r="AZ90" s="19">
        <v>9.1433741439907994E-3</v>
      </c>
      <c r="BA90" s="18">
        <v>4626.73608303131</v>
      </c>
      <c r="BB90" s="19">
        <v>7.6493933249628401E-2</v>
      </c>
      <c r="BC90" s="18">
        <v>6796.9006211075202</v>
      </c>
      <c r="BD90" s="19">
        <v>3.7329688066039403E-2</v>
      </c>
      <c r="BE90" s="18">
        <v>-2170.1645380762102</v>
      </c>
      <c r="BF90" s="19">
        <v>-3.7338217513874603E-2</v>
      </c>
      <c r="BG90" s="18"/>
      <c r="BH90" s="19"/>
    </row>
    <row r="91" spans="1:60" x14ac:dyDescent="0.15">
      <c r="A91" s="17">
        <v>1999</v>
      </c>
      <c r="B91" s="17">
        <v>4</v>
      </c>
      <c r="C91" s="18">
        <v>116381.862269434</v>
      </c>
      <c r="D91" s="19">
        <v>2.5309057409281101E-2</v>
      </c>
      <c r="E91" s="18">
        <v>111399.694223809</v>
      </c>
      <c r="F91" s="19">
        <v>2.3120147073326699E-2</v>
      </c>
      <c r="G91" s="18">
        <v>1280.69689825516</v>
      </c>
      <c r="H91" s="19">
        <v>2.06866879461804E-2</v>
      </c>
      <c r="I91" s="18">
        <v>144.49964411286101</v>
      </c>
      <c r="J91" s="19">
        <v>-2.35131588058708E-2</v>
      </c>
      <c r="K91" s="18">
        <v>21195.498794913299</v>
      </c>
      <c r="L91" s="19">
        <v>2.4115992472334199E-2</v>
      </c>
      <c r="M91" s="18">
        <v>4277.96194825572</v>
      </c>
      <c r="N91" s="19">
        <v>6.4858579980328096E-2</v>
      </c>
      <c r="O91" s="18">
        <v>16917.5368466576</v>
      </c>
      <c r="P91" s="19">
        <v>1.4302491922056499E-2</v>
      </c>
      <c r="Q91" s="18">
        <v>2819.4269304692698</v>
      </c>
      <c r="R91" s="19">
        <v>-6.0403458048087196E-3</v>
      </c>
      <c r="S91" s="18">
        <v>641.72114964030197</v>
      </c>
      <c r="T91" s="19">
        <v>-1.2841075967818799E-2</v>
      </c>
      <c r="U91" s="18">
        <v>5532.8639565734702</v>
      </c>
      <c r="V91" s="19">
        <v>2.7889264845021099E-2</v>
      </c>
      <c r="W91" s="18">
        <v>16668.1177531631</v>
      </c>
      <c r="X91" s="19">
        <v>2.9489013587973699E-2</v>
      </c>
      <c r="Y91" s="18">
        <v>5407.7702545339898</v>
      </c>
      <c r="Z91" s="19">
        <v>1.7857578096437399E-2</v>
      </c>
      <c r="AA91" s="18">
        <v>3926.1136919596702</v>
      </c>
      <c r="AB91" s="19">
        <v>7.3404340593663502E-3</v>
      </c>
      <c r="AC91" s="18">
        <v>2932.9067078657499</v>
      </c>
      <c r="AD91" s="19">
        <v>1.15689549482627E-2</v>
      </c>
      <c r="AE91" s="18">
        <v>5130.1833429615899</v>
      </c>
      <c r="AF91" s="19">
        <v>2.1128419630726002E-2</v>
      </c>
      <c r="AG91" s="18">
        <v>13655.681932512</v>
      </c>
      <c r="AH91" s="19">
        <v>8.2963408065391403E-2</v>
      </c>
      <c r="AI91" s="18">
        <v>8423.4942505909494</v>
      </c>
      <c r="AJ91" s="19">
        <v>0.115846835017983</v>
      </c>
      <c r="AK91" s="18">
        <v>4299.0367249307301</v>
      </c>
      <c r="AL91" s="19">
        <v>2.703141095557E-2</v>
      </c>
      <c r="AM91" s="18">
        <v>17287.489263269301</v>
      </c>
      <c r="AN91" s="19">
        <v>-8.85179721245022E-5</v>
      </c>
      <c r="AO91" s="18">
        <v>7262.21820778648</v>
      </c>
      <c r="AP91" s="19">
        <v>1.0648713052651099E-2</v>
      </c>
      <c r="AQ91" s="18">
        <v>4560.3612727713698</v>
      </c>
      <c r="AR91" s="19">
        <v>1.17596541855327E-2</v>
      </c>
      <c r="AS91" s="18">
        <v>6007.8108794260597</v>
      </c>
      <c r="AT91" s="19">
        <v>6.6232394888596797E-3</v>
      </c>
      <c r="AU91" s="18">
        <v>599.67269567833102</v>
      </c>
      <c r="AV91" s="19">
        <v>1.1182955400585099E-2</v>
      </c>
      <c r="AW91" s="18">
        <v>1356.8201608454399</v>
      </c>
      <c r="AX91" s="19">
        <v>2.3933436196808002E-3</v>
      </c>
      <c r="AY91" s="18">
        <v>397.610941605785</v>
      </c>
      <c r="AZ91" s="19">
        <v>4.7279751726940801E-3</v>
      </c>
      <c r="BA91" s="18">
        <v>4982.1680456251097</v>
      </c>
      <c r="BB91" s="19">
        <v>7.6821317709770298E-2</v>
      </c>
      <c r="BC91" s="18">
        <v>7122.58104093564</v>
      </c>
      <c r="BD91" s="19">
        <v>4.7916019077392201E-2</v>
      </c>
      <c r="BE91" s="18">
        <v>-2140.4129953105298</v>
      </c>
      <c r="BF91" s="19">
        <v>-1.37093488736354E-2</v>
      </c>
      <c r="BG91" s="18"/>
      <c r="BH91" s="19"/>
    </row>
    <row r="92" spans="1:60" x14ac:dyDescent="0.15">
      <c r="A92" s="17">
        <v>2000</v>
      </c>
      <c r="B92" s="17">
        <v>1</v>
      </c>
      <c r="C92" s="18">
        <v>117376.467022948</v>
      </c>
      <c r="D92" s="19">
        <v>8.54604604290299E-3</v>
      </c>
      <c r="E92" s="18">
        <v>112303.73405988399</v>
      </c>
      <c r="F92" s="19">
        <v>8.1152811268769796E-3</v>
      </c>
      <c r="G92" s="18">
        <v>1313.6533482861701</v>
      </c>
      <c r="H92" s="19">
        <v>2.5733216091888202E-2</v>
      </c>
      <c r="I92" s="18">
        <v>146.64044108942599</v>
      </c>
      <c r="J92" s="19">
        <v>1.48152404783251E-2</v>
      </c>
      <c r="K92" s="18">
        <v>20782.4502202978</v>
      </c>
      <c r="L92" s="19">
        <v>-1.9487560949244399E-2</v>
      </c>
      <c r="M92" s="18">
        <v>4135.6768164832101</v>
      </c>
      <c r="N92" s="19">
        <v>-3.32600274367841E-2</v>
      </c>
      <c r="O92" s="18">
        <v>16646.773403814601</v>
      </c>
      <c r="P92" s="19">
        <v>-1.60048974798894E-2</v>
      </c>
      <c r="Q92" s="18">
        <v>2802.8017376743401</v>
      </c>
      <c r="R92" s="19">
        <v>-5.8966567337737103E-3</v>
      </c>
      <c r="S92" s="18">
        <v>630.47212656823899</v>
      </c>
      <c r="T92" s="19">
        <v>-1.7529456646969799E-2</v>
      </c>
      <c r="U92" s="18">
        <v>5556.2391824033002</v>
      </c>
      <c r="V92" s="19">
        <v>4.2247967803470399E-3</v>
      </c>
      <c r="W92" s="18">
        <v>16800.8818673436</v>
      </c>
      <c r="X92" s="19">
        <v>7.9651533632416598E-3</v>
      </c>
      <c r="Y92" s="18">
        <v>5397.6119039182604</v>
      </c>
      <c r="Z92" s="19">
        <v>-1.87847303742383E-3</v>
      </c>
      <c r="AA92" s="18">
        <v>4001.8004503921902</v>
      </c>
      <c r="AB92" s="19">
        <v>1.9277780617388902E-2</v>
      </c>
      <c r="AC92" s="18">
        <v>2919.4561674629499</v>
      </c>
      <c r="AD92" s="19">
        <v>-4.5860785025046997E-3</v>
      </c>
      <c r="AE92" s="18">
        <v>5194.9764659089597</v>
      </c>
      <c r="AF92" s="19">
        <v>1.2629787010683499E-2</v>
      </c>
      <c r="AG92" s="18">
        <v>14458.8603521683</v>
      </c>
      <c r="AH92" s="19">
        <v>5.8816427010070199E-2</v>
      </c>
      <c r="AI92" s="18">
        <v>8990.2396039721207</v>
      </c>
      <c r="AJ92" s="19">
        <v>6.7281502963145695E-2</v>
      </c>
      <c r="AK92" s="18">
        <v>4488.7446425435801</v>
      </c>
      <c r="AL92" s="19">
        <v>4.4128005818768502E-2</v>
      </c>
      <c r="AM92" s="18">
        <v>17319.769829537701</v>
      </c>
      <c r="AN92" s="19">
        <v>1.86727903496253E-3</v>
      </c>
      <c r="AO92" s="18">
        <v>7319.4099455905598</v>
      </c>
      <c r="AP92" s="19">
        <v>7.8752436470108707E-3</v>
      </c>
      <c r="AQ92" s="18">
        <v>4603.7407837207702</v>
      </c>
      <c r="AR92" s="19">
        <v>9.5122970209400304E-3</v>
      </c>
      <c r="AS92" s="18">
        <v>6092.2348687181302</v>
      </c>
      <c r="AT92" s="19">
        <v>1.4052371319006799E-2</v>
      </c>
      <c r="AU92" s="18">
        <v>593.15048939604696</v>
      </c>
      <c r="AV92" s="19">
        <v>-1.08762768911913E-2</v>
      </c>
      <c r="AW92" s="18">
        <v>1367.4459216569101</v>
      </c>
      <c r="AX92" s="19">
        <v>7.8313700799172992E-3</v>
      </c>
      <c r="AY92" s="18">
        <v>399.74986166816802</v>
      </c>
      <c r="AZ92" s="19">
        <v>5.3794295844706904E-3</v>
      </c>
      <c r="BA92" s="18">
        <v>5072.7329630640897</v>
      </c>
      <c r="BB92" s="19">
        <v>1.81778126730394E-2</v>
      </c>
      <c r="BC92" s="18">
        <v>7218.0621833361502</v>
      </c>
      <c r="BD92" s="19">
        <v>1.3405413269677299E-2</v>
      </c>
      <c r="BE92" s="18">
        <v>-2145.32922027206</v>
      </c>
      <c r="BF92" s="19">
        <v>2.2968581167765998E-3</v>
      </c>
      <c r="BG92" s="18"/>
      <c r="BH92" s="19"/>
    </row>
    <row r="93" spans="1:60" x14ac:dyDescent="0.15">
      <c r="A93" s="17">
        <v>2000</v>
      </c>
      <c r="B93" s="17">
        <v>2</v>
      </c>
      <c r="C93" s="18">
        <v>118060.34771513801</v>
      </c>
      <c r="D93" s="19">
        <v>5.8263867497139197E-3</v>
      </c>
      <c r="E93" s="18">
        <v>112892.188007994</v>
      </c>
      <c r="F93" s="19">
        <v>5.2398431186289098E-3</v>
      </c>
      <c r="G93" s="18">
        <v>1302.8191243352901</v>
      </c>
      <c r="H93" s="19">
        <v>-8.2473994871004007E-3</v>
      </c>
      <c r="I93" s="18">
        <v>143.45945464049601</v>
      </c>
      <c r="J93" s="19">
        <v>-2.16924228084487E-2</v>
      </c>
      <c r="K93" s="18">
        <v>20757.198530322501</v>
      </c>
      <c r="L93" s="19">
        <v>-1.2150487410104199E-3</v>
      </c>
      <c r="M93" s="18">
        <v>4083.7393261570501</v>
      </c>
      <c r="N93" s="19">
        <v>-1.2558401594427299E-2</v>
      </c>
      <c r="O93" s="18">
        <v>16673.4592041654</v>
      </c>
      <c r="P93" s="19">
        <v>1.6030614283943901E-3</v>
      </c>
      <c r="Q93" s="18">
        <v>2770.72340859001</v>
      </c>
      <c r="R93" s="19">
        <v>-1.1445093904838499E-2</v>
      </c>
      <c r="S93" s="18">
        <v>619.41514504656197</v>
      </c>
      <c r="T93" s="19">
        <v>-1.75376214994017E-2</v>
      </c>
      <c r="U93" s="18">
        <v>5519.2262812131803</v>
      </c>
      <c r="V93" s="19">
        <v>-6.6615024974701099E-3</v>
      </c>
      <c r="W93" s="18">
        <v>16989.6539957553</v>
      </c>
      <c r="X93" s="19">
        <v>1.12358464217663E-2</v>
      </c>
      <c r="Y93" s="18">
        <v>5439.5392989062702</v>
      </c>
      <c r="Z93" s="19">
        <v>7.7677676228571401E-3</v>
      </c>
      <c r="AA93" s="18">
        <v>4059.7838211180501</v>
      </c>
      <c r="AB93" s="19">
        <v>1.44893208556107E-2</v>
      </c>
      <c r="AC93" s="18">
        <v>3007.5736972802001</v>
      </c>
      <c r="AD93" s="19">
        <v>3.0182857615508499E-2</v>
      </c>
      <c r="AE93" s="18">
        <v>5245.9754829972999</v>
      </c>
      <c r="AF93" s="19">
        <v>9.8169871265087992E-3</v>
      </c>
      <c r="AG93" s="18">
        <v>14437.7720432811</v>
      </c>
      <c r="AH93" s="19">
        <v>-1.4585042232603299E-3</v>
      </c>
      <c r="AI93" s="18">
        <v>8797.3315929114597</v>
      </c>
      <c r="AJ93" s="19">
        <v>-2.14574938553838E-2</v>
      </c>
      <c r="AK93" s="18">
        <v>4605.7779654764399</v>
      </c>
      <c r="AL93" s="19">
        <v>2.6072617681041702E-2</v>
      </c>
      <c r="AM93" s="18">
        <v>17394.842178838699</v>
      </c>
      <c r="AN93" s="19">
        <v>4.3344888552094797E-3</v>
      </c>
      <c r="AO93" s="18">
        <v>7393.5051960723004</v>
      </c>
      <c r="AP93" s="19">
        <v>1.0123117987998099E-2</v>
      </c>
      <c r="AQ93" s="18">
        <v>4649.2965432640403</v>
      </c>
      <c r="AR93" s="19">
        <v>9.8953789284481602E-3</v>
      </c>
      <c r="AS93" s="18">
        <v>6212.8865738725799</v>
      </c>
      <c r="AT93" s="19">
        <v>1.9804178229233999E-2</v>
      </c>
      <c r="AU93" s="18">
        <v>610.47155245514796</v>
      </c>
      <c r="AV93" s="19">
        <v>2.9201801850889102E-2</v>
      </c>
      <c r="AW93" s="18">
        <v>1374.99118594683</v>
      </c>
      <c r="AX93" s="19">
        <v>5.5177789266969103E-3</v>
      </c>
      <c r="AY93" s="18">
        <v>402.59379296399402</v>
      </c>
      <c r="AZ93" s="19">
        <v>7.1142771230932001E-3</v>
      </c>
      <c r="BA93" s="18">
        <v>5168.1597071448396</v>
      </c>
      <c r="BB93" s="19">
        <v>1.88117026414709E-2</v>
      </c>
      <c r="BC93" s="18">
        <v>7342.32070652727</v>
      </c>
      <c r="BD93" s="19">
        <v>1.7214942187390201E-2</v>
      </c>
      <c r="BE93" s="18">
        <v>-2174.16099938243</v>
      </c>
      <c r="BF93" s="19">
        <v>1.3439326159327299E-2</v>
      </c>
      <c r="BG93" s="18"/>
      <c r="BH93" s="19"/>
    </row>
    <row r="94" spans="1:60" x14ac:dyDescent="0.15">
      <c r="A94" s="17">
        <v>2000</v>
      </c>
      <c r="B94" s="17">
        <v>3</v>
      </c>
      <c r="C94" s="18">
        <v>119389.50125593301</v>
      </c>
      <c r="D94" s="19">
        <v>1.1258255345830699E-2</v>
      </c>
      <c r="E94" s="18">
        <v>114147.756709233</v>
      </c>
      <c r="F94" s="19">
        <v>1.1121838662131201E-2</v>
      </c>
      <c r="G94" s="18">
        <v>1244.14448535467</v>
      </c>
      <c r="H94" s="19">
        <v>-4.5036673076588797E-2</v>
      </c>
      <c r="I94" s="18">
        <v>140.99909377619099</v>
      </c>
      <c r="J94" s="19">
        <v>-1.7150217603094299E-2</v>
      </c>
      <c r="K94" s="18">
        <v>21077.185196631501</v>
      </c>
      <c r="L94" s="19">
        <v>1.54156961904846E-2</v>
      </c>
      <c r="M94" s="18">
        <v>4182.2200647484997</v>
      </c>
      <c r="N94" s="19">
        <v>2.4115334189098499E-2</v>
      </c>
      <c r="O94" s="18">
        <v>16894.965131883</v>
      </c>
      <c r="P94" s="19">
        <v>1.3284941355315501E-2</v>
      </c>
      <c r="Q94" s="18">
        <v>2689.73688131463</v>
      </c>
      <c r="R94" s="19">
        <v>-2.9229379960592401E-2</v>
      </c>
      <c r="S94" s="18">
        <v>602.41783270067504</v>
      </c>
      <c r="T94" s="19">
        <v>-2.74409053149796E-2</v>
      </c>
      <c r="U94" s="18">
        <v>5585.7380014486398</v>
      </c>
      <c r="V94" s="19">
        <v>1.20509138141078E-2</v>
      </c>
      <c r="W94" s="18">
        <v>17299.7942799146</v>
      </c>
      <c r="X94" s="19">
        <v>1.8254655700277199E-2</v>
      </c>
      <c r="Y94" s="18">
        <v>5512.9437068003999</v>
      </c>
      <c r="Z94" s="19">
        <v>1.3494600160145E-2</v>
      </c>
      <c r="AA94" s="18">
        <v>4181.3696860590899</v>
      </c>
      <c r="AB94" s="19">
        <v>2.9948852032115801E-2</v>
      </c>
      <c r="AC94" s="18">
        <v>2991.1683743377798</v>
      </c>
      <c r="AD94" s="19">
        <v>-5.4546703069197101E-3</v>
      </c>
      <c r="AE94" s="18">
        <v>5333.2914302765703</v>
      </c>
      <c r="AF94" s="19">
        <v>1.6644368156556202E-2</v>
      </c>
      <c r="AG94" s="18">
        <v>14592.012328352999</v>
      </c>
      <c r="AH94" s="19">
        <v>1.06831084885886E-2</v>
      </c>
      <c r="AI94" s="18">
        <v>8834.0611924407895</v>
      </c>
      <c r="AJ94" s="19">
        <v>4.1750841310703697E-3</v>
      </c>
      <c r="AK94" s="18">
        <v>4654.0681031945696</v>
      </c>
      <c r="AL94" s="19">
        <v>1.04846864265051E-2</v>
      </c>
      <c r="AM94" s="18">
        <v>17529.769985647199</v>
      </c>
      <c r="AN94" s="19">
        <v>7.7567709681598497E-3</v>
      </c>
      <c r="AO94" s="18">
        <v>7465.1248202279603</v>
      </c>
      <c r="AP94" s="19">
        <v>9.6868294883600808E-3</v>
      </c>
      <c r="AQ94" s="18">
        <v>4702.5382409942804</v>
      </c>
      <c r="AR94" s="19">
        <v>1.1451559872509599E-2</v>
      </c>
      <c r="AS94" s="18">
        <v>6317.7945668155799</v>
      </c>
      <c r="AT94" s="19">
        <v>1.6885547755560101E-2</v>
      </c>
      <c r="AU94" s="18">
        <v>606.89551154323601</v>
      </c>
      <c r="AV94" s="19">
        <v>-5.8578338294889001E-3</v>
      </c>
      <c r="AW94" s="18">
        <v>1383.5599570869799</v>
      </c>
      <c r="AX94" s="19">
        <v>6.2318735041610998E-3</v>
      </c>
      <c r="AY94" s="18">
        <v>404.21603675078597</v>
      </c>
      <c r="AZ94" s="19">
        <v>4.0294803723841498E-3</v>
      </c>
      <c r="BA94" s="18">
        <v>5241.7445466995496</v>
      </c>
      <c r="BB94" s="19">
        <v>1.42381125438098E-2</v>
      </c>
      <c r="BC94" s="18">
        <v>7452.5942137440297</v>
      </c>
      <c r="BD94" s="19">
        <v>1.50188900246111E-2</v>
      </c>
      <c r="BE94" s="18">
        <v>-2210.8496670444802</v>
      </c>
      <c r="BF94" s="19">
        <v>1.6874862382531899E-2</v>
      </c>
      <c r="BG94" s="18"/>
      <c r="BH94" s="19"/>
    </row>
    <row r="95" spans="1:60" x14ac:dyDescent="0.15">
      <c r="A95" s="17">
        <v>2000</v>
      </c>
      <c r="B95" s="17">
        <v>4</v>
      </c>
      <c r="C95" s="18">
        <v>121659.074121306</v>
      </c>
      <c r="D95" s="19">
        <v>1.9009819469035599E-2</v>
      </c>
      <c r="E95" s="18">
        <v>116388.18210738301</v>
      </c>
      <c r="F95" s="19">
        <v>1.9627415051674899E-2</v>
      </c>
      <c r="G95" s="18">
        <v>1171.1206003683801</v>
      </c>
      <c r="H95" s="19">
        <v>-5.8694055108461297E-2</v>
      </c>
      <c r="I95" s="18">
        <v>144.25194318116701</v>
      </c>
      <c r="J95" s="19">
        <v>2.3070002209655899E-2</v>
      </c>
      <c r="K95" s="18">
        <v>21973.608014064001</v>
      </c>
      <c r="L95" s="19">
        <v>4.2530480662840403E-2</v>
      </c>
      <c r="M95" s="18">
        <v>4306.4121964196602</v>
      </c>
      <c r="N95" s="19">
        <v>2.9695264655718499E-2</v>
      </c>
      <c r="O95" s="18">
        <v>17667.1958176443</v>
      </c>
      <c r="P95" s="19">
        <v>4.5707740722351398E-2</v>
      </c>
      <c r="Q95" s="18">
        <v>2986.6153362002001</v>
      </c>
      <c r="R95" s="19">
        <v>0.110374534010358</v>
      </c>
      <c r="S95" s="18">
        <v>615.74828270867397</v>
      </c>
      <c r="T95" s="19">
        <v>2.2128246018609899E-2</v>
      </c>
      <c r="U95" s="18">
        <v>5675.6550623396897</v>
      </c>
      <c r="V95" s="19">
        <v>1.6097615188490601E-2</v>
      </c>
      <c r="W95" s="18">
        <v>17457.3854735442</v>
      </c>
      <c r="X95" s="19">
        <v>9.1094258740709293E-3</v>
      </c>
      <c r="Y95" s="18">
        <v>5561.2354917607399</v>
      </c>
      <c r="Z95" s="19">
        <v>8.7597094272469107E-3</v>
      </c>
      <c r="AA95" s="18">
        <v>4238.6270306125798</v>
      </c>
      <c r="AB95" s="19">
        <v>1.3693442305374301E-2</v>
      </c>
      <c r="AC95" s="18">
        <v>2980.2957250736099</v>
      </c>
      <c r="AD95" s="19">
        <v>-3.63491716395836E-3</v>
      </c>
      <c r="AE95" s="18">
        <v>5423.1427704489697</v>
      </c>
      <c r="AF95" s="19">
        <v>1.6847258648254902E-2</v>
      </c>
      <c r="AG95" s="18">
        <v>14600.708991883999</v>
      </c>
      <c r="AH95" s="19">
        <v>5.9598795116744296E-4</v>
      </c>
      <c r="AI95" s="18">
        <v>8851.1381946855799</v>
      </c>
      <c r="AJ95" s="19">
        <v>1.93308625249355E-3</v>
      </c>
      <c r="AK95" s="18">
        <v>4631.4617617039903</v>
      </c>
      <c r="AL95" s="19">
        <v>-4.8573293276608096E-3</v>
      </c>
      <c r="AM95" s="18">
        <v>17970.563847724199</v>
      </c>
      <c r="AN95" s="19">
        <v>2.51454447170694E-2</v>
      </c>
      <c r="AO95" s="18">
        <v>7560.2503896948301</v>
      </c>
      <c r="AP95" s="19">
        <v>1.2742662950405499E-2</v>
      </c>
      <c r="AQ95" s="18">
        <v>4754.9819611114199</v>
      </c>
      <c r="AR95" s="19">
        <v>1.11522155545634E-2</v>
      </c>
      <c r="AS95" s="18">
        <v>6415.6066491555803</v>
      </c>
      <c r="AT95" s="19">
        <v>1.5481997919616099E-2</v>
      </c>
      <c r="AU95" s="18">
        <v>628.96449316757696</v>
      </c>
      <c r="AV95" s="19">
        <v>3.6363725228785199E-2</v>
      </c>
      <c r="AW95" s="18">
        <v>1385.87937042065</v>
      </c>
      <c r="AX95" s="19">
        <v>1.67640970077487E-3</v>
      </c>
      <c r="AY95" s="18">
        <v>404.77616568349902</v>
      </c>
      <c r="AZ95" s="19">
        <v>1.3857167499235999E-3</v>
      </c>
      <c r="BA95" s="18">
        <v>5270.8920139232896</v>
      </c>
      <c r="BB95" s="19">
        <v>5.56064244719723E-3</v>
      </c>
      <c r="BC95" s="18">
        <v>7523.0447880442998</v>
      </c>
      <c r="BD95" s="19">
        <v>9.4531611784720599E-3</v>
      </c>
      <c r="BE95" s="18">
        <v>-2252.1527741210102</v>
      </c>
      <c r="BF95" s="19">
        <v>1.86820061500357E-2</v>
      </c>
      <c r="BG95" s="18"/>
      <c r="BH95" s="19"/>
    </row>
    <row r="96" spans="1:60" x14ac:dyDescent="0.15">
      <c r="A96" s="17">
        <v>2001</v>
      </c>
      <c r="B96" s="17">
        <v>1</v>
      </c>
      <c r="C96" s="18">
        <v>122226.75373081199</v>
      </c>
      <c r="D96" s="19">
        <v>4.6661509928953597E-3</v>
      </c>
      <c r="E96" s="18">
        <v>117100.943418034</v>
      </c>
      <c r="F96" s="19">
        <v>6.1240007167877603E-3</v>
      </c>
      <c r="G96" s="18">
        <v>1115.77025711493</v>
      </c>
      <c r="H96" s="19">
        <v>-4.7262718490337398E-2</v>
      </c>
      <c r="I96" s="18">
        <v>148.53395702544299</v>
      </c>
      <c r="J96" s="19">
        <v>2.9684271489488E-2</v>
      </c>
      <c r="K96" s="18">
        <v>22408.6541243961</v>
      </c>
      <c r="L96" s="19">
        <v>1.9798574273905099E-2</v>
      </c>
      <c r="M96" s="18">
        <v>4564.8808006051104</v>
      </c>
      <c r="N96" s="19">
        <v>6.0019476166341998E-2</v>
      </c>
      <c r="O96" s="18">
        <v>17843.773323791</v>
      </c>
      <c r="P96" s="19">
        <v>9.9946538188206997E-3</v>
      </c>
      <c r="Q96" s="18">
        <v>3038.6252725813201</v>
      </c>
      <c r="R96" s="19">
        <v>1.7414340491295199E-2</v>
      </c>
      <c r="S96" s="18">
        <v>622.65853394786905</v>
      </c>
      <c r="T96" s="19">
        <v>1.12225262063212E-2</v>
      </c>
      <c r="U96" s="18">
        <v>5712.13649912036</v>
      </c>
      <c r="V96" s="19">
        <v>6.4277050631102997E-3</v>
      </c>
      <c r="W96" s="18">
        <v>17546.041026544601</v>
      </c>
      <c r="X96" s="19">
        <v>5.0783980874331601E-3</v>
      </c>
      <c r="Y96" s="18">
        <v>5651.5135706086703</v>
      </c>
      <c r="Z96" s="19">
        <v>1.62334572923006E-2</v>
      </c>
      <c r="AA96" s="18">
        <v>4229.9278518387</v>
      </c>
      <c r="AB96" s="19">
        <v>-2.0523576882451899E-3</v>
      </c>
      <c r="AC96" s="18">
        <v>3121.8947396949402</v>
      </c>
      <c r="AD96" s="19">
        <v>4.7511732956580198E-2</v>
      </c>
      <c r="AE96" s="18">
        <v>5526.1637846669501</v>
      </c>
      <c r="AF96" s="19">
        <v>1.8996552106161E-2</v>
      </c>
      <c r="AG96" s="18">
        <v>13481.7894375671</v>
      </c>
      <c r="AH96" s="19">
        <v>-7.6634604178386898E-2</v>
      </c>
      <c r="AI96" s="18">
        <v>7863.6275046671299</v>
      </c>
      <c r="AJ96" s="19">
        <v>-0.11156878000293501</v>
      </c>
      <c r="AK96" s="18">
        <v>4529.15241396081</v>
      </c>
      <c r="AL96" s="19">
        <v>-2.2090077173720399E-2</v>
      </c>
      <c r="AM96" s="18">
        <v>18499.2836305581</v>
      </c>
      <c r="AN96" s="19">
        <v>2.94214353714259E-2</v>
      </c>
      <c r="AO96" s="18">
        <v>7698.7854258493198</v>
      </c>
      <c r="AP96" s="19">
        <v>1.8324133330732E-2</v>
      </c>
      <c r="AQ96" s="18">
        <v>4828.1035025616302</v>
      </c>
      <c r="AR96" s="19">
        <v>1.53778798843474E-2</v>
      </c>
      <c r="AS96" s="18">
        <v>6639.49275841501</v>
      </c>
      <c r="AT96" s="19">
        <v>3.4897106618732902E-2</v>
      </c>
      <c r="AU96" s="18">
        <v>663.07784694005204</v>
      </c>
      <c r="AV96" s="19">
        <v>5.4237328407323197E-2</v>
      </c>
      <c r="AW96" s="18">
        <v>1412.18095737608</v>
      </c>
      <c r="AX96" s="19">
        <v>1.8978265725571899E-2</v>
      </c>
      <c r="AY96" s="18">
        <v>407.823811835838</v>
      </c>
      <c r="AZ96" s="19">
        <v>7.5292134535467304E-3</v>
      </c>
      <c r="BA96" s="18">
        <v>5125.8103127779204</v>
      </c>
      <c r="BB96" s="19">
        <v>-2.7525075596716402E-2</v>
      </c>
      <c r="BC96" s="18">
        <v>7432.1640442646303</v>
      </c>
      <c r="BD96" s="19">
        <v>-1.20803140669982E-2</v>
      </c>
      <c r="BE96" s="18">
        <v>-2306.3537314867099</v>
      </c>
      <c r="BF96" s="19">
        <v>2.4066288037166299E-2</v>
      </c>
      <c r="BG96" s="18"/>
      <c r="BH96" s="19"/>
    </row>
    <row r="97" spans="1:60" x14ac:dyDescent="0.15">
      <c r="A97" s="17">
        <v>2001</v>
      </c>
      <c r="B97" s="17">
        <v>2</v>
      </c>
      <c r="C97" s="18">
        <v>122822.128330319</v>
      </c>
      <c r="D97" s="19">
        <v>4.8710661236930396E-3</v>
      </c>
      <c r="E97" s="18">
        <v>117826.021392107</v>
      </c>
      <c r="F97" s="19">
        <v>6.1919054869121696E-3</v>
      </c>
      <c r="G97" s="18">
        <v>1142.36986945887</v>
      </c>
      <c r="H97" s="19">
        <v>2.38396857904348E-2</v>
      </c>
      <c r="I97" s="18">
        <v>147.697583405084</v>
      </c>
      <c r="J97" s="19">
        <v>-5.6308580011472696E-3</v>
      </c>
      <c r="K97" s="18">
        <v>22805.6174183086</v>
      </c>
      <c r="L97" s="19">
        <v>1.7714731625952902E-2</v>
      </c>
      <c r="M97" s="18">
        <v>4797.3829850189804</v>
      </c>
      <c r="N97" s="19">
        <v>5.0932805163947902E-2</v>
      </c>
      <c r="O97" s="18">
        <v>18008.234433289599</v>
      </c>
      <c r="P97" s="19">
        <v>9.2167226356398794E-3</v>
      </c>
      <c r="Q97" s="18">
        <v>2880.0914918204599</v>
      </c>
      <c r="R97" s="19">
        <v>-5.2172863232385798E-2</v>
      </c>
      <c r="S97" s="18">
        <v>628.88142657071899</v>
      </c>
      <c r="T97" s="19">
        <v>9.9940694354489993E-3</v>
      </c>
      <c r="U97" s="18">
        <v>5762.7237948506099</v>
      </c>
      <c r="V97" s="19">
        <v>8.8561076469457801E-3</v>
      </c>
      <c r="W97" s="18">
        <v>17724.487468357001</v>
      </c>
      <c r="X97" s="19">
        <v>1.01701826379197E-2</v>
      </c>
      <c r="Y97" s="18">
        <v>5745.6616425262901</v>
      </c>
      <c r="Z97" s="19">
        <v>1.6658912827750599E-2</v>
      </c>
      <c r="AA97" s="18">
        <v>4236.8690879164697</v>
      </c>
      <c r="AB97" s="19">
        <v>1.6409821445893E-3</v>
      </c>
      <c r="AC97" s="18">
        <v>3087.1507042358298</v>
      </c>
      <c r="AD97" s="19">
        <v>-1.11291501975843E-2</v>
      </c>
      <c r="AE97" s="18">
        <v>5584.5107969880301</v>
      </c>
      <c r="AF97" s="19">
        <v>1.0558321214251499E-2</v>
      </c>
      <c r="AG97" s="18">
        <v>13218.952105038899</v>
      </c>
      <c r="AH97" s="19">
        <v>-1.9495730425508701E-2</v>
      </c>
      <c r="AI97" s="18">
        <v>7770.3832051885502</v>
      </c>
      <c r="AJ97" s="19">
        <v>-1.18576699396351E-2</v>
      </c>
      <c r="AK97" s="18">
        <v>4395.7193195038299</v>
      </c>
      <c r="AL97" s="19">
        <v>-2.9460941531948399E-2</v>
      </c>
      <c r="AM97" s="18">
        <v>18893.668647058301</v>
      </c>
      <c r="AN97" s="19">
        <v>2.13189345261309E-2</v>
      </c>
      <c r="AO97" s="18">
        <v>7669.4484351534602</v>
      </c>
      <c r="AP97" s="19">
        <v>-3.8105998638895402E-3</v>
      </c>
      <c r="AQ97" s="18">
        <v>4924.3014517807596</v>
      </c>
      <c r="AR97" s="19">
        <v>1.9924583051727798E-2</v>
      </c>
      <c r="AS97" s="18">
        <v>6626.1829911927598</v>
      </c>
      <c r="AT97" s="19">
        <v>-2.0046361531740301E-3</v>
      </c>
      <c r="AU97" s="18">
        <v>645.78652651138702</v>
      </c>
      <c r="AV97" s="19">
        <v>-2.6077361064707899E-2</v>
      </c>
      <c r="AW97" s="18">
        <v>1436.56850128673</v>
      </c>
      <c r="AX97" s="19">
        <v>1.7269418471666902E-2</v>
      </c>
      <c r="AY97" s="18">
        <v>410.713092173213</v>
      </c>
      <c r="AZ97" s="19">
        <v>7.0846288360855202E-3</v>
      </c>
      <c r="BA97" s="18">
        <v>4996.1069382124097</v>
      </c>
      <c r="BB97" s="19">
        <v>-2.5303974718334801E-2</v>
      </c>
      <c r="BC97" s="18">
        <v>7356.4950492754897</v>
      </c>
      <c r="BD97" s="19">
        <v>-1.01812869762387E-2</v>
      </c>
      <c r="BE97" s="18">
        <v>-2360.38811106308</v>
      </c>
      <c r="BF97" s="19">
        <v>2.3428487503320199E-2</v>
      </c>
      <c r="BG97" s="18"/>
      <c r="BH97" s="19"/>
    </row>
    <row r="98" spans="1:60" x14ac:dyDescent="0.15">
      <c r="A98" s="17">
        <v>2001</v>
      </c>
      <c r="B98" s="17">
        <v>3</v>
      </c>
      <c r="C98" s="18">
        <v>122699.22800755</v>
      </c>
      <c r="D98" s="19">
        <v>-1.0006366478092501E-3</v>
      </c>
      <c r="E98" s="18">
        <v>117776.989179802</v>
      </c>
      <c r="F98" s="19">
        <v>-4.1614077879870099E-4</v>
      </c>
      <c r="G98" s="18">
        <v>1113.6113981783899</v>
      </c>
      <c r="H98" s="19">
        <v>-2.5174395832149501E-2</v>
      </c>
      <c r="I98" s="18">
        <v>147.90611667844101</v>
      </c>
      <c r="J98" s="19">
        <v>1.4118936041420699E-3</v>
      </c>
      <c r="K98" s="18">
        <v>22581.612608075498</v>
      </c>
      <c r="L98" s="19">
        <v>-9.82235236715223E-3</v>
      </c>
      <c r="M98" s="18">
        <v>4802.2599741692302</v>
      </c>
      <c r="N98" s="19">
        <v>1.0165936648123301E-3</v>
      </c>
      <c r="O98" s="18">
        <v>17779.352633906201</v>
      </c>
      <c r="P98" s="19">
        <v>-1.27098411691173E-2</v>
      </c>
      <c r="Q98" s="18">
        <v>2981.9457405298699</v>
      </c>
      <c r="R98" s="19">
        <v>3.53649351066374E-2</v>
      </c>
      <c r="S98" s="18">
        <v>644.77182550124996</v>
      </c>
      <c r="T98" s="19">
        <v>2.5267718617770801E-2</v>
      </c>
      <c r="U98" s="18">
        <v>5793.0648148233404</v>
      </c>
      <c r="V98" s="19">
        <v>5.2650484480678498E-3</v>
      </c>
      <c r="W98" s="18">
        <v>17756.930112087201</v>
      </c>
      <c r="X98" s="19">
        <v>1.83038543642433E-3</v>
      </c>
      <c r="Y98" s="18">
        <v>5802.8066026624901</v>
      </c>
      <c r="Z98" s="19">
        <v>9.9457579808131004E-3</v>
      </c>
      <c r="AA98" s="18">
        <v>4304.4951663597703</v>
      </c>
      <c r="AB98" s="19">
        <v>1.59613330126647E-2</v>
      </c>
      <c r="AC98" s="18">
        <v>3127.4516185842999</v>
      </c>
      <c r="AD98" s="19">
        <v>1.30544045981236E-2</v>
      </c>
      <c r="AE98" s="18">
        <v>5632.01874932386</v>
      </c>
      <c r="AF98" s="19">
        <v>8.5070929330926005E-3</v>
      </c>
      <c r="AG98" s="18">
        <v>12846.001785329099</v>
      </c>
      <c r="AH98" s="19">
        <v>-2.8213304409175102E-2</v>
      </c>
      <c r="AI98" s="18">
        <v>7617.7279270470099</v>
      </c>
      <c r="AJ98" s="19">
        <v>-1.9645785041800101E-2</v>
      </c>
      <c r="AK98" s="18">
        <v>4218.3437237502103</v>
      </c>
      <c r="AL98" s="19">
        <v>-4.0351893026153898E-2</v>
      </c>
      <c r="AM98" s="18">
        <v>18886.733670809401</v>
      </c>
      <c r="AN98" s="19">
        <v>-3.6705292013417001E-4</v>
      </c>
      <c r="AO98" s="18">
        <v>7723.6412983994196</v>
      </c>
      <c r="AP98" s="19">
        <v>7.0660704878804399E-3</v>
      </c>
      <c r="AQ98" s="18">
        <v>4997.96616680848</v>
      </c>
      <c r="AR98" s="19">
        <v>1.4959424346589799E-2</v>
      </c>
      <c r="AS98" s="18">
        <v>6709.81487043174</v>
      </c>
      <c r="AT98" s="19">
        <v>1.26214261438513E-2</v>
      </c>
      <c r="AU98" s="18">
        <v>663.30701186640101</v>
      </c>
      <c r="AV98" s="19">
        <v>2.7130459735140701E-2</v>
      </c>
      <c r="AW98" s="18">
        <v>1453.7956837207701</v>
      </c>
      <c r="AX98" s="19">
        <v>1.19918976495805E-2</v>
      </c>
      <c r="AY98" s="18">
        <v>411.92054229511098</v>
      </c>
      <c r="AZ98" s="19">
        <v>2.9398871010166698E-3</v>
      </c>
      <c r="BA98" s="18">
        <v>4922.2388277479504</v>
      </c>
      <c r="BB98" s="19">
        <v>-1.4785133980918099E-2</v>
      </c>
      <c r="BC98" s="18">
        <v>7332.4576855423902</v>
      </c>
      <c r="BD98" s="19">
        <v>-3.26750219664329E-3</v>
      </c>
      <c r="BE98" s="18">
        <v>-2410.2188577944398</v>
      </c>
      <c r="BF98" s="19">
        <v>2.1111251364894602E-2</v>
      </c>
      <c r="BG98" s="18"/>
      <c r="BH98" s="19"/>
    </row>
    <row r="99" spans="1:60" x14ac:dyDescent="0.15">
      <c r="A99" s="17">
        <v>2001</v>
      </c>
      <c r="B99" s="17">
        <v>4</v>
      </c>
      <c r="C99" s="18">
        <v>122586.45323714201</v>
      </c>
      <c r="D99" s="19">
        <v>-9.1911556608603696E-4</v>
      </c>
      <c r="E99" s="18">
        <v>117757.83817885599</v>
      </c>
      <c r="F99" s="19">
        <v>-1.6260392696432199E-4</v>
      </c>
      <c r="G99" s="18">
        <v>1127.3987355982399</v>
      </c>
      <c r="H99" s="19">
        <v>1.23807438056074E-2</v>
      </c>
      <c r="I99" s="18">
        <v>151.545179583188</v>
      </c>
      <c r="J99" s="19">
        <v>2.4603870255469399E-2</v>
      </c>
      <c r="K99" s="18">
        <v>22623.585666660099</v>
      </c>
      <c r="L99" s="19">
        <v>1.8587272447343501E-3</v>
      </c>
      <c r="M99" s="18">
        <v>4940.1797319524303</v>
      </c>
      <c r="N99" s="19">
        <v>2.8719760805339799E-2</v>
      </c>
      <c r="O99" s="18">
        <v>17683.405934707702</v>
      </c>
      <c r="P99" s="19">
        <v>-5.3965237753120796E-3</v>
      </c>
      <c r="Q99" s="18">
        <v>2766.1489898548798</v>
      </c>
      <c r="R99" s="19">
        <v>-7.2367765698060596E-2</v>
      </c>
      <c r="S99" s="18">
        <v>652.00088291937197</v>
      </c>
      <c r="T99" s="19">
        <v>1.1211807235066399E-2</v>
      </c>
      <c r="U99" s="18">
        <v>5763.2458095755001</v>
      </c>
      <c r="V99" s="19">
        <v>-5.1473626139194604E-3</v>
      </c>
      <c r="W99" s="18">
        <v>17779.1860280777</v>
      </c>
      <c r="X99" s="19">
        <v>1.2533650721149299E-3</v>
      </c>
      <c r="Y99" s="18">
        <v>5782.4261966664399</v>
      </c>
      <c r="Z99" s="19">
        <v>-3.51216357731177E-3</v>
      </c>
      <c r="AA99" s="18">
        <v>4357.7130973591802</v>
      </c>
      <c r="AB99" s="19">
        <v>1.2363338543230899E-2</v>
      </c>
      <c r="AC99" s="18">
        <v>3124.4950759365402</v>
      </c>
      <c r="AD99" s="19">
        <v>-9.4535200167267198E-4</v>
      </c>
      <c r="AE99" s="18">
        <v>5647.8381399563596</v>
      </c>
      <c r="AF99" s="19">
        <v>2.8088313154850399E-3</v>
      </c>
      <c r="AG99" s="18">
        <v>12728.328722271501</v>
      </c>
      <c r="AH99" s="19">
        <v>-9.1602869923270696E-3</v>
      </c>
      <c r="AI99" s="18">
        <v>7744.46802662962</v>
      </c>
      <c r="AJ99" s="19">
        <v>1.66375198479616E-2</v>
      </c>
      <c r="AK99" s="18">
        <v>3982.80991183163</v>
      </c>
      <c r="AL99" s="19">
        <v>-5.5835614009468702E-2</v>
      </c>
      <c r="AM99" s="18">
        <v>18751.223454544299</v>
      </c>
      <c r="AN99" s="19">
        <v>-7.1748889261079602E-3</v>
      </c>
      <c r="AO99" s="18">
        <v>7763.3958809939304</v>
      </c>
      <c r="AP99" s="19">
        <v>5.14712958028674E-3</v>
      </c>
      <c r="AQ99" s="18">
        <v>5065.0055068636402</v>
      </c>
      <c r="AR99" s="19">
        <v>1.3413324103786799E-2</v>
      </c>
      <c r="AS99" s="18">
        <v>6853.9378216519899</v>
      </c>
      <c r="AT99" s="19">
        <v>2.1479422905595201E-2</v>
      </c>
      <c r="AU99" s="18">
        <v>709.69978463205803</v>
      </c>
      <c r="AV99" s="19">
        <v>6.9941628741595693E-2</v>
      </c>
      <c r="AW99" s="18">
        <v>1481.0572337574299</v>
      </c>
      <c r="AX99" s="19">
        <v>1.8751981686237401E-2</v>
      </c>
      <c r="AY99" s="18">
        <v>412.032168619586</v>
      </c>
      <c r="AZ99" s="19">
        <v>2.7098994348051498E-4</v>
      </c>
      <c r="BA99" s="18">
        <v>4828.6150582861101</v>
      </c>
      <c r="BB99" s="19">
        <v>-1.9020566197247599E-2</v>
      </c>
      <c r="BC99" s="18">
        <v>7272.2556167718703</v>
      </c>
      <c r="BD99" s="19">
        <v>-8.2103533838622199E-3</v>
      </c>
      <c r="BE99" s="18">
        <v>-2443.6405584857698</v>
      </c>
      <c r="BF99" s="19">
        <v>1.3866666333324699E-2</v>
      </c>
      <c r="BG99" s="18"/>
      <c r="BH99" s="19"/>
    </row>
    <row r="100" spans="1:60" x14ac:dyDescent="0.15">
      <c r="A100" s="17">
        <v>2002</v>
      </c>
      <c r="B100" s="17">
        <v>1</v>
      </c>
      <c r="C100" s="18">
        <v>121909.372684703</v>
      </c>
      <c r="D100" s="19">
        <v>-5.5232901724350204E-3</v>
      </c>
      <c r="E100" s="18">
        <v>117232.050493116</v>
      </c>
      <c r="F100" s="19">
        <v>-4.4649909837970502E-3</v>
      </c>
      <c r="G100" s="18">
        <v>1144.3381695626899</v>
      </c>
      <c r="H100" s="19">
        <v>1.50252376817333E-2</v>
      </c>
      <c r="I100" s="18">
        <v>152.58183710384299</v>
      </c>
      <c r="J100" s="19">
        <v>6.8405839334981797E-3</v>
      </c>
      <c r="K100" s="18">
        <v>22717.668881826299</v>
      </c>
      <c r="L100" s="19">
        <v>4.1586341154040696E-3</v>
      </c>
      <c r="M100" s="18">
        <v>5201.6806129078404</v>
      </c>
      <c r="N100" s="19">
        <v>5.2933475125219502E-2</v>
      </c>
      <c r="O100" s="18">
        <v>17515.988268918401</v>
      </c>
      <c r="P100" s="19">
        <v>-9.4675011367962893E-3</v>
      </c>
      <c r="Q100" s="18">
        <v>2517.5223923551298</v>
      </c>
      <c r="R100" s="19">
        <v>-8.9881853223240202E-2</v>
      </c>
      <c r="S100" s="18">
        <v>646.05618240752199</v>
      </c>
      <c r="T100" s="19">
        <v>-9.117626475032E-3</v>
      </c>
      <c r="U100" s="18">
        <v>5901.3250272036703</v>
      </c>
      <c r="V100" s="19">
        <v>2.3958585524627998E-2</v>
      </c>
      <c r="W100" s="18">
        <v>17877.664917854301</v>
      </c>
      <c r="X100" s="19">
        <v>5.5389987832474797E-3</v>
      </c>
      <c r="Y100" s="18">
        <v>5750.89497160885</v>
      </c>
      <c r="Z100" s="19">
        <v>-5.45294033770249E-3</v>
      </c>
      <c r="AA100" s="18">
        <v>4233.3682769356501</v>
      </c>
      <c r="AB100" s="19">
        <v>-2.8534421070282399E-2</v>
      </c>
      <c r="AC100" s="18">
        <v>3119.4263816315902</v>
      </c>
      <c r="AD100" s="19">
        <v>-1.6222442928423E-3</v>
      </c>
      <c r="AE100" s="18">
        <v>5729.1813388062101</v>
      </c>
      <c r="AF100" s="19">
        <v>1.4402537189297101E-2</v>
      </c>
      <c r="AG100" s="18">
        <v>12175.4940522734</v>
      </c>
      <c r="AH100" s="19">
        <v>-4.3433406070881898E-2</v>
      </c>
      <c r="AI100" s="18">
        <v>7489.9057548089704</v>
      </c>
      <c r="AJ100" s="19">
        <v>-3.2870207604361101E-2</v>
      </c>
      <c r="AK100" s="18">
        <v>3673.1557308828101</v>
      </c>
      <c r="AL100" s="19">
        <v>-7.7747667552232794E-2</v>
      </c>
      <c r="AM100" s="18">
        <v>18509.889761642</v>
      </c>
      <c r="AN100" s="19">
        <v>-1.2870290489969001E-2</v>
      </c>
      <c r="AO100" s="18">
        <v>7834.2377564611998</v>
      </c>
      <c r="AP100" s="19">
        <v>9.1251143897861393E-3</v>
      </c>
      <c r="AQ100" s="18">
        <v>5143.9685040254799</v>
      </c>
      <c r="AR100" s="19">
        <v>1.55899133880177E-2</v>
      </c>
      <c r="AS100" s="18">
        <v>6906.2385218253803</v>
      </c>
      <c r="AT100" s="19">
        <v>7.6307520631666596E-3</v>
      </c>
      <c r="AU100" s="18">
        <v>708.54402486091999</v>
      </c>
      <c r="AV100" s="19">
        <v>-1.6285192642927499E-3</v>
      </c>
      <c r="AW100" s="18">
        <v>1504.11236995493</v>
      </c>
      <c r="AX100" s="19">
        <v>1.55666747185794E-2</v>
      </c>
      <c r="AY100" s="18">
        <v>410.43209638526201</v>
      </c>
      <c r="AZ100" s="19">
        <v>-3.8833672615543602E-3</v>
      </c>
      <c r="BA100" s="18">
        <v>4677.3221915877903</v>
      </c>
      <c r="BB100" s="19">
        <v>-3.13325591027784E-2</v>
      </c>
      <c r="BC100" s="18">
        <v>7166.1532166412499</v>
      </c>
      <c r="BD100" s="19">
        <v>-1.45900262204648E-2</v>
      </c>
      <c r="BE100" s="18">
        <v>-2488.8310250534601</v>
      </c>
      <c r="BF100" s="19">
        <v>1.8493090733317199E-2</v>
      </c>
      <c r="BG100" s="18"/>
      <c r="BH100" s="19"/>
    </row>
    <row r="101" spans="1:60" x14ac:dyDescent="0.15">
      <c r="A101" s="17">
        <v>2002</v>
      </c>
      <c r="B101" s="17">
        <v>2</v>
      </c>
      <c r="C101" s="18">
        <v>122158.87261140101</v>
      </c>
      <c r="D101" s="19">
        <v>2.0466016779752101E-3</v>
      </c>
      <c r="E101" s="18">
        <v>117604.81328754799</v>
      </c>
      <c r="F101" s="19">
        <v>3.1797003708797802E-3</v>
      </c>
      <c r="G101" s="18">
        <v>1157.1387916378201</v>
      </c>
      <c r="H101" s="19">
        <v>1.1186048333967399E-2</v>
      </c>
      <c r="I101" s="18">
        <v>150.14620105769399</v>
      </c>
      <c r="J101" s="19">
        <v>-1.59628176746364E-2</v>
      </c>
      <c r="K101" s="18">
        <v>23149.0406275204</v>
      </c>
      <c r="L101" s="19">
        <v>1.8988380715383401E-2</v>
      </c>
      <c r="M101" s="18">
        <v>5332.6593231033103</v>
      </c>
      <c r="N101" s="19">
        <v>2.5180075429938699E-2</v>
      </c>
      <c r="O101" s="18">
        <v>17816.3813044171</v>
      </c>
      <c r="P101" s="19">
        <v>1.71496481321416E-2</v>
      </c>
      <c r="Q101" s="18">
        <v>2421.98839236597</v>
      </c>
      <c r="R101" s="19">
        <v>-3.79476267139712E-2</v>
      </c>
      <c r="S101" s="18">
        <v>657.04932837827198</v>
      </c>
      <c r="T101" s="19">
        <v>1.70157739684254E-2</v>
      </c>
      <c r="U101" s="18">
        <v>5962.1666684513202</v>
      </c>
      <c r="V101" s="19">
        <v>1.0309827194262501E-2</v>
      </c>
      <c r="W101" s="18">
        <v>18045.915881636902</v>
      </c>
      <c r="X101" s="19">
        <v>9.4112382436781807E-3</v>
      </c>
      <c r="Y101" s="18">
        <v>5712.7482512855504</v>
      </c>
      <c r="Z101" s="19">
        <v>-6.6331797940364402E-3</v>
      </c>
      <c r="AA101" s="18">
        <v>4392.2004625278096</v>
      </c>
      <c r="AB101" s="19">
        <v>3.7519104221930902E-2</v>
      </c>
      <c r="AC101" s="18">
        <v>3088.1241257577499</v>
      </c>
      <c r="AD101" s="19">
        <v>-1.00346192037611E-2</v>
      </c>
      <c r="AE101" s="18">
        <v>5752.9390495685302</v>
      </c>
      <c r="AF101" s="19">
        <v>4.1467898042251202E-3</v>
      </c>
      <c r="AG101" s="18">
        <v>11870.967163686701</v>
      </c>
      <c r="AH101" s="19">
        <v>-2.50114605024889E-2</v>
      </c>
      <c r="AI101" s="18">
        <v>7278.3316945798697</v>
      </c>
      <c r="AJ101" s="19">
        <v>-2.82478935189877E-2</v>
      </c>
      <c r="AK101" s="18">
        <v>3569.4664801906501</v>
      </c>
      <c r="AL101" s="19">
        <v>-2.82289285532797E-2</v>
      </c>
      <c r="AM101" s="18">
        <v>18223.677598024598</v>
      </c>
      <c r="AN101" s="19">
        <v>-1.54626617069619E-2</v>
      </c>
      <c r="AO101" s="18">
        <v>7856.1083158212105</v>
      </c>
      <c r="AP101" s="19">
        <v>2.7916639805794E-3</v>
      </c>
      <c r="AQ101" s="18">
        <v>5185.7370986976603</v>
      </c>
      <c r="AR101" s="19">
        <v>8.1199164885050693E-3</v>
      </c>
      <c r="AS101" s="18">
        <v>6992.7447279499502</v>
      </c>
      <c r="AT101" s="19">
        <v>1.25258063200662E-2</v>
      </c>
      <c r="AU101" s="18">
        <v>738.484194864899</v>
      </c>
      <c r="AV101" s="19">
        <v>4.2255906412950801E-2</v>
      </c>
      <c r="AW101" s="18">
        <v>1547.84181343055</v>
      </c>
      <c r="AX101" s="19">
        <v>2.9073255661693099E-2</v>
      </c>
      <c r="AY101" s="18">
        <v>412.54284616952498</v>
      </c>
      <c r="AZ101" s="19">
        <v>5.1427502937817504E-3</v>
      </c>
      <c r="BA101" s="18">
        <v>4554.0593238532001</v>
      </c>
      <c r="BB101" s="19">
        <v>-2.6353298465579E-2</v>
      </c>
      <c r="BC101" s="18">
        <v>7086.1467383366798</v>
      </c>
      <c r="BD101" s="19">
        <v>-1.11644945183109E-2</v>
      </c>
      <c r="BE101" s="18">
        <v>-2532.0874144834802</v>
      </c>
      <c r="BF101" s="19">
        <v>1.73802033945205E-2</v>
      </c>
      <c r="BG101" s="18"/>
      <c r="BH101" s="19"/>
    </row>
    <row r="102" spans="1:60" x14ac:dyDescent="0.15">
      <c r="A102" s="17">
        <v>2002</v>
      </c>
      <c r="B102" s="17">
        <v>3</v>
      </c>
      <c r="C102" s="18">
        <v>122654.45201693301</v>
      </c>
      <c r="D102" s="19">
        <v>4.0568433134515703E-3</v>
      </c>
      <c r="E102" s="18">
        <v>118171.147130771</v>
      </c>
      <c r="F102" s="19">
        <v>4.8155668751306297E-3</v>
      </c>
      <c r="G102" s="18">
        <v>1148.28038848746</v>
      </c>
      <c r="H102" s="19">
        <v>-7.6554370265451404E-3</v>
      </c>
      <c r="I102" s="18">
        <v>146.64307947350301</v>
      </c>
      <c r="J102" s="19">
        <v>-2.3331403388918402E-2</v>
      </c>
      <c r="K102" s="18">
        <v>23310.694339601901</v>
      </c>
      <c r="L102" s="19">
        <v>6.9831711249988002E-3</v>
      </c>
      <c r="M102" s="18">
        <v>5472.1207226709303</v>
      </c>
      <c r="N102" s="19">
        <v>2.61523174682112E-2</v>
      </c>
      <c r="O102" s="18">
        <v>17838.573616931</v>
      </c>
      <c r="P102" s="19">
        <v>1.2456127950295499E-3</v>
      </c>
      <c r="Q102" s="18">
        <v>2374.76763774148</v>
      </c>
      <c r="R102" s="19">
        <v>-1.9496689073048499E-2</v>
      </c>
      <c r="S102" s="18">
        <v>661.462319710624</v>
      </c>
      <c r="T102" s="19">
        <v>6.7163775104130997E-3</v>
      </c>
      <c r="U102" s="18">
        <v>5981.6263877346501</v>
      </c>
      <c r="V102" s="19">
        <v>3.2638670412055101E-3</v>
      </c>
      <c r="W102" s="18">
        <v>18168.123852136199</v>
      </c>
      <c r="X102" s="19">
        <v>6.7720569740490301E-3</v>
      </c>
      <c r="Y102" s="18">
        <v>5736.6227917255701</v>
      </c>
      <c r="Z102" s="19">
        <v>4.1791690076051803E-3</v>
      </c>
      <c r="AA102" s="18">
        <v>4522.7398002514601</v>
      </c>
      <c r="AB102" s="19">
        <v>2.9720714898454001E-2</v>
      </c>
      <c r="AC102" s="18">
        <v>3030.6949137388801</v>
      </c>
      <c r="AD102" s="19">
        <v>-1.8596795232373699E-2</v>
      </c>
      <c r="AE102" s="18">
        <v>5787.2262556976602</v>
      </c>
      <c r="AF102" s="19">
        <v>5.9599460091088697E-3</v>
      </c>
      <c r="AG102" s="18">
        <v>12091.854132988399</v>
      </c>
      <c r="AH102" s="19">
        <v>1.86073271247311E-2</v>
      </c>
      <c r="AI102" s="18">
        <v>7467.2024132536098</v>
      </c>
      <c r="AJ102" s="19">
        <v>2.5949726750484702E-2</v>
      </c>
      <c r="AK102" s="18">
        <v>3655.0340491176098</v>
      </c>
      <c r="AL102" s="19">
        <v>2.3972089218889499E-2</v>
      </c>
      <c r="AM102" s="18">
        <v>18032.611987448599</v>
      </c>
      <c r="AN102" s="19">
        <v>-1.0484470521842299E-2</v>
      </c>
      <c r="AO102" s="18">
        <v>7910.5953492504004</v>
      </c>
      <c r="AP102" s="19">
        <v>6.9356265518207803E-3</v>
      </c>
      <c r="AQ102" s="18">
        <v>5212.1351050737403</v>
      </c>
      <c r="AR102" s="19">
        <v>5.0905022513973996E-3</v>
      </c>
      <c r="AS102" s="18">
        <v>7070.2465829430203</v>
      </c>
      <c r="AT102" s="19">
        <v>1.1083180926553001E-2</v>
      </c>
      <c r="AU102" s="18">
        <v>736.70352727045804</v>
      </c>
      <c r="AV102" s="19">
        <v>-2.41124672243875E-3</v>
      </c>
      <c r="AW102" s="18">
        <v>1570.2912245585201</v>
      </c>
      <c r="AX102" s="19">
        <v>1.45036856694134E-2</v>
      </c>
      <c r="AY102" s="18">
        <v>414.45024666402901</v>
      </c>
      <c r="AZ102" s="19">
        <v>4.6235209559790701E-3</v>
      </c>
      <c r="BA102" s="18">
        <v>4483.3048861621101</v>
      </c>
      <c r="BB102" s="19">
        <v>-1.5536564778700799E-2</v>
      </c>
      <c r="BC102" s="18">
        <v>7054.8453590241397</v>
      </c>
      <c r="BD102" s="19">
        <v>-4.4172637779567002E-3</v>
      </c>
      <c r="BE102" s="18">
        <v>-2571.5404728620301</v>
      </c>
      <c r="BF102" s="19">
        <v>1.55812386858685E-2</v>
      </c>
      <c r="BG102" s="18"/>
      <c r="BH102" s="19"/>
    </row>
    <row r="103" spans="1:60" x14ac:dyDescent="0.15">
      <c r="A103" s="17">
        <v>2002</v>
      </c>
      <c r="B103" s="17">
        <v>4</v>
      </c>
      <c r="C103" s="18">
        <v>122232.99198051399</v>
      </c>
      <c r="D103" s="19">
        <v>-3.4361576729441401E-3</v>
      </c>
      <c r="E103" s="18">
        <v>117745.63918271801</v>
      </c>
      <c r="F103" s="19">
        <v>-3.6007769949318899E-3</v>
      </c>
      <c r="G103" s="18">
        <v>1096.0624235335999</v>
      </c>
      <c r="H103" s="19">
        <v>-4.5474925355686202E-2</v>
      </c>
      <c r="I103" s="18">
        <v>143.588896826346</v>
      </c>
      <c r="J103" s="19">
        <v>-2.0827322081088801E-2</v>
      </c>
      <c r="K103" s="18">
        <v>23106.2729584523</v>
      </c>
      <c r="L103" s="19">
        <v>-8.7694248044046796E-3</v>
      </c>
      <c r="M103" s="18">
        <v>5395.3971319286202</v>
      </c>
      <c r="N103" s="19">
        <v>-1.40208147134703E-2</v>
      </c>
      <c r="O103" s="18">
        <v>17710.875826523701</v>
      </c>
      <c r="P103" s="19">
        <v>-7.1585202466014604E-3</v>
      </c>
      <c r="Q103" s="18">
        <v>2329.04360371438</v>
      </c>
      <c r="R103" s="19">
        <v>-1.92541086127405E-2</v>
      </c>
      <c r="S103" s="18">
        <v>661.98484470282096</v>
      </c>
      <c r="T103" s="19">
        <v>7.8995428254424705E-4</v>
      </c>
      <c r="U103" s="18">
        <v>6005.9694520453604</v>
      </c>
      <c r="V103" s="19">
        <v>4.0696397154837997E-3</v>
      </c>
      <c r="W103" s="18">
        <v>18208.486087638099</v>
      </c>
      <c r="X103" s="19">
        <v>2.22159623251894E-3</v>
      </c>
      <c r="Y103" s="18">
        <v>5774.93824697321</v>
      </c>
      <c r="Z103" s="19">
        <v>6.6790961579172902E-3</v>
      </c>
      <c r="AA103" s="18">
        <v>4462.1935907416801</v>
      </c>
      <c r="AB103" s="19">
        <v>-1.3387064519257299E-2</v>
      </c>
      <c r="AC103" s="18">
        <v>2985.47366119354</v>
      </c>
      <c r="AD103" s="19">
        <v>-1.49210837225306E-2</v>
      </c>
      <c r="AE103" s="18">
        <v>5730.9477172055003</v>
      </c>
      <c r="AF103" s="19">
        <v>-9.7246134859073595E-3</v>
      </c>
      <c r="AG103" s="18">
        <v>12390.4849851293</v>
      </c>
      <c r="AH103" s="19">
        <v>2.4696861941646799E-2</v>
      </c>
      <c r="AI103" s="18">
        <v>7465.0959208153799</v>
      </c>
      <c r="AJ103" s="19">
        <v>-2.8209928185396498E-4</v>
      </c>
      <c r="AK103" s="18">
        <v>3943.5410637249001</v>
      </c>
      <c r="AL103" s="19">
        <v>7.8934152385513601E-2</v>
      </c>
      <c r="AM103" s="18">
        <v>17658.262882913299</v>
      </c>
      <c r="AN103" s="19">
        <v>-2.0759560777760401E-2</v>
      </c>
      <c r="AO103" s="18">
        <v>7914.4289305300999</v>
      </c>
      <c r="AP103" s="19">
        <v>4.84613497524489E-4</v>
      </c>
      <c r="AQ103" s="18">
        <v>5215.0049100899196</v>
      </c>
      <c r="AR103" s="19">
        <v>5.5060065756573596E-4</v>
      </c>
      <c r="AS103" s="18">
        <v>7099.2828962863896</v>
      </c>
      <c r="AT103" s="19">
        <v>4.1068317777515099E-3</v>
      </c>
      <c r="AU103" s="18">
        <v>768.46843958432396</v>
      </c>
      <c r="AV103" s="19">
        <v>4.3117632993501701E-2</v>
      </c>
      <c r="AW103" s="18">
        <v>1555.6850525319501</v>
      </c>
      <c r="AX103" s="19">
        <v>-9.3015689052685594E-3</v>
      </c>
      <c r="AY103" s="18">
        <v>413.99784959877201</v>
      </c>
      <c r="AZ103" s="19">
        <v>-1.09155940646255E-3</v>
      </c>
      <c r="BA103" s="18">
        <v>4487.3527977966196</v>
      </c>
      <c r="BB103" s="19">
        <v>9.0288564737139897E-4</v>
      </c>
      <c r="BC103" s="18">
        <v>7081.3849581476497</v>
      </c>
      <c r="BD103" s="19">
        <v>3.7618966501597999E-3</v>
      </c>
      <c r="BE103" s="18">
        <v>-2594.0321603510301</v>
      </c>
      <c r="BF103" s="19">
        <v>8.7463867383623696E-3</v>
      </c>
      <c r="BG103" s="18"/>
      <c r="BH103" s="19"/>
    </row>
    <row r="104" spans="1:60" x14ac:dyDescent="0.15">
      <c r="A104" s="17">
        <v>2003</v>
      </c>
      <c r="B104" s="17">
        <v>1</v>
      </c>
      <c r="C104" s="18">
        <v>122114.231146379</v>
      </c>
      <c r="D104" s="19">
        <v>-9.7159393884527201E-4</v>
      </c>
      <c r="E104" s="18">
        <v>117626.42423569399</v>
      </c>
      <c r="F104" s="19">
        <v>-1.0124786603645801E-3</v>
      </c>
      <c r="G104" s="18">
        <v>989.95399056579402</v>
      </c>
      <c r="H104" s="19">
        <v>-9.680874983901E-2</v>
      </c>
      <c r="I104" s="18">
        <v>141.199570417286</v>
      </c>
      <c r="J104" s="19">
        <v>-1.6640049905457099E-2</v>
      </c>
      <c r="K104" s="18">
        <v>22759.092700064401</v>
      </c>
      <c r="L104" s="19">
        <v>-1.5025368176522599E-2</v>
      </c>
      <c r="M104" s="18">
        <v>5393.21182188904</v>
      </c>
      <c r="N104" s="19">
        <v>-4.0503228699206899E-4</v>
      </c>
      <c r="O104" s="18">
        <v>17365.8808781753</v>
      </c>
      <c r="P104" s="19">
        <v>-1.94792709139621E-2</v>
      </c>
      <c r="Q104" s="18">
        <v>2285.3355286224701</v>
      </c>
      <c r="R104" s="19">
        <v>-1.8766533620154499E-2</v>
      </c>
      <c r="S104" s="18">
        <v>669.17495653108006</v>
      </c>
      <c r="T104" s="19">
        <v>1.08614447684015E-2</v>
      </c>
      <c r="U104" s="18">
        <v>5990.5844957689997</v>
      </c>
      <c r="V104" s="19">
        <v>-2.5616108105780402E-3</v>
      </c>
      <c r="W104" s="18">
        <v>18301.753022181801</v>
      </c>
      <c r="X104" s="19">
        <v>5.1221685369593501E-3</v>
      </c>
      <c r="Y104" s="18">
        <v>5829.5669657379904</v>
      </c>
      <c r="Z104" s="19">
        <v>9.4596195540999108E-3</v>
      </c>
      <c r="AA104" s="18">
        <v>4497.8528167207196</v>
      </c>
      <c r="AB104" s="19">
        <v>7.9914116799038003E-3</v>
      </c>
      <c r="AC104" s="18">
        <v>2939.0941121004398</v>
      </c>
      <c r="AD104" s="19">
        <v>-1.55350722721024E-2</v>
      </c>
      <c r="AE104" s="18">
        <v>5632.9130792969299</v>
      </c>
      <c r="AF104" s="19">
        <v>-1.7106182562833701E-2</v>
      </c>
      <c r="AG104" s="18">
        <v>12613.935033031799</v>
      </c>
      <c r="AH104" s="19">
        <v>1.8034003363924599E-2</v>
      </c>
      <c r="AI104" s="18">
        <v>7154.9741496033903</v>
      </c>
      <c r="AJ104" s="19">
        <v>-4.1542905074702902E-2</v>
      </c>
      <c r="AK104" s="18">
        <v>4482.1106820516898</v>
      </c>
      <c r="AL104" s="19">
        <v>0.136570054583907</v>
      </c>
      <c r="AM104" s="18">
        <v>17670.579203133399</v>
      </c>
      <c r="AN104" s="19">
        <v>6.9748198346286595E-4</v>
      </c>
      <c r="AO104" s="18">
        <v>7979.3648533713504</v>
      </c>
      <c r="AP104" s="19">
        <v>8.2047515255034807E-3</v>
      </c>
      <c r="AQ104" s="18">
        <v>5263.7772428441403</v>
      </c>
      <c r="AR104" s="19">
        <v>9.35230811765142E-3</v>
      </c>
      <c r="AS104" s="18">
        <v>7141.0583812942396</v>
      </c>
      <c r="AT104" s="19">
        <v>5.8844654619558696E-3</v>
      </c>
      <c r="AU104" s="18">
        <v>787.98685002888601</v>
      </c>
      <c r="AV104" s="19">
        <v>2.5399104815703601E-2</v>
      </c>
      <c r="AW104" s="18">
        <v>1549.6935495048299</v>
      </c>
      <c r="AX104" s="19">
        <v>-3.85135989920959E-3</v>
      </c>
      <c r="AY104" s="18">
        <v>413.074850215683</v>
      </c>
      <c r="AZ104" s="19">
        <v>-2.22947868928114E-3</v>
      </c>
      <c r="BA104" s="18">
        <v>4487.8069106848498</v>
      </c>
      <c r="BB104" s="19">
        <v>1.0119839216948799E-4</v>
      </c>
      <c r="BC104" s="18">
        <v>7112.2905899637699</v>
      </c>
      <c r="BD104" s="19">
        <v>4.36434849945089E-3</v>
      </c>
      <c r="BE104" s="18">
        <v>-2624.4836792789301</v>
      </c>
      <c r="BF104" s="19">
        <v>1.17390676157896E-2</v>
      </c>
      <c r="BG104" s="18"/>
      <c r="BH104" s="19"/>
    </row>
    <row r="105" spans="1:60" x14ac:dyDescent="0.15">
      <c r="A105" s="17">
        <v>2003</v>
      </c>
      <c r="B105" s="17">
        <v>2</v>
      </c>
      <c r="C105" s="18">
        <v>122652.535822158</v>
      </c>
      <c r="D105" s="19">
        <v>4.4082059128183202E-3</v>
      </c>
      <c r="E105" s="18">
        <v>118154.854233512</v>
      </c>
      <c r="F105" s="19">
        <v>4.4924429289678897E-3</v>
      </c>
      <c r="G105" s="18">
        <v>996.36808444563303</v>
      </c>
      <c r="H105" s="19">
        <v>6.4791838216375899E-3</v>
      </c>
      <c r="I105" s="18">
        <v>140.67606337586</v>
      </c>
      <c r="J105" s="19">
        <v>-3.70756823040186E-3</v>
      </c>
      <c r="K105" s="18">
        <v>22793.7091186377</v>
      </c>
      <c r="L105" s="19">
        <v>1.5209929072974599E-3</v>
      </c>
      <c r="M105" s="18">
        <v>5500.2859417443697</v>
      </c>
      <c r="N105" s="19">
        <v>1.98534979510274E-2</v>
      </c>
      <c r="O105" s="18">
        <v>17293.423176893299</v>
      </c>
      <c r="P105" s="19">
        <v>-4.1724172698355301E-3</v>
      </c>
      <c r="Q105" s="18">
        <v>2280.12172501961</v>
      </c>
      <c r="R105" s="19">
        <v>-2.28141712127672E-3</v>
      </c>
      <c r="S105" s="18">
        <v>661.32819465215505</v>
      </c>
      <c r="T105" s="19">
        <v>-1.1726024416098E-2</v>
      </c>
      <c r="U105" s="18">
        <v>6032.3619738282096</v>
      </c>
      <c r="V105" s="19">
        <v>6.9738567394748204E-3</v>
      </c>
      <c r="W105" s="18">
        <v>18255.674074189301</v>
      </c>
      <c r="X105" s="19">
        <v>-2.51773411742073E-3</v>
      </c>
      <c r="Y105" s="18">
        <v>5861.49212891979</v>
      </c>
      <c r="Z105" s="19">
        <v>5.4764210394073797E-3</v>
      </c>
      <c r="AA105" s="18">
        <v>4476.5735412476797</v>
      </c>
      <c r="AB105" s="19">
        <v>-4.7309852812291702E-3</v>
      </c>
      <c r="AC105" s="18">
        <v>2828.87194391497</v>
      </c>
      <c r="AD105" s="19">
        <v>-3.7502088732604001E-2</v>
      </c>
      <c r="AE105" s="18">
        <v>5568.7171653973901</v>
      </c>
      <c r="AF105" s="19">
        <v>-1.13965745602367E-2</v>
      </c>
      <c r="AG105" s="18">
        <v>13368.247700772899</v>
      </c>
      <c r="AH105" s="19">
        <v>5.9799948688953303E-2</v>
      </c>
      <c r="AI105" s="18">
        <v>7532.6424031859196</v>
      </c>
      <c r="AJ105" s="19">
        <v>5.2784013706529402E-2</v>
      </c>
      <c r="AK105" s="18">
        <v>4825.9708731118399</v>
      </c>
      <c r="AL105" s="19">
        <v>7.6718362274521598E-2</v>
      </c>
      <c r="AM105" s="18">
        <v>17531.5624859487</v>
      </c>
      <c r="AN105" s="19">
        <v>-7.8671284957113601E-3</v>
      </c>
      <c r="AO105" s="18">
        <v>8010.1518584502801</v>
      </c>
      <c r="AP105" s="19">
        <v>3.8583277798010002E-3</v>
      </c>
      <c r="AQ105" s="18">
        <v>5257.5715507059203</v>
      </c>
      <c r="AR105" s="19">
        <v>-1.17894277282726E-3</v>
      </c>
      <c r="AS105" s="18">
        <v>7211.3252710598699</v>
      </c>
      <c r="AT105" s="19">
        <v>9.8398425014560899E-3</v>
      </c>
      <c r="AU105" s="18">
        <v>779.94113875838798</v>
      </c>
      <c r="AV105" s="19">
        <v>-1.02104638804612E-2</v>
      </c>
      <c r="AW105" s="18">
        <v>1549.6137877357901</v>
      </c>
      <c r="AX105" s="19">
        <v>-5.1469381842528298E-5</v>
      </c>
      <c r="AY105" s="18">
        <v>412.03855537134501</v>
      </c>
      <c r="AZ105" s="19">
        <v>-2.5087338137313999E-3</v>
      </c>
      <c r="BA105" s="18">
        <v>4497.68158864618</v>
      </c>
      <c r="BB105" s="19">
        <v>2.2003348534942501E-3</v>
      </c>
      <c r="BC105" s="18">
        <v>7148.7870799287102</v>
      </c>
      <c r="BD105" s="19">
        <v>5.1314677744520596E-3</v>
      </c>
      <c r="BE105" s="18">
        <v>-2651.1054912825298</v>
      </c>
      <c r="BF105" s="19">
        <v>1.01436378567688E-2</v>
      </c>
      <c r="BG105" s="18"/>
      <c r="BH105" s="19"/>
    </row>
    <row r="106" spans="1:60" x14ac:dyDescent="0.15">
      <c r="A106" s="17">
        <v>2003</v>
      </c>
      <c r="B106" s="17">
        <v>3</v>
      </c>
      <c r="C106" s="18">
        <v>123984.13127562001</v>
      </c>
      <c r="D106" s="19">
        <v>1.08566483728694E-2</v>
      </c>
      <c r="E106" s="18">
        <v>119431.06471471</v>
      </c>
      <c r="F106" s="19">
        <v>1.0801168428310901E-2</v>
      </c>
      <c r="G106" s="18">
        <v>1030.01272502558</v>
      </c>
      <c r="H106" s="19">
        <v>3.3767280491191001E-2</v>
      </c>
      <c r="I106" s="18">
        <v>138.25465836045601</v>
      </c>
      <c r="J106" s="19">
        <v>-1.72126299051664E-2</v>
      </c>
      <c r="K106" s="18">
        <v>23186.0384487351</v>
      </c>
      <c r="L106" s="19">
        <v>1.7212175870779101E-2</v>
      </c>
      <c r="M106" s="18">
        <v>5659.8932227944197</v>
      </c>
      <c r="N106" s="19">
        <v>2.9017997016974401E-2</v>
      </c>
      <c r="O106" s="18">
        <v>17526.145225940701</v>
      </c>
      <c r="P106" s="19">
        <v>1.34572575173133E-2</v>
      </c>
      <c r="Q106" s="18">
        <v>2177.15979420749</v>
      </c>
      <c r="R106" s="19">
        <v>-4.5156330770558702E-2</v>
      </c>
      <c r="S106" s="18">
        <v>648.13158690399905</v>
      </c>
      <c r="T106" s="19">
        <v>-1.99547030579834E-2</v>
      </c>
      <c r="U106" s="18">
        <v>5980.1686533722896</v>
      </c>
      <c r="V106" s="19">
        <v>-8.65221959198814E-3</v>
      </c>
      <c r="W106" s="18">
        <v>18652.275115160799</v>
      </c>
      <c r="X106" s="19">
        <v>2.1724809467992701E-2</v>
      </c>
      <c r="Y106" s="18">
        <v>5866.5457160899696</v>
      </c>
      <c r="Z106" s="19">
        <v>8.6216735585842297E-4</v>
      </c>
      <c r="AA106" s="18">
        <v>4432.1396932535999</v>
      </c>
      <c r="AB106" s="19">
        <v>-9.9258612831145693E-3</v>
      </c>
      <c r="AC106" s="18">
        <v>2789.4735903220799</v>
      </c>
      <c r="AD106" s="19">
        <v>-1.3927231198160001E-2</v>
      </c>
      <c r="AE106" s="18">
        <v>5447.0681838618002</v>
      </c>
      <c r="AF106" s="19">
        <v>-2.1845063759295302E-2</v>
      </c>
      <c r="AG106" s="18">
        <v>13928.111097357099</v>
      </c>
      <c r="AH106" s="19">
        <v>4.1880088483986097E-2</v>
      </c>
      <c r="AI106" s="18">
        <v>7879.2846210709404</v>
      </c>
      <c r="AJ106" s="19">
        <v>4.6018674368294397E-2</v>
      </c>
      <c r="AK106" s="18">
        <v>4982.7973401306599</v>
      </c>
      <c r="AL106" s="19">
        <v>3.2496355892363903E-2</v>
      </c>
      <c r="AM106" s="18">
        <v>17547.281982354401</v>
      </c>
      <c r="AN106" s="19">
        <v>8.9663978428866599E-4</v>
      </c>
      <c r="AO106" s="18">
        <v>8083.8440706192396</v>
      </c>
      <c r="AP106" s="19">
        <v>9.1998520716198903E-3</v>
      </c>
      <c r="AQ106" s="18">
        <v>5287.3179696275402</v>
      </c>
      <c r="AR106" s="19">
        <v>5.6578248407535003E-3</v>
      </c>
      <c r="AS106" s="18">
        <v>7333.8170958671599</v>
      </c>
      <c r="AT106" s="19">
        <v>1.69860351881321E-2</v>
      </c>
      <c r="AU106" s="18">
        <v>793.17379145301004</v>
      </c>
      <c r="AV106" s="19">
        <v>1.69662196761255E-2</v>
      </c>
      <c r="AW106" s="18">
        <v>1564.0225671164001</v>
      </c>
      <c r="AX106" s="19">
        <v>9.2983035480518304E-3</v>
      </c>
      <c r="AY106" s="18">
        <v>412.77369111245503</v>
      </c>
      <c r="AZ106" s="19">
        <v>1.7841430893459399E-3</v>
      </c>
      <c r="BA106" s="18">
        <v>4553.0665609094003</v>
      </c>
      <c r="BB106" s="19">
        <v>1.23141158776172E-2</v>
      </c>
      <c r="BC106" s="18">
        <v>7222.4851888187004</v>
      </c>
      <c r="BD106" s="19">
        <v>1.0309176656961801E-2</v>
      </c>
      <c r="BE106" s="18">
        <v>-2669.4186279093101</v>
      </c>
      <c r="BF106" s="19">
        <v>6.90773591884364E-3</v>
      </c>
      <c r="BG106" s="18"/>
      <c r="BH106" s="19"/>
    </row>
    <row r="107" spans="1:60" x14ac:dyDescent="0.15">
      <c r="A107" s="17">
        <v>2003</v>
      </c>
      <c r="B107" s="17">
        <v>4</v>
      </c>
      <c r="C107" s="18">
        <v>125500.641893101</v>
      </c>
      <c r="D107" s="19">
        <v>1.22314896420921E-2</v>
      </c>
      <c r="E107" s="18">
        <v>120898.46395953</v>
      </c>
      <c r="F107" s="19">
        <v>1.22865792775513E-2</v>
      </c>
      <c r="G107" s="18">
        <v>1094.24012942575</v>
      </c>
      <c r="H107" s="19">
        <v>6.2355932931391203E-2</v>
      </c>
      <c r="I107" s="18">
        <v>140.96373247670499</v>
      </c>
      <c r="J107" s="19">
        <v>1.9594812560934399E-2</v>
      </c>
      <c r="K107" s="18">
        <v>23583.4911365722</v>
      </c>
      <c r="L107" s="19">
        <v>1.7141897211803401E-2</v>
      </c>
      <c r="M107" s="18">
        <v>5857.9204877099501</v>
      </c>
      <c r="N107" s="19">
        <v>3.4987809331455698E-2</v>
      </c>
      <c r="O107" s="18">
        <v>17725.5706488623</v>
      </c>
      <c r="P107" s="19">
        <v>1.1378738470479099E-2</v>
      </c>
      <c r="Q107" s="18">
        <v>2036.37647182603</v>
      </c>
      <c r="R107" s="19">
        <v>-6.4663752635899296E-2</v>
      </c>
      <c r="S107" s="18">
        <v>662.00093844137598</v>
      </c>
      <c r="T107" s="19">
        <v>2.1398974865009399E-2</v>
      </c>
      <c r="U107" s="18">
        <v>5999.5891327155896</v>
      </c>
      <c r="V107" s="19">
        <v>3.2474802081619001E-3</v>
      </c>
      <c r="W107" s="18">
        <v>19035.206369100899</v>
      </c>
      <c r="X107" s="19">
        <v>2.05300024568476E-2</v>
      </c>
      <c r="Y107" s="18">
        <v>5857.5948434094798</v>
      </c>
      <c r="Z107" s="19">
        <v>-1.52574838988118E-3</v>
      </c>
      <c r="AA107" s="18">
        <v>4498.8960131754102</v>
      </c>
      <c r="AB107" s="19">
        <v>1.5061871814063999E-2</v>
      </c>
      <c r="AC107" s="18">
        <v>2797.0690989835098</v>
      </c>
      <c r="AD107" s="19">
        <v>2.7229182910288902E-3</v>
      </c>
      <c r="AE107" s="18">
        <v>5544.0721866087797</v>
      </c>
      <c r="AF107" s="19">
        <v>1.78084796210876E-2</v>
      </c>
      <c r="AG107" s="18">
        <v>14179.735561481701</v>
      </c>
      <c r="AH107" s="19">
        <v>1.8065943211235599E-2</v>
      </c>
      <c r="AI107" s="18">
        <v>8134.08532267602</v>
      </c>
      <c r="AJ107" s="19">
        <v>3.2338050198578799E-2</v>
      </c>
      <c r="AK107" s="18">
        <v>4956.0078902601499</v>
      </c>
      <c r="AL107" s="19">
        <v>-5.3763876075706403E-3</v>
      </c>
      <c r="AM107" s="18">
        <v>17759.1563997544</v>
      </c>
      <c r="AN107" s="19">
        <v>1.20744863855886E-2</v>
      </c>
      <c r="AO107" s="18">
        <v>8116.1381690804701</v>
      </c>
      <c r="AP107" s="19">
        <v>3.9948937880440703E-3</v>
      </c>
      <c r="AQ107" s="18">
        <v>5274.0871121202999</v>
      </c>
      <c r="AR107" s="19">
        <v>-2.50237598405212E-3</v>
      </c>
      <c r="AS107" s="18">
        <v>7373.8337422470204</v>
      </c>
      <c r="AT107" s="19">
        <v>5.45645546606388E-3</v>
      </c>
      <c r="AU107" s="18">
        <v>819.61331982767797</v>
      </c>
      <c r="AV107" s="19">
        <v>3.3333840148995798E-2</v>
      </c>
      <c r="AW107" s="18">
        <v>1570.7583221978</v>
      </c>
      <c r="AX107" s="19">
        <v>4.3066866316472403E-3</v>
      </c>
      <c r="AY107" s="18">
        <v>413.23612349444699</v>
      </c>
      <c r="AZ107" s="19">
        <v>1.1203048836419E-3</v>
      </c>
      <c r="BA107" s="18">
        <v>4602.1779335712999</v>
      </c>
      <c r="BB107" s="19">
        <v>1.0786438547495201E-2</v>
      </c>
      <c r="BC107" s="18">
        <v>7272.3664058005297</v>
      </c>
      <c r="BD107" s="19">
        <v>6.9063785771481499E-3</v>
      </c>
      <c r="BE107" s="18">
        <v>-2670.1884722292298</v>
      </c>
      <c r="BF107" s="19">
        <v>2.8839400155300499E-4</v>
      </c>
      <c r="BG107" s="18"/>
      <c r="BH107" s="19"/>
    </row>
    <row r="108" spans="1:60" x14ac:dyDescent="0.15">
      <c r="A108" s="17">
        <v>2004</v>
      </c>
      <c r="B108" s="17">
        <v>1</v>
      </c>
      <c r="C108" s="18">
        <v>126159.911396588</v>
      </c>
      <c r="D108" s="19">
        <v>5.2531165860310002E-3</v>
      </c>
      <c r="E108" s="18">
        <v>121405.79233235199</v>
      </c>
      <c r="F108" s="19">
        <v>4.1963177711832299E-3</v>
      </c>
      <c r="G108" s="18">
        <v>1190.06636550177</v>
      </c>
      <c r="H108" s="19">
        <v>8.75733154899931E-2</v>
      </c>
      <c r="I108" s="18">
        <v>145.31214055087</v>
      </c>
      <c r="J108" s="19">
        <v>3.0847708114454701E-2</v>
      </c>
      <c r="K108" s="18">
        <v>23538.842588408999</v>
      </c>
      <c r="L108" s="19">
        <v>-1.8932119890414699E-3</v>
      </c>
      <c r="M108" s="18">
        <v>5957.06576761213</v>
      </c>
      <c r="N108" s="19">
        <v>1.6924995842841701E-2</v>
      </c>
      <c r="O108" s="18">
        <v>17581.776820796898</v>
      </c>
      <c r="P108" s="19">
        <v>-8.1122256041236095E-3</v>
      </c>
      <c r="Q108" s="18">
        <v>2027.2027665668199</v>
      </c>
      <c r="R108" s="19">
        <v>-4.5049161518660999E-3</v>
      </c>
      <c r="S108" s="18">
        <v>692.43512549267996</v>
      </c>
      <c r="T108" s="19">
        <v>4.5973027051832399E-2</v>
      </c>
      <c r="U108" s="18">
        <v>5968.9438826899004</v>
      </c>
      <c r="V108" s="19">
        <v>-5.1078914485294096E-3</v>
      </c>
      <c r="W108" s="18">
        <v>19461.167567236</v>
      </c>
      <c r="X108" s="19">
        <v>2.2377545579258799E-2</v>
      </c>
      <c r="Y108" s="18">
        <v>5859.8911598373797</v>
      </c>
      <c r="Z108" s="19">
        <v>3.9202377243241498E-4</v>
      </c>
      <c r="AA108" s="18">
        <v>4572.9097182796904</v>
      </c>
      <c r="AB108" s="19">
        <v>1.6451526082737099E-2</v>
      </c>
      <c r="AC108" s="18">
        <v>2751.1076804079298</v>
      </c>
      <c r="AD108" s="19">
        <v>-1.64319925425798E-2</v>
      </c>
      <c r="AE108" s="18">
        <v>5647.3789367401996</v>
      </c>
      <c r="AF108" s="19">
        <v>1.8633731065216701E-2</v>
      </c>
      <c r="AG108" s="18">
        <v>13953.439438433999</v>
      </c>
      <c r="AH108" s="19">
        <v>-1.59591215270946E-2</v>
      </c>
      <c r="AI108" s="18">
        <v>8102.45378549017</v>
      </c>
      <c r="AJ108" s="19">
        <v>-3.8887638783019502E-3</v>
      </c>
      <c r="AK108" s="18">
        <v>4743.0769875088899</v>
      </c>
      <c r="AL108" s="19">
        <v>-4.2964197690186202E-2</v>
      </c>
      <c r="AM108" s="18">
        <v>17920.161478948299</v>
      </c>
      <c r="AN108" s="19">
        <v>9.0660319426052495E-3</v>
      </c>
      <c r="AO108" s="18">
        <v>8109.2308271619504</v>
      </c>
      <c r="AP108" s="19">
        <v>-8.5106263282175298E-4</v>
      </c>
      <c r="AQ108" s="18">
        <v>5209.1110336370302</v>
      </c>
      <c r="AR108" s="19">
        <v>-1.23198720654324E-2</v>
      </c>
      <c r="AS108" s="18">
        <v>7386.8039343321898</v>
      </c>
      <c r="AT108" s="19">
        <v>1.7589482674194E-3</v>
      </c>
      <c r="AU108" s="18">
        <v>816.77738557749103</v>
      </c>
      <c r="AV108" s="19">
        <v>-3.46008804588871E-3</v>
      </c>
      <c r="AW108" s="18">
        <v>1600.8724543170699</v>
      </c>
      <c r="AX108" s="19">
        <v>1.91717157844753E-2</v>
      </c>
      <c r="AY108" s="18">
        <v>414.02900806931899</v>
      </c>
      <c r="AZ108" s="19">
        <v>1.91872038718999E-3</v>
      </c>
      <c r="BA108" s="18">
        <v>4754.1190642354104</v>
      </c>
      <c r="BB108" s="19">
        <v>3.30150491478731E-2</v>
      </c>
      <c r="BC108" s="18">
        <v>7417.2832918150498</v>
      </c>
      <c r="BD108" s="19">
        <v>1.9927060591849101E-2</v>
      </c>
      <c r="BE108" s="18">
        <v>-2663.1642275796298</v>
      </c>
      <c r="BF108" s="19">
        <v>-2.6306175472830002E-3</v>
      </c>
      <c r="BG108" s="18"/>
      <c r="BH108" s="19"/>
    </row>
    <row r="109" spans="1:60" x14ac:dyDescent="0.15">
      <c r="A109" s="17">
        <v>2004</v>
      </c>
      <c r="B109" s="17">
        <v>2</v>
      </c>
      <c r="C109" s="18">
        <v>126876.89044587</v>
      </c>
      <c r="D109" s="19">
        <v>5.6830972798385098E-3</v>
      </c>
      <c r="E109" s="18">
        <v>122072.665761433</v>
      </c>
      <c r="F109" s="19">
        <v>5.49292926037137E-3</v>
      </c>
      <c r="G109" s="18">
        <v>1210.5574773148501</v>
      </c>
      <c r="H109" s="19">
        <v>1.7218461429624899E-2</v>
      </c>
      <c r="I109" s="18">
        <v>146.83743024675101</v>
      </c>
      <c r="J109" s="19">
        <v>1.04966432267708E-2</v>
      </c>
      <c r="K109" s="18">
        <v>23711.272786571499</v>
      </c>
      <c r="L109" s="19">
        <v>7.3253473493812803E-3</v>
      </c>
      <c r="M109" s="18">
        <v>5985.31328527813</v>
      </c>
      <c r="N109" s="19">
        <v>4.7418508990737501E-3</v>
      </c>
      <c r="O109" s="18">
        <v>17725.959501293401</v>
      </c>
      <c r="P109" s="19">
        <v>8.2006888135424099E-3</v>
      </c>
      <c r="Q109" s="18">
        <v>1931.9155115804899</v>
      </c>
      <c r="R109" s="19">
        <v>-4.7004303939313999E-2</v>
      </c>
      <c r="S109" s="18">
        <v>705.70530639209505</v>
      </c>
      <c r="T109" s="19">
        <v>1.91645114623165E-2</v>
      </c>
      <c r="U109" s="18">
        <v>5893.8668635062204</v>
      </c>
      <c r="V109" s="19">
        <v>-1.25779401949833E-2</v>
      </c>
      <c r="W109" s="18">
        <v>19834.854326739802</v>
      </c>
      <c r="X109" s="19">
        <v>1.9201661884505401E-2</v>
      </c>
      <c r="Y109" s="18">
        <v>5823.2784034106498</v>
      </c>
      <c r="Z109" s="19">
        <v>-6.2480267001646696E-3</v>
      </c>
      <c r="AA109" s="18">
        <v>4601.3947928791004</v>
      </c>
      <c r="AB109" s="19">
        <v>6.2290918374239296E-3</v>
      </c>
      <c r="AC109" s="18">
        <v>2761.4517924359302</v>
      </c>
      <c r="AD109" s="19">
        <v>3.7599807894328498E-3</v>
      </c>
      <c r="AE109" s="18">
        <v>5686.1791752386198</v>
      </c>
      <c r="AF109" s="19">
        <v>6.8704861021460202E-3</v>
      </c>
      <c r="AG109" s="18">
        <v>13627.9401161399</v>
      </c>
      <c r="AH109" s="19">
        <v>-2.3327533238685499E-2</v>
      </c>
      <c r="AI109" s="18">
        <v>7939.2825061123203</v>
      </c>
      <c r="AJ109" s="19">
        <v>-2.0138501705502999E-2</v>
      </c>
      <c r="AK109" s="18">
        <v>4600.7741085254602</v>
      </c>
      <c r="AL109" s="19">
        <v>-3.0002228375840101E-2</v>
      </c>
      <c r="AM109" s="18">
        <v>18061.1990963362</v>
      </c>
      <c r="AN109" s="19">
        <v>7.8703318356592201E-3</v>
      </c>
      <c r="AO109" s="18">
        <v>8211.2350702098502</v>
      </c>
      <c r="AP109" s="19">
        <v>1.2578781541923999E-2</v>
      </c>
      <c r="AQ109" s="18">
        <v>5295.6420671057003</v>
      </c>
      <c r="AR109" s="19">
        <v>1.66114780256961E-2</v>
      </c>
      <c r="AS109" s="18">
        <v>7538.6888510692197</v>
      </c>
      <c r="AT109" s="19">
        <v>2.05616553637098E-2</v>
      </c>
      <c r="AU109" s="18">
        <v>825.81505465599196</v>
      </c>
      <c r="AV109" s="19">
        <v>1.1065033432716E-2</v>
      </c>
      <c r="AW109" s="18">
        <v>1611.0287997226001</v>
      </c>
      <c r="AX109" s="19">
        <v>6.3442564572473402E-3</v>
      </c>
      <c r="AY109" s="18">
        <v>417.08124328827699</v>
      </c>
      <c r="AZ109" s="19">
        <v>7.3720322959762701E-3</v>
      </c>
      <c r="BA109" s="18">
        <v>4804.2246844370602</v>
      </c>
      <c r="BB109" s="19">
        <v>1.05394121444251E-2</v>
      </c>
      <c r="BC109" s="18">
        <v>7473.79120976985</v>
      </c>
      <c r="BD109" s="19">
        <v>7.6184117191746602E-3</v>
      </c>
      <c r="BE109" s="18">
        <v>-2669.5665253327902</v>
      </c>
      <c r="BF109" s="19">
        <v>2.4040191313980902E-3</v>
      </c>
      <c r="BG109" s="18"/>
      <c r="BH109" s="19"/>
    </row>
    <row r="110" spans="1:60" x14ac:dyDescent="0.15">
      <c r="A110" s="17">
        <v>2004</v>
      </c>
      <c r="B110" s="17">
        <v>3</v>
      </c>
      <c r="C110" s="18">
        <v>126885.126829452</v>
      </c>
      <c r="D110" s="19">
        <v>6.4916341758092204E-5</v>
      </c>
      <c r="E110" s="18">
        <v>122155.836308229</v>
      </c>
      <c r="F110" s="19">
        <v>6.8131998492337897E-4</v>
      </c>
      <c r="G110" s="18">
        <v>1179.29251466391</v>
      </c>
      <c r="H110" s="19">
        <v>-2.5826913002337699E-2</v>
      </c>
      <c r="I110" s="18">
        <v>148.50396277789201</v>
      </c>
      <c r="J110" s="19">
        <v>1.13495076040242E-2</v>
      </c>
      <c r="K110" s="18">
        <v>23732.982808746601</v>
      </c>
      <c r="L110" s="19">
        <v>9.1559919075101504E-4</v>
      </c>
      <c r="M110" s="18">
        <v>6070.5451412185203</v>
      </c>
      <c r="N110" s="19">
        <v>1.42401661998277E-2</v>
      </c>
      <c r="O110" s="18">
        <v>17662.437667528</v>
      </c>
      <c r="P110" s="19">
        <v>-3.5835483975183999E-3</v>
      </c>
      <c r="Q110" s="18">
        <v>1970.51919763912</v>
      </c>
      <c r="R110" s="19">
        <v>1.9982077801657502E-2</v>
      </c>
      <c r="S110" s="18">
        <v>733.06776445307798</v>
      </c>
      <c r="T110" s="19">
        <v>3.8773207191643601E-2</v>
      </c>
      <c r="U110" s="18">
        <v>6000.1376183447201</v>
      </c>
      <c r="V110" s="19">
        <v>1.80307355594524E-2</v>
      </c>
      <c r="W110" s="18">
        <v>19726.018257434</v>
      </c>
      <c r="X110" s="19">
        <v>-5.4871121064426999E-3</v>
      </c>
      <c r="Y110" s="18">
        <v>5768.2093988563602</v>
      </c>
      <c r="Z110" s="19">
        <v>-9.4567013182885705E-3</v>
      </c>
      <c r="AA110" s="18">
        <v>4605.7442766144604</v>
      </c>
      <c r="AB110" s="19">
        <v>9.4525332668515805E-4</v>
      </c>
      <c r="AC110" s="18">
        <v>2716.0403092663</v>
      </c>
      <c r="AD110" s="19">
        <v>-1.64447857804404E-2</v>
      </c>
      <c r="AE110" s="18">
        <v>5734.9073225688999</v>
      </c>
      <c r="AF110" s="19">
        <v>8.5695764815987303E-3</v>
      </c>
      <c r="AG110" s="18">
        <v>13356.9656981593</v>
      </c>
      <c r="AH110" s="19">
        <v>-1.9883739998218099E-2</v>
      </c>
      <c r="AI110" s="18">
        <v>7776.4673700690801</v>
      </c>
      <c r="AJ110" s="19">
        <v>-2.0507537792979098E-2</v>
      </c>
      <c r="AK110" s="18">
        <v>4512.6109679235997</v>
      </c>
      <c r="AL110" s="19">
        <v>-1.9162675350325599E-2</v>
      </c>
      <c r="AM110" s="18">
        <v>18282.776191048499</v>
      </c>
      <c r="AN110" s="19">
        <v>1.2268127577265401E-2</v>
      </c>
      <c r="AO110" s="18">
        <v>8216.7958832351796</v>
      </c>
      <c r="AP110" s="19">
        <v>6.7722005006332097E-4</v>
      </c>
      <c r="AQ110" s="18">
        <v>5268.1869349164199</v>
      </c>
      <c r="AR110" s="19">
        <v>-5.1844765641964096E-3</v>
      </c>
      <c r="AS110" s="18">
        <v>7603.8651013786703</v>
      </c>
      <c r="AT110" s="19">
        <v>8.6455684266906196E-3</v>
      </c>
      <c r="AU110" s="18">
        <v>842.15765427996701</v>
      </c>
      <c r="AV110" s="19">
        <v>1.9789660568470899E-2</v>
      </c>
      <c r="AW110" s="18">
        <v>1618.8482912581701</v>
      </c>
      <c r="AX110" s="19">
        <v>4.8537254808291904E-3</v>
      </c>
      <c r="AY110" s="18">
        <v>419.02652144414202</v>
      </c>
      <c r="AZ110" s="19">
        <v>4.6640269423958696E-3</v>
      </c>
      <c r="BA110" s="18">
        <v>4729.2905212223104</v>
      </c>
      <c r="BB110" s="19">
        <v>-1.5597555929782E-2</v>
      </c>
      <c r="BC110" s="18">
        <v>7409.0383546459498</v>
      </c>
      <c r="BD110" s="19">
        <v>-8.6639903773668703E-3</v>
      </c>
      <c r="BE110" s="18">
        <v>-2679.7478334236398</v>
      </c>
      <c r="BF110" s="19">
        <v>3.8138431817440499E-3</v>
      </c>
      <c r="BG110" s="18"/>
      <c r="BH110" s="19"/>
    </row>
    <row r="111" spans="1:60" x14ac:dyDescent="0.15">
      <c r="A111" s="17">
        <v>2004</v>
      </c>
      <c r="B111" s="17">
        <v>4</v>
      </c>
      <c r="C111" s="18">
        <v>127944.643603041</v>
      </c>
      <c r="D111" s="19">
        <v>8.3502046304717598E-3</v>
      </c>
      <c r="E111" s="18">
        <v>123122.145941681</v>
      </c>
      <c r="F111" s="19">
        <v>7.9104663571964995E-3</v>
      </c>
      <c r="G111" s="18">
        <v>1163.9463271032901</v>
      </c>
      <c r="H111" s="19">
        <v>-1.30130458472379E-2</v>
      </c>
      <c r="I111" s="18">
        <v>147.01717206455999</v>
      </c>
      <c r="J111" s="19">
        <v>-1.0011791507246201E-2</v>
      </c>
      <c r="K111" s="18">
        <v>23958.676784930602</v>
      </c>
      <c r="L111" s="19">
        <v>9.5097181000289906E-3</v>
      </c>
      <c r="M111" s="18">
        <v>6119.9978452760797</v>
      </c>
      <c r="N111" s="19">
        <v>8.1463365986316205E-3</v>
      </c>
      <c r="O111" s="18">
        <v>17838.678939654499</v>
      </c>
      <c r="P111" s="19">
        <v>9.9783096446803797E-3</v>
      </c>
      <c r="Q111" s="18">
        <v>2049.3875676980902</v>
      </c>
      <c r="R111" s="19">
        <v>4.00241571629718E-2</v>
      </c>
      <c r="S111" s="18">
        <v>772.23218867710602</v>
      </c>
      <c r="T111" s="19">
        <v>5.3425380467039901E-2</v>
      </c>
      <c r="U111" s="18">
        <v>6031.8389357759697</v>
      </c>
      <c r="V111" s="19">
        <v>5.28343172235446E-3</v>
      </c>
      <c r="W111" s="18">
        <v>19891.176637391301</v>
      </c>
      <c r="X111" s="19">
        <v>8.3726161966319896E-3</v>
      </c>
      <c r="Y111" s="18">
        <v>5810.5207806609797</v>
      </c>
      <c r="Z111" s="19">
        <v>7.3352714644874303E-3</v>
      </c>
      <c r="AA111" s="18">
        <v>4622.2166509265098</v>
      </c>
      <c r="AB111" s="19">
        <v>3.5764847813391002E-3</v>
      </c>
      <c r="AC111" s="18">
        <v>2734.5820041471502</v>
      </c>
      <c r="AD111" s="19">
        <v>6.8267377393418397E-3</v>
      </c>
      <c r="AE111" s="18">
        <v>5760.14563375338</v>
      </c>
      <c r="AF111" s="19">
        <v>4.4008228494223402E-3</v>
      </c>
      <c r="AG111" s="18">
        <v>13404.5789711624</v>
      </c>
      <c r="AH111" s="19">
        <v>3.5646773435682498E-3</v>
      </c>
      <c r="AI111" s="18">
        <v>7873.0529680080899</v>
      </c>
      <c r="AJ111" s="19">
        <v>1.24202408809371E-2</v>
      </c>
      <c r="AK111" s="18">
        <v>4467.2410942093102</v>
      </c>
      <c r="AL111" s="19">
        <v>-1.00540184023796E-2</v>
      </c>
      <c r="AM111" s="18">
        <v>18551.676638517001</v>
      </c>
      <c r="AN111" s="19">
        <v>1.47078564359517E-2</v>
      </c>
      <c r="AO111" s="18">
        <v>8258.8454457698608</v>
      </c>
      <c r="AP111" s="19">
        <v>5.1175133388034998E-3</v>
      </c>
      <c r="AQ111" s="18">
        <v>5286.1409533952401</v>
      </c>
      <c r="AR111" s="19">
        <v>3.40800710009526E-3</v>
      </c>
      <c r="AS111" s="18">
        <v>7577.8153703284797</v>
      </c>
      <c r="AT111" s="19">
        <v>-3.4258539180902501E-3</v>
      </c>
      <c r="AU111" s="18">
        <v>870.96009499683203</v>
      </c>
      <c r="AV111" s="19">
        <v>3.4200770568891599E-2</v>
      </c>
      <c r="AW111" s="18">
        <v>1618.3268524469099</v>
      </c>
      <c r="AX111" s="19">
        <v>-3.2210480381211803E-4</v>
      </c>
      <c r="AY111" s="18">
        <v>422.58171259607502</v>
      </c>
      <c r="AZ111" s="19">
        <v>8.4844060458990605E-3</v>
      </c>
      <c r="BA111" s="18">
        <v>4822.4976613601402</v>
      </c>
      <c r="BB111" s="19">
        <v>1.9708482640168799E-2</v>
      </c>
      <c r="BC111" s="18">
        <v>7525.1788328040802</v>
      </c>
      <c r="BD111" s="19">
        <v>1.5675513150138001E-2</v>
      </c>
      <c r="BE111" s="18">
        <v>-2702.68117144395</v>
      </c>
      <c r="BF111" s="19">
        <v>8.5580209205753394E-3</v>
      </c>
      <c r="BG111" s="18"/>
      <c r="BH111" s="19"/>
    </row>
    <row r="112" spans="1:60" x14ac:dyDescent="0.15">
      <c r="A112" s="17">
        <v>2005</v>
      </c>
      <c r="B112" s="17">
        <v>1</v>
      </c>
      <c r="C112" s="18">
        <v>129429.760643357</v>
      </c>
      <c r="D112" s="19">
        <v>1.1607496793097199E-2</v>
      </c>
      <c r="E112" s="18">
        <v>124654.71196225101</v>
      </c>
      <c r="F112" s="19">
        <v>1.2447525251033899E-2</v>
      </c>
      <c r="G112" s="18">
        <v>1116.73766747474</v>
      </c>
      <c r="H112" s="19">
        <v>-4.0559137933817602E-2</v>
      </c>
      <c r="I112" s="18">
        <v>152.95139235504601</v>
      </c>
      <c r="J112" s="19">
        <v>4.0364130306356702E-2</v>
      </c>
      <c r="K112" s="18">
        <v>24134.972705195301</v>
      </c>
      <c r="L112" s="19">
        <v>7.3583329266182504E-3</v>
      </c>
      <c r="M112" s="18">
        <v>6243.4274983764999</v>
      </c>
      <c r="N112" s="19">
        <v>2.0168251071475601E-2</v>
      </c>
      <c r="O112" s="18">
        <v>17891.545206818799</v>
      </c>
      <c r="P112" s="19">
        <v>2.9635752368870599E-3</v>
      </c>
      <c r="Q112" s="18">
        <v>2224.8020984724199</v>
      </c>
      <c r="R112" s="19">
        <v>8.5593634673682306E-2</v>
      </c>
      <c r="S112" s="18">
        <v>718.70807960548302</v>
      </c>
      <c r="T112" s="19">
        <v>-6.9310901379693396E-2</v>
      </c>
      <c r="U112" s="18">
        <v>6012.9618343816901</v>
      </c>
      <c r="V112" s="19">
        <v>-3.1295765015070301E-3</v>
      </c>
      <c r="W112" s="18">
        <v>20292.8489084922</v>
      </c>
      <c r="X112" s="19">
        <v>2.0193489727796901E-2</v>
      </c>
      <c r="Y112" s="18">
        <v>5857.4549346533904</v>
      </c>
      <c r="Z112" s="19">
        <v>8.0774436172097504E-3</v>
      </c>
      <c r="AA112" s="18">
        <v>4755.0138182931196</v>
      </c>
      <c r="AB112" s="19">
        <v>2.87301910307451E-2</v>
      </c>
      <c r="AC112" s="18">
        <v>2773.72662486427</v>
      </c>
      <c r="AD112" s="19">
        <v>1.4314663322494901E-2</v>
      </c>
      <c r="AE112" s="18">
        <v>5826.64311875558</v>
      </c>
      <c r="AF112" s="19">
        <v>1.15444103726368E-2</v>
      </c>
      <c r="AG112" s="18">
        <v>13596.783129044201</v>
      </c>
      <c r="AH112" s="19">
        <v>1.4338694135435299E-2</v>
      </c>
      <c r="AI112" s="18">
        <v>8072.80143659225</v>
      </c>
      <c r="AJ112" s="19">
        <v>2.53711577193543E-2</v>
      </c>
      <c r="AK112" s="18">
        <v>4456.7561374943398</v>
      </c>
      <c r="AL112" s="19">
        <v>-2.3470765275167599E-3</v>
      </c>
      <c r="AM112" s="18">
        <v>18760.247126770999</v>
      </c>
      <c r="AN112" s="19">
        <v>1.1242675921860901E-2</v>
      </c>
      <c r="AO112" s="18">
        <v>8310.0678509130394</v>
      </c>
      <c r="AP112" s="19">
        <v>6.2021266143694699E-3</v>
      </c>
      <c r="AQ112" s="18">
        <v>5347.4868043312599</v>
      </c>
      <c r="AR112" s="19">
        <v>1.16050350296875E-2</v>
      </c>
      <c r="AS112" s="18">
        <v>7661.4767480290402</v>
      </c>
      <c r="AT112" s="19">
        <v>1.10403029913002E-2</v>
      </c>
      <c r="AU112" s="18">
        <v>917.84571405939005</v>
      </c>
      <c r="AV112" s="19">
        <v>5.3832109337602199E-2</v>
      </c>
      <c r="AW112" s="18">
        <v>1627.7660906932699</v>
      </c>
      <c r="AX112" s="19">
        <v>5.8327143445016097E-3</v>
      </c>
      <c r="AY112" s="18">
        <v>423.67225052016698</v>
      </c>
      <c r="AZ112" s="19">
        <v>2.5806557444079102E-3</v>
      </c>
      <c r="BA112" s="18">
        <v>4775.0486811057799</v>
      </c>
      <c r="BB112" s="19">
        <v>-9.8390882870800205E-3</v>
      </c>
      <c r="BC112" s="18">
        <v>7494.9597348913303</v>
      </c>
      <c r="BD112" s="19">
        <v>-4.0157315306604798E-3</v>
      </c>
      <c r="BE112" s="18">
        <v>-2719.9110537855499</v>
      </c>
      <c r="BF112" s="19">
        <v>6.3751072541065002E-3</v>
      </c>
      <c r="BG112" s="18"/>
      <c r="BH112" s="19"/>
    </row>
    <row r="113" spans="1:60" x14ac:dyDescent="0.15">
      <c r="A113" s="17">
        <v>2005</v>
      </c>
      <c r="B113" s="17">
        <v>2</v>
      </c>
      <c r="C113" s="18">
        <v>131136.24945548599</v>
      </c>
      <c r="D113" s="19">
        <v>1.31846710033812E-2</v>
      </c>
      <c r="E113" s="18">
        <v>126373.73828206401</v>
      </c>
      <c r="F113" s="19">
        <v>1.3790303573392599E-2</v>
      </c>
      <c r="G113" s="18">
        <v>1086.47162184853</v>
      </c>
      <c r="H113" s="19">
        <v>-2.7102198222300599E-2</v>
      </c>
      <c r="I113" s="18">
        <v>160.31472836009499</v>
      </c>
      <c r="J113" s="19">
        <v>4.8141673584483999E-2</v>
      </c>
      <c r="K113" s="18">
        <v>24946.6504441863</v>
      </c>
      <c r="L113" s="19">
        <v>3.3630770952404403E-2</v>
      </c>
      <c r="M113" s="18">
        <v>6286.0474537482796</v>
      </c>
      <c r="N113" s="19">
        <v>6.8263714735006297E-3</v>
      </c>
      <c r="O113" s="18">
        <v>18660.602990438001</v>
      </c>
      <c r="P113" s="19">
        <v>4.2984425030324798E-2</v>
      </c>
      <c r="Q113" s="18">
        <v>2023.45796990491</v>
      </c>
      <c r="R113" s="19">
        <v>-9.0499792635830106E-2</v>
      </c>
      <c r="S113" s="18">
        <v>681.33412735616605</v>
      </c>
      <c r="T113" s="19">
        <v>-5.2001575201203402E-2</v>
      </c>
      <c r="U113" s="18">
        <v>6281.1774825310004</v>
      </c>
      <c r="V113" s="19">
        <v>4.4606244898425199E-2</v>
      </c>
      <c r="W113" s="18">
        <v>20589.1271514</v>
      </c>
      <c r="X113" s="19">
        <v>1.4600130530898901E-2</v>
      </c>
      <c r="Y113" s="18">
        <v>5914.95561284614</v>
      </c>
      <c r="Z113" s="19">
        <v>9.8166659127958394E-3</v>
      </c>
      <c r="AA113" s="18">
        <v>4755.4250489830401</v>
      </c>
      <c r="AB113" s="19">
        <v>8.6483595134634301E-5</v>
      </c>
      <c r="AC113" s="18">
        <v>2773.71424214018</v>
      </c>
      <c r="AD113" s="19">
        <v>-4.4642914603931797E-6</v>
      </c>
      <c r="AE113" s="18">
        <v>5884.4413057834599</v>
      </c>
      <c r="AF113" s="19">
        <v>9.9196374052548109E-3</v>
      </c>
      <c r="AG113" s="18">
        <v>13826.008862241</v>
      </c>
      <c r="AH113" s="19">
        <v>1.6858821018271599E-2</v>
      </c>
      <c r="AI113" s="18">
        <v>8266.2954372812692</v>
      </c>
      <c r="AJ113" s="19">
        <v>2.3968631237720701E-2</v>
      </c>
      <c r="AK113" s="18">
        <v>4481.43574042625</v>
      </c>
      <c r="AL113" s="19">
        <v>5.5375708633211796E-3</v>
      </c>
      <c r="AM113" s="18">
        <v>19026.1630255614</v>
      </c>
      <c r="AN113" s="19">
        <v>1.4174434749897999E-2</v>
      </c>
      <c r="AO113" s="18">
        <v>8335.3761164299194</v>
      </c>
      <c r="AP113" s="19">
        <v>3.0454944497353398E-3</v>
      </c>
      <c r="AQ113" s="18">
        <v>5378.3259524565301</v>
      </c>
      <c r="AR113" s="19">
        <v>5.7670358532333496E-3</v>
      </c>
      <c r="AS113" s="18">
        <v>7646.8352202253</v>
      </c>
      <c r="AT113" s="19">
        <v>-1.9110581791562701E-3</v>
      </c>
      <c r="AU113" s="18">
        <v>912.28780846508596</v>
      </c>
      <c r="AV113" s="19">
        <v>-6.05538110509118E-3</v>
      </c>
      <c r="AW113" s="18">
        <v>1639.9353825408</v>
      </c>
      <c r="AX113" s="19">
        <v>7.4760691459976299E-3</v>
      </c>
      <c r="AY113" s="18">
        <v>426.69179165075298</v>
      </c>
      <c r="AZ113" s="19">
        <v>7.12706845180122E-3</v>
      </c>
      <c r="BA113" s="18">
        <v>4762.5111734216298</v>
      </c>
      <c r="BB113" s="19">
        <v>-2.6256292912284502E-3</v>
      </c>
      <c r="BC113" s="18">
        <v>7505.8058437867303</v>
      </c>
      <c r="BD113" s="19">
        <v>1.4471203687596E-3</v>
      </c>
      <c r="BE113" s="18">
        <v>-2743.2946703651</v>
      </c>
      <c r="BF113" s="19">
        <v>8.5971989955340201E-3</v>
      </c>
      <c r="BG113" s="18"/>
      <c r="BH113" s="19"/>
    </row>
    <row r="114" spans="1:60" x14ac:dyDescent="0.15">
      <c r="A114" s="17">
        <v>2005</v>
      </c>
      <c r="B114" s="17">
        <v>3</v>
      </c>
      <c r="C114" s="18">
        <v>133136.30857588901</v>
      </c>
      <c r="D114" s="19">
        <v>1.5251763937950601E-2</v>
      </c>
      <c r="E114" s="18">
        <v>128244.001986203</v>
      </c>
      <c r="F114" s="19">
        <v>1.47994649011958E-2</v>
      </c>
      <c r="G114" s="18">
        <v>1062.89288190652</v>
      </c>
      <c r="H114" s="19">
        <v>-2.1702122234815002E-2</v>
      </c>
      <c r="I114" s="18">
        <v>155.24147720719299</v>
      </c>
      <c r="J114" s="19">
        <v>-3.1645571213560202E-2</v>
      </c>
      <c r="K114" s="18">
        <v>25336.51785226</v>
      </c>
      <c r="L114" s="19">
        <v>1.56280462960754E-2</v>
      </c>
      <c r="M114" s="18">
        <v>6522.5886353826299</v>
      </c>
      <c r="N114" s="19">
        <v>3.7629557106398502E-2</v>
      </c>
      <c r="O114" s="18">
        <v>18813.929216877401</v>
      </c>
      <c r="P114" s="19">
        <v>8.2165740580821805E-3</v>
      </c>
      <c r="Q114" s="18">
        <v>1958.9291733371001</v>
      </c>
      <c r="R114" s="19">
        <v>-3.18903567692288E-2</v>
      </c>
      <c r="S114" s="18">
        <v>740.605101743462</v>
      </c>
      <c r="T114" s="19">
        <v>8.6992522475411796E-2</v>
      </c>
      <c r="U114" s="18">
        <v>6316.2691279867804</v>
      </c>
      <c r="V114" s="19">
        <v>5.5867941247278504E-3</v>
      </c>
      <c r="W114" s="18">
        <v>21215.1538536425</v>
      </c>
      <c r="X114" s="19">
        <v>3.04056941141326E-2</v>
      </c>
      <c r="Y114" s="18">
        <v>5963.8619554647103</v>
      </c>
      <c r="Z114" s="19">
        <v>8.2682518381638204E-3</v>
      </c>
      <c r="AA114" s="18">
        <v>4799.3191148804199</v>
      </c>
      <c r="AB114" s="19">
        <v>9.2303138931319993E-3</v>
      </c>
      <c r="AC114" s="18">
        <v>2810.05716681884</v>
      </c>
      <c r="AD114" s="19">
        <v>1.31026203516249E-2</v>
      </c>
      <c r="AE114" s="18">
        <v>5875.4355697385799</v>
      </c>
      <c r="AF114" s="19">
        <v>-1.5304317907007801E-3</v>
      </c>
      <c r="AG114" s="18">
        <v>14373.3253007983</v>
      </c>
      <c r="AH114" s="19">
        <v>3.95860037419795E-2</v>
      </c>
      <c r="AI114" s="18">
        <v>8687.2960282516997</v>
      </c>
      <c r="AJ114" s="19">
        <v>5.09297779355544E-2</v>
      </c>
      <c r="AK114" s="18">
        <v>4541.9664301377998</v>
      </c>
      <c r="AL114" s="19">
        <v>1.35069859789585E-2</v>
      </c>
      <c r="AM114" s="18">
        <v>19176.409660875001</v>
      </c>
      <c r="AN114" s="19">
        <v>7.8968436837068001E-3</v>
      </c>
      <c r="AO114" s="18">
        <v>8319.0656945059709</v>
      </c>
      <c r="AP114" s="19">
        <v>-1.9567709598364799E-3</v>
      </c>
      <c r="AQ114" s="18">
        <v>5350.6432549944002</v>
      </c>
      <c r="AR114" s="19">
        <v>-5.1470843728766997E-3</v>
      </c>
      <c r="AS114" s="18">
        <v>7728.8644368410396</v>
      </c>
      <c r="AT114" s="19">
        <v>1.07272112257344E-2</v>
      </c>
      <c r="AU114" s="18">
        <v>932.28923711725599</v>
      </c>
      <c r="AV114" s="19">
        <v>2.1924472152951902E-2</v>
      </c>
      <c r="AW114" s="18">
        <v>1663.4273572598199</v>
      </c>
      <c r="AX114" s="19">
        <v>1.4324939244018601E-2</v>
      </c>
      <c r="AY114" s="18">
        <v>429.55572428965098</v>
      </c>
      <c r="AZ114" s="19">
        <v>6.7119468781386997E-3</v>
      </c>
      <c r="BA114" s="18">
        <v>4892.3065896866401</v>
      </c>
      <c r="BB114" s="19">
        <v>2.7253566771531498E-2</v>
      </c>
      <c r="BC114" s="18">
        <v>7658.7117925867196</v>
      </c>
      <c r="BD114" s="19">
        <v>2.0371689860131801E-2</v>
      </c>
      <c r="BE114" s="18">
        <v>-2766.40520290008</v>
      </c>
      <c r="BF114" s="19">
        <v>8.4243711711435906E-3</v>
      </c>
      <c r="BG114" s="18"/>
      <c r="BH114" s="19"/>
    </row>
    <row r="115" spans="1:60" x14ac:dyDescent="0.15">
      <c r="A115" s="17">
        <v>2005</v>
      </c>
      <c r="B115" s="17">
        <v>4</v>
      </c>
      <c r="C115" s="18">
        <v>135223.22647688701</v>
      </c>
      <c r="D115" s="19">
        <v>1.5675047050054201E-2</v>
      </c>
      <c r="E115" s="18">
        <v>130224.78461137001</v>
      </c>
      <c r="F115" s="19">
        <v>1.5445421185312599E-2</v>
      </c>
      <c r="G115" s="18">
        <v>1040.15342986513</v>
      </c>
      <c r="H115" s="19">
        <v>-2.1393926357468802E-2</v>
      </c>
      <c r="I115" s="18">
        <v>154.941120525847</v>
      </c>
      <c r="J115" s="19">
        <v>-1.93477082767735E-3</v>
      </c>
      <c r="K115" s="18">
        <v>25793.1364742773</v>
      </c>
      <c r="L115" s="19">
        <v>1.8022153820813E-2</v>
      </c>
      <c r="M115" s="18">
        <v>6744.9875871983904</v>
      </c>
      <c r="N115" s="19">
        <v>3.4096731259322999E-2</v>
      </c>
      <c r="O115" s="18">
        <v>19048.1488870789</v>
      </c>
      <c r="P115" s="19">
        <v>1.2449269235654099E-2</v>
      </c>
      <c r="Q115" s="18">
        <v>2023.83616899302</v>
      </c>
      <c r="R115" s="19">
        <v>3.3133916498548202E-2</v>
      </c>
      <c r="S115" s="18">
        <v>759.88919567195899</v>
      </c>
      <c r="T115" s="19">
        <v>2.60382947445277E-2</v>
      </c>
      <c r="U115" s="18">
        <v>6338.3843833560204</v>
      </c>
      <c r="V115" s="19">
        <v>3.5013161917456502E-3</v>
      </c>
      <c r="W115" s="18">
        <v>21780.066796256098</v>
      </c>
      <c r="X115" s="19">
        <v>2.6627803244360301E-2</v>
      </c>
      <c r="Y115" s="18">
        <v>5966.0048260985004</v>
      </c>
      <c r="Z115" s="19">
        <v>3.5930922777716002E-4</v>
      </c>
      <c r="AA115" s="18">
        <v>4910.4675957498102</v>
      </c>
      <c r="AB115" s="19">
        <v>2.31592186743272E-2</v>
      </c>
      <c r="AC115" s="18">
        <v>2832.4633382193401</v>
      </c>
      <c r="AD115" s="19">
        <v>7.9735642623468602E-3</v>
      </c>
      <c r="AE115" s="18">
        <v>5913.1921530438703</v>
      </c>
      <c r="AF115" s="19">
        <v>6.42617604382401E-3</v>
      </c>
      <c r="AG115" s="18">
        <v>14898.2366982736</v>
      </c>
      <c r="AH115" s="19">
        <v>3.6519830066475703E-2</v>
      </c>
      <c r="AI115" s="18">
        <v>9021.3240605234496</v>
      </c>
      <c r="AJ115" s="19">
        <v>3.8450172664252297E-2</v>
      </c>
      <c r="AK115" s="18">
        <v>4643.4438532183904</v>
      </c>
      <c r="AL115" s="19">
        <v>2.2342178138361299E-2</v>
      </c>
      <c r="AM115" s="18">
        <v>19334.189948329102</v>
      </c>
      <c r="AN115" s="19">
        <v>8.2278325423956692E-3</v>
      </c>
      <c r="AO115" s="18">
        <v>8351.9515446305795</v>
      </c>
      <c r="AP115" s="19">
        <v>3.9530701321814901E-3</v>
      </c>
      <c r="AQ115" s="18">
        <v>5328.2495321776996</v>
      </c>
      <c r="AR115" s="19">
        <v>-4.1852393720699403E-3</v>
      </c>
      <c r="AS115" s="18">
        <v>7725.8135630770303</v>
      </c>
      <c r="AT115" s="19">
        <v>-3.9473764728836802E-4</v>
      </c>
      <c r="AU115" s="18">
        <v>930.49762618386706</v>
      </c>
      <c r="AV115" s="19">
        <v>-1.9217329365819301E-3</v>
      </c>
      <c r="AW115" s="18">
        <v>1678.07979428775</v>
      </c>
      <c r="AX115" s="19">
        <v>8.8085824511547894E-3</v>
      </c>
      <c r="AY115" s="18">
        <v>431.23524845179799</v>
      </c>
      <c r="AZ115" s="19">
        <v>3.9099098607622302E-3</v>
      </c>
      <c r="BA115" s="18">
        <v>4998.4418655173204</v>
      </c>
      <c r="BB115" s="19">
        <v>2.16943222762087E-2</v>
      </c>
      <c r="BC115" s="18">
        <v>7757.2727703365799</v>
      </c>
      <c r="BD115" s="19">
        <v>1.2869132619048001E-2</v>
      </c>
      <c r="BE115" s="18">
        <v>-2758.83090481926</v>
      </c>
      <c r="BF115" s="19">
        <v>-2.7379568520458099E-3</v>
      </c>
      <c r="BG115" s="18"/>
      <c r="BH115" s="19"/>
    </row>
    <row r="116" spans="1:60" x14ac:dyDescent="0.15">
      <c r="A116" s="17">
        <v>2006</v>
      </c>
      <c r="B116" s="17">
        <v>1</v>
      </c>
      <c r="C116" s="18">
        <v>137552.94092805299</v>
      </c>
      <c r="D116" s="19">
        <v>1.7228655992499901E-2</v>
      </c>
      <c r="E116" s="18">
        <v>132443.21482096301</v>
      </c>
      <c r="F116" s="19">
        <v>1.7035391659224301E-2</v>
      </c>
      <c r="G116" s="18">
        <v>1039.5935964999401</v>
      </c>
      <c r="H116" s="19">
        <v>-5.3822190949426296E-4</v>
      </c>
      <c r="I116" s="18">
        <v>150.64119962650599</v>
      </c>
      <c r="J116" s="19">
        <v>-2.7751967229536E-2</v>
      </c>
      <c r="K116" s="18">
        <v>26310.037656470999</v>
      </c>
      <c r="L116" s="19">
        <v>2.00402608154771E-2</v>
      </c>
      <c r="M116" s="18">
        <v>6850.34987264965</v>
      </c>
      <c r="N116" s="19">
        <v>1.56208271830236E-2</v>
      </c>
      <c r="O116" s="18">
        <v>19459.6877838213</v>
      </c>
      <c r="P116" s="19">
        <v>2.1605191096632399E-2</v>
      </c>
      <c r="Q116" s="18">
        <v>2172.8255904766202</v>
      </c>
      <c r="R116" s="19">
        <v>7.3617333144970307E-2</v>
      </c>
      <c r="S116" s="18">
        <v>770.065144279023</v>
      </c>
      <c r="T116" s="19">
        <v>1.3391358457288199E-2</v>
      </c>
      <c r="U116" s="18">
        <v>6276.9158996931201</v>
      </c>
      <c r="V116" s="19">
        <v>-9.6978157122052898E-3</v>
      </c>
      <c r="W116" s="18">
        <v>22198.599017008699</v>
      </c>
      <c r="X116" s="19">
        <v>1.92162964727269E-2</v>
      </c>
      <c r="Y116" s="18">
        <v>5955.0979965543802</v>
      </c>
      <c r="Z116" s="19">
        <v>-1.8281630441209201E-3</v>
      </c>
      <c r="AA116" s="18">
        <v>4938.4570217026403</v>
      </c>
      <c r="AB116" s="19">
        <v>5.6999512586253199E-3</v>
      </c>
      <c r="AC116" s="18">
        <v>2924.2975010004402</v>
      </c>
      <c r="AD116" s="19">
        <v>3.2422012861370399E-2</v>
      </c>
      <c r="AE116" s="18">
        <v>5968.2414567873602</v>
      </c>
      <c r="AF116" s="19">
        <v>9.3095746457612094E-3</v>
      </c>
      <c r="AG116" s="18">
        <v>15342.845299099499</v>
      </c>
      <c r="AH116" s="19">
        <v>2.9843035107464999E-2</v>
      </c>
      <c r="AI116" s="18">
        <v>9218.9681140240209</v>
      </c>
      <c r="AJ116" s="19">
        <v>2.1908541603715501E-2</v>
      </c>
      <c r="AK116" s="18">
        <v>4796.0436191092103</v>
      </c>
      <c r="AL116" s="19">
        <v>3.2863488978133397E-2</v>
      </c>
      <c r="AM116" s="18">
        <v>19674.3582506122</v>
      </c>
      <c r="AN116" s="19">
        <v>1.7594132631995898E-2</v>
      </c>
      <c r="AO116" s="18">
        <v>8451.7957270855404</v>
      </c>
      <c r="AP116" s="19">
        <v>1.1954593117718701E-2</v>
      </c>
      <c r="AQ116" s="18">
        <v>5388.2212181989298</v>
      </c>
      <c r="AR116" s="19">
        <v>1.12554199383965E-2</v>
      </c>
      <c r="AS116" s="18">
        <v>7735.3887512483898</v>
      </c>
      <c r="AT116" s="19">
        <v>1.23937603375723E-3</v>
      </c>
      <c r="AU116" s="18">
        <v>980.95020484151996</v>
      </c>
      <c r="AV116" s="19">
        <v>5.4221071862985401E-2</v>
      </c>
      <c r="AW116" s="18">
        <v>1687.12043472085</v>
      </c>
      <c r="AX116" s="19">
        <v>5.3874913838283202E-3</v>
      </c>
      <c r="AY116" s="18">
        <v>432.86085161034299</v>
      </c>
      <c r="AZ116" s="19">
        <v>3.7696435168066401E-3</v>
      </c>
      <c r="BA116" s="18">
        <v>5109.7261070906197</v>
      </c>
      <c r="BB116" s="19">
        <v>2.2263786309292499E-2</v>
      </c>
      <c r="BC116" s="18">
        <v>7873.5885473559001</v>
      </c>
      <c r="BD116" s="19">
        <v>1.4994416267544801E-2</v>
      </c>
      <c r="BE116" s="18">
        <v>-2763.8624402652799</v>
      </c>
      <c r="BF116" s="19">
        <v>1.82379262071786E-3</v>
      </c>
      <c r="BG116" s="18"/>
      <c r="BH116" s="19"/>
    </row>
    <row r="117" spans="1:60" x14ac:dyDescent="0.15">
      <c r="A117" s="17">
        <v>2006</v>
      </c>
      <c r="B117" s="17">
        <v>2</v>
      </c>
      <c r="C117" s="18">
        <v>139149.508841334</v>
      </c>
      <c r="D117" s="19">
        <v>1.1606934046696901E-2</v>
      </c>
      <c r="E117" s="18">
        <v>133933.45824445301</v>
      </c>
      <c r="F117" s="19">
        <v>1.12519423928554E-2</v>
      </c>
      <c r="G117" s="18">
        <v>1037.7129101548501</v>
      </c>
      <c r="H117" s="19">
        <v>-1.8090591856552199E-3</v>
      </c>
      <c r="I117" s="18">
        <v>152.98508949383699</v>
      </c>
      <c r="J117" s="19">
        <v>1.55594211486798E-2</v>
      </c>
      <c r="K117" s="18">
        <v>26748.316535208101</v>
      </c>
      <c r="L117" s="19">
        <v>1.6658238367415E-2</v>
      </c>
      <c r="M117" s="18">
        <v>6941.2564657406001</v>
      </c>
      <c r="N117" s="19">
        <v>1.3270357686969001E-2</v>
      </c>
      <c r="O117" s="18">
        <v>19807.060069467501</v>
      </c>
      <c r="P117" s="19">
        <v>1.7850866339953E-2</v>
      </c>
      <c r="Q117" s="18">
        <v>2173.46744485822</v>
      </c>
      <c r="R117" s="19">
        <v>2.9540078339240799E-4</v>
      </c>
      <c r="S117" s="18">
        <v>825.82340642070301</v>
      </c>
      <c r="T117" s="19">
        <v>7.2407201593164106E-2</v>
      </c>
      <c r="U117" s="18">
        <v>6363.2205780181803</v>
      </c>
      <c r="V117" s="19">
        <v>1.3749535552847201E-2</v>
      </c>
      <c r="W117" s="18">
        <v>22742.214227987199</v>
      </c>
      <c r="X117" s="19">
        <v>2.44887170835386E-2</v>
      </c>
      <c r="Y117" s="18">
        <v>5977.4464606300598</v>
      </c>
      <c r="Z117" s="19">
        <v>3.7528289355786E-3</v>
      </c>
      <c r="AA117" s="18">
        <v>4914.7218843457204</v>
      </c>
      <c r="AB117" s="19">
        <v>-4.80618485746065E-3</v>
      </c>
      <c r="AC117" s="18">
        <v>2908.74638647439</v>
      </c>
      <c r="AD117" s="19">
        <v>-5.3178975534225997E-3</v>
      </c>
      <c r="AE117" s="18">
        <v>5977.2290036364002</v>
      </c>
      <c r="AF117" s="19">
        <v>1.5058953150797201E-3</v>
      </c>
      <c r="AG117" s="18">
        <v>15586.7705230667</v>
      </c>
      <c r="AH117" s="19">
        <v>1.5898304337427401E-2</v>
      </c>
      <c r="AI117" s="18">
        <v>9232.7128285402305</v>
      </c>
      <c r="AJ117" s="19">
        <v>1.49091680828106E-3</v>
      </c>
      <c r="AK117" s="18">
        <v>4988.1224045072004</v>
      </c>
      <c r="AL117" s="19">
        <v>4.0049424203038697E-2</v>
      </c>
      <c r="AM117" s="18">
        <v>19819.115779956199</v>
      </c>
      <c r="AN117" s="19">
        <v>7.3576747714025901E-3</v>
      </c>
      <c r="AO117" s="18">
        <v>8443.7997632421993</v>
      </c>
      <c r="AP117" s="19">
        <v>-9.4606685981746296E-4</v>
      </c>
      <c r="AQ117" s="18">
        <v>5351.2105615495302</v>
      </c>
      <c r="AR117" s="19">
        <v>-6.8688079331996601E-3</v>
      </c>
      <c r="AS117" s="18">
        <v>7796.71601845432</v>
      </c>
      <c r="AT117" s="19">
        <v>7.9281428740125594E-3</v>
      </c>
      <c r="AU117" s="18">
        <v>946.56929619747302</v>
      </c>
      <c r="AV117" s="19">
        <v>-3.5048576853706499E-2</v>
      </c>
      <c r="AW117" s="18">
        <v>1711.51154189565</v>
      </c>
      <c r="AX117" s="19">
        <v>1.4457241269107701E-2</v>
      </c>
      <c r="AY117" s="18">
        <v>433.32729349301098</v>
      </c>
      <c r="AZ117" s="19">
        <v>1.0775792750334901E-3</v>
      </c>
      <c r="BA117" s="18">
        <v>5216.0505968816597</v>
      </c>
      <c r="BB117" s="19">
        <v>2.0808256169249299E-2</v>
      </c>
      <c r="BC117" s="18">
        <v>7979.1877014367301</v>
      </c>
      <c r="BD117" s="19">
        <v>1.3411820219674899E-2</v>
      </c>
      <c r="BE117" s="18">
        <v>-2763.13710455507</v>
      </c>
      <c r="BF117" s="19">
        <v>-2.6243553211846598E-4</v>
      </c>
      <c r="BG117" s="18"/>
      <c r="BH117" s="19"/>
    </row>
    <row r="118" spans="1:60" x14ac:dyDescent="0.15">
      <c r="A118" s="17">
        <v>2006</v>
      </c>
      <c r="B118" s="17">
        <v>3</v>
      </c>
      <c r="C118" s="18">
        <v>140958.55038699499</v>
      </c>
      <c r="D118" s="19">
        <v>1.30007037805884E-2</v>
      </c>
      <c r="E118" s="18">
        <v>135683.31617814599</v>
      </c>
      <c r="F118" s="19">
        <v>1.3065129181536E-2</v>
      </c>
      <c r="G118" s="18">
        <v>1066.13665851571</v>
      </c>
      <c r="H118" s="19">
        <v>2.73907629776169E-2</v>
      </c>
      <c r="I118" s="18">
        <v>152.75321737295999</v>
      </c>
      <c r="J118" s="19">
        <v>-1.51565176478308E-3</v>
      </c>
      <c r="K118" s="18">
        <v>27213.562699005601</v>
      </c>
      <c r="L118" s="19">
        <v>1.7393474583159398E-2</v>
      </c>
      <c r="M118" s="18">
        <v>7211.4816429685497</v>
      </c>
      <c r="N118" s="19">
        <v>3.8930297210840098E-2</v>
      </c>
      <c r="O118" s="18">
        <v>20002.081056037001</v>
      </c>
      <c r="P118" s="19">
        <v>9.8460339841210907E-3</v>
      </c>
      <c r="Q118" s="18">
        <v>2119.8181032759599</v>
      </c>
      <c r="R118" s="19">
        <v>-2.46837566898859E-2</v>
      </c>
      <c r="S118" s="18">
        <v>849.52395851037295</v>
      </c>
      <c r="T118" s="19">
        <v>2.8699298064695601E-2</v>
      </c>
      <c r="U118" s="18">
        <v>6336.1033214912704</v>
      </c>
      <c r="V118" s="19">
        <v>-4.2615616093181199E-3</v>
      </c>
      <c r="W118" s="18">
        <v>23210.3203095645</v>
      </c>
      <c r="X118" s="19">
        <v>2.0583135700183799E-2</v>
      </c>
      <c r="Y118" s="18">
        <v>6010.1135820583004</v>
      </c>
      <c r="Z118" s="19">
        <v>5.4650629902588399E-3</v>
      </c>
      <c r="AA118" s="18">
        <v>4959.0678814760004</v>
      </c>
      <c r="AB118" s="19">
        <v>9.0230939153519395E-3</v>
      </c>
      <c r="AC118" s="18">
        <v>2918.7205991268502</v>
      </c>
      <c r="AD118" s="19">
        <v>3.4290416994871E-3</v>
      </c>
      <c r="AE118" s="18">
        <v>5972.19162775118</v>
      </c>
      <c r="AF118" s="19">
        <v>-8.4276106573066801E-4</v>
      </c>
      <c r="AG118" s="18">
        <v>15746.2036897571</v>
      </c>
      <c r="AH118" s="19">
        <v>1.02287492110358E-2</v>
      </c>
      <c r="AI118" s="18">
        <v>9049.6015904429405</v>
      </c>
      <c r="AJ118" s="19">
        <v>-1.9832874854642201E-2</v>
      </c>
      <c r="AK118" s="18">
        <v>5240.2642847453999</v>
      </c>
      <c r="AL118" s="19">
        <v>5.0548454867581402E-2</v>
      </c>
      <c r="AM118" s="18">
        <v>20120.5915985221</v>
      </c>
      <c r="AN118" s="19">
        <v>1.52113657295818E-2</v>
      </c>
      <c r="AO118" s="18">
        <v>8576.3673803516103</v>
      </c>
      <c r="AP118" s="19">
        <v>1.5699995360680199E-2</v>
      </c>
      <c r="AQ118" s="18">
        <v>5390.64660600159</v>
      </c>
      <c r="AR118" s="19">
        <v>7.3695557292077201E-3</v>
      </c>
      <c r="AS118" s="18">
        <v>7910.26839153942</v>
      </c>
      <c r="AT118" s="19">
        <v>1.45641283864051E-2</v>
      </c>
      <c r="AU118" s="18">
        <v>972.60517629140702</v>
      </c>
      <c r="AV118" s="19">
        <v>2.7505519351329201E-2</v>
      </c>
      <c r="AW118" s="18">
        <v>1731.72009114301</v>
      </c>
      <c r="AX118" s="19">
        <v>1.1807427968016E-2</v>
      </c>
      <c r="AY118" s="18">
        <v>436.71486844969598</v>
      </c>
      <c r="AZ118" s="19">
        <v>7.8175896315637594E-3</v>
      </c>
      <c r="BA118" s="18">
        <v>5275.2342088486503</v>
      </c>
      <c r="BB118" s="19">
        <v>1.13464413099003E-2</v>
      </c>
      <c r="BC118" s="18">
        <v>8035.08512761149</v>
      </c>
      <c r="BD118" s="19">
        <v>7.0054030894266496E-3</v>
      </c>
      <c r="BE118" s="18">
        <v>-2759.8509187628401</v>
      </c>
      <c r="BF118" s="19">
        <v>-1.1892952350465199E-3</v>
      </c>
      <c r="BG118" s="18"/>
      <c r="BH118" s="19"/>
    </row>
    <row r="119" spans="1:60" x14ac:dyDescent="0.15">
      <c r="A119" s="17">
        <v>2006</v>
      </c>
      <c r="B119" s="17">
        <v>4</v>
      </c>
      <c r="C119" s="18">
        <v>144137.401635677</v>
      </c>
      <c r="D119" s="19">
        <v>2.25516738073319E-2</v>
      </c>
      <c r="E119" s="18">
        <v>138793.98985804699</v>
      </c>
      <c r="F119" s="19">
        <v>2.2925985062278501E-2</v>
      </c>
      <c r="G119" s="18">
        <v>1067.2762289289501</v>
      </c>
      <c r="H119" s="19">
        <v>1.0688783695165199E-3</v>
      </c>
      <c r="I119" s="18">
        <v>158.347982812076</v>
      </c>
      <c r="J119" s="19">
        <v>3.6626170861297998E-2</v>
      </c>
      <c r="K119" s="18">
        <v>28164.5606501562</v>
      </c>
      <c r="L119" s="19">
        <v>3.4945735024445798E-2</v>
      </c>
      <c r="M119" s="18">
        <v>7615.9223204111604</v>
      </c>
      <c r="N119" s="19">
        <v>5.6082882473528203E-2</v>
      </c>
      <c r="O119" s="18">
        <v>20548.638329745001</v>
      </c>
      <c r="P119" s="19">
        <v>2.7325020440461398E-2</v>
      </c>
      <c r="Q119" s="18">
        <v>2423.1579989249799</v>
      </c>
      <c r="R119" s="19">
        <v>0.14309713422120501</v>
      </c>
      <c r="S119" s="18">
        <v>847.34627221212202</v>
      </c>
      <c r="T119" s="19">
        <v>-2.5634195203508799E-3</v>
      </c>
      <c r="U119" s="18">
        <v>6345.41392507003</v>
      </c>
      <c r="V119" s="19">
        <v>1.46945261248654E-3</v>
      </c>
      <c r="W119" s="18">
        <v>23657.959653037899</v>
      </c>
      <c r="X119" s="19">
        <v>1.92862199876229E-2</v>
      </c>
      <c r="Y119" s="18">
        <v>6036.5880511020796</v>
      </c>
      <c r="Z119" s="19">
        <v>4.4049864752657699E-3</v>
      </c>
      <c r="AA119" s="18">
        <v>5051.8101413808599</v>
      </c>
      <c r="AB119" s="19">
        <v>1.8701550799755402E-2</v>
      </c>
      <c r="AC119" s="18">
        <v>2937.5584760617999</v>
      </c>
      <c r="AD119" s="19">
        <v>6.4541556120822898E-3</v>
      </c>
      <c r="AE119" s="18">
        <v>6014.8947236907698</v>
      </c>
      <c r="AF119" s="19">
        <v>7.1503224613827E-3</v>
      </c>
      <c r="AG119" s="18">
        <v>16560.7219409604</v>
      </c>
      <c r="AH119" s="19">
        <v>5.1727912787837803E-2</v>
      </c>
      <c r="AI119" s="18">
        <v>9397.04593771078</v>
      </c>
      <c r="AJ119" s="19">
        <v>3.8393330777651197E-2</v>
      </c>
      <c r="AK119" s="18">
        <v>5580.3065416480003</v>
      </c>
      <c r="AL119" s="19">
        <v>6.4890287669741295E-2</v>
      </c>
      <c r="AM119" s="18">
        <v>20354.2753383169</v>
      </c>
      <c r="AN119" s="19">
        <v>1.16141584928351E-2</v>
      </c>
      <c r="AO119" s="18">
        <v>8681.1941830478409</v>
      </c>
      <c r="AP119" s="19">
        <v>1.2222750967547E-2</v>
      </c>
      <c r="AQ119" s="18">
        <v>5386.5002784302696</v>
      </c>
      <c r="AR119" s="19">
        <v>-7.6917072744275795E-4</v>
      </c>
      <c r="AS119" s="18">
        <v>7978.7646382872199</v>
      </c>
      <c r="AT119" s="19">
        <v>8.6591558411668306E-3</v>
      </c>
      <c r="AU119" s="18">
        <v>980.99413950144799</v>
      </c>
      <c r="AV119" s="19">
        <v>8.6252504248727196E-3</v>
      </c>
      <c r="AW119" s="18">
        <v>1742.8413276787201</v>
      </c>
      <c r="AX119" s="19">
        <v>6.4220751336148104E-3</v>
      </c>
      <c r="AY119" s="18">
        <v>440.37195954844901</v>
      </c>
      <c r="AZ119" s="19">
        <v>8.3740934027163299E-3</v>
      </c>
      <c r="BA119" s="18">
        <v>5343.4117776299199</v>
      </c>
      <c r="BB119" s="19">
        <v>1.29240837623681E-2</v>
      </c>
      <c r="BC119" s="18">
        <v>8057.4482532167303</v>
      </c>
      <c r="BD119" s="19">
        <v>2.7831846520702799E-3</v>
      </c>
      <c r="BE119" s="18">
        <v>-2714.03647558682</v>
      </c>
      <c r="BF119" s="19">
        <v>-1.6600332599327899E-2</v>
      </c>
      <c r="BG119" s="18"/>
      <c r="BH119" s="19"/>
    </row>
    <row r="120" spans="1:60" x14ac:dyDescent="0.15">
      <c r="A120" s="17">
        <v>2007</v>
      </c>
      <c r="B120" s="17">
        <v>1</v>
      </c>
      <c r="C120" s="18">
        <v>146421.13653991601</v>
      </c>
      <c r="D120" s="19">
        <v>1.58441520266299E-2</v>
      </c>
      <c r="E120" s="18">
        <v>140929.71514046899</v>
      </c>
      <c r="F120" s="19">
        <v>1.5387736058355601E-2</v>
      </c>
      <c r="G120" s="18">
        <v>1111.6539953665899</v>
      </c>
      <c r="H120" s="19">
        <v>4.1580394311018197E-2</v>
      </c>
      <c r="I120" s="18">
        <v>162.182570221601</v>
      </c>
      <c r="J120" s="19">
        <v>2.42162062403837E-2</v>
      </c>
      <c r="K120" s="18">
        <v>28438.174320681701</v>
      </c>
      <c r="L120" s="19">
        <v>9.7148211869602097E-3</v>
      </c>
      <c r="M120" s="18">
        <v>7651.5840263782302</v>
      </c>
      <c r="N120" s="19">
        <v>4.68251965641708E-3</v>
      </c>
      <c r="O120" s="18">
        <v>20786.5902943035</v>
      </c>
      <c r="P120" s="19">
        <v>1.1579938326815999E-2</v>
      </c>
      <c r="Q120" s="18">
        <v>2338.3654313547299</v>
      </c>
      <c r="R120" s="19">
        <v>-3.49925871973134E-2</v>
      </c>
      <c r="S120" s="18">
        <v>853.72952144514295</v>
      </c>
      <c r="T120" s="19">
        <v>7.5332239514753797E-3</v>
      </c>
      <c r="U120" s="18">
        <v>6378.4339360629601</v>
      </c>
      <c r="V120" s="19">
        <v>5.2037599726113496E-3</v>
      </c>
      <c r="W120" s="18">
        <v>24038.159604813802</v>
      </c>
      <c r="X120" s="19">
        <v>1.60706991368567E-2</v>
      </c>
      <c r="Y120" s="18">
        <v>6077.2163653081598</v>
      </c>
      <c r="Z120" s="19">
        <v>6.7303440059427498E-3</v>
      </c>
      <c r="AA120" s="18">
        <v>5068.9090705566996</v>
      </c>
      <c r="AB120" s="19">
        <v>3.3847133398339198E-3</v>
      </c>
      <c r="AC120" s="18">
        <v>2970.47012634874</v>
      </c>
      <c r="AD120" s="19">
        <v>1.1203743025079101E-2</v>
      </c>
      <c r="AE120" s="18">
        <v>6006.5227560400299</v>
      </c>
      <c r="AF120" s="19">
        <v>-1.3918726819539501E-3</v>
      </c>
      <c r="AG120" s="18">
        <v>17378.564828449598</v>
      </c>
      <c r="AH120" s="19">
        <v>4.9384494855049303E-2</v>
      </c>
      <c r="AI120" s="18">
        <v>9649.0696490016908</v>
      </c>
      <c r="AJ120" s="19">
        <v>2.6819461452192401E-2</v>
      </c>
      <c r="AK120" s="18">
        <v>6045.9055575483499</v>
      </c>
      <c r="AL120" s="19">
        <v>8.3436100225928705E-2</v>
      </c>
      <c r="AM120" s="18">
        <v>20713.537568044099</v>
      </c>
      <c r="AN120" s="19">
        <v>1.7650455432862901E-2</v>
      </c>
      <c r="AO120" s="18">
        <v>8793.2203807604292</v>
      </c>
      <c r="AP120" s="19">
        <v>1.2904468596191701E-2</v>
      </c>
      <c r="AQ120" s="18">
        <v>5395.8273879401804</v>
      </c>
      <c r="AR120" s="19">
        <v>1.7315713409065099E-3</v>
      </c>
      <c r="AS120" s="18">
        <v>8059.8285102758</v>
      </c>
      <c r="AT120" s="19">
        <v>1.01599527826124E-2</v>
      </c>
      <c r="AU120" s="18">
        <v>1011.86764165396</v>
      </c>
      <c r="AV120" s="19">
        <v>3.1471647902199001E-2</v>
      </c>
      <c r="AW120" s="18">
        <v>1764.7156963355801</v>
      </c>
      <c r="AX120" s="19">
        <v>1.25509811532847E-2</v>
      </c>
      <c r="AY120" s="18">
        <v>445.55179411691398</v>
      </c>
      <c r="AZ120" s="19">
        <v>1.17624077922149E-2</v>
      </c>
      <c r="BA120" s="18">
        <v>5491.4213994472302</v>
      </c>
      <c r="BB120" s="19">
        <v>2.7699460190762502E-2</v>
      </c>
      <c r="BC120" s="18">
        <v>8177.6291555970301</v>
      </c>
      <c r="BD120" s="19">
        <v>1.49155040905555E-2</v>
      </c>
      <c r="BE120" s="18">
        <v>-2686.2077561497999</v>
      </c>
      <c r="BF120" s="19">
        <v>-1.0253627645516201E-2</v>
      </c>
      <c r="BG120" s="18"/>
      <c r="BH120" s="19"/>
    </row>
    <row r="121" spans="1:60" x14ac:dyDescent="0.15">
      <c r="A121" s="17">
        <v>2007</v>
      </c>
      <c r="B121" s="17">
        <v>2</v>
      </c>
      <c r="C121" s="18">
        <v>149255.97387054801</v>
      </c>
      <c r="D121" s="19">
        <v>1.9360847741127601E-2</v>
      </c>
      <c r="E121" s="18">
        <v>143613.65068639599</v>
      </c>
      <c r="F121" s="19">
        <v>1.9044497061900999E-2</v>
      </c>
      <c r="G121" s="18">
        <v>1131.4782205373299</v>
      </c>
      <c r="H121" s="19">
        <v>1.78330894805083E-2</v>
      </c>
      <c r="I121" s="18">
        <v>155.561498881966</v>
      </c>
      <c r="J121" s="19">
        <v>-4.0824802138657398E-2</v>
      </c>
      <c r="K121" s="18">
        <v>29011.1554295354</v>
      </c>
      <c r="L121" s="19">
        <v>2.0148308481146699E-2</v>
      </c>
      <c r="M121" s="18">
        <v>7721.6094656969099</v>
      </c>
      <c r="N121" s="19">
        <v>9.1517572148818206E-3</v>
      </c>
      <c r="O121" s="18">
        <v>21289.5459638385</v>
      </c>
      <c r="P121" s="19">
        <v>2.41961602366727E-2</v>
      </c>
      <c r="Q121" s="18">
        <v>2263.3361075124399</v>
      </c>
      <c r="R121" s="19">
        <v>-3.2086226915706201E-2</v>
      </c>
      <c r="S121" s="18">
        <v>884.28328994698097</v>
      </c>
      <c r="T121" s="19">
        <v>3.57885814351575E-2</v>
      </c>
      <c r="U121" s="18">
        <v>6362.5413033999102</v>
      </c>
      <c r="V121" s="19">
        <v>-2.4916198587861E-3</v>
      </c>
      <c r="W121" s="18">
        <v>24479.049233092501</v>
      </c>
      <c r="X121" s="19">
        <v>1.8341238910421401E-2</v>
      </c>
      <c r="Y121" s="18">
        <v>6139.1907205044499</v>
      </c>
      <c r="Z121" s="19">
        <v>1.01978194408343E-2</v>
      </c>
      <c r="AA121" s="18">
        <v>5150.3435942474798</v>
      </c>
      <c r="AB121" s="19">
        <v>1.6065493098663199E-2</v>
      </c>
      <c r="AC121" s="18">
        <v>3068.51412586483</v>
      </c>
      <c r="AD121" s="19">
        <v>3.3006223037361802E-2</v>
      </c>
      <c r="AE121" s="18">
        <v>6011.7217366181803</v>
      </c>
      <c r="AF121" s="19">
        <v>8.6555579480984701E-4</v>
      </c>
      <c r="AG121" s="18">
        <v>18244.149898358199</v>
      </c>
      <c r="AH121" s="19">
        <v>4.9807626720221002E-2</v>
      </c>
      <c r="AI121" s="18">
        <v>10208.3056749234</v>
      </c>
      <c r="AJ121" s="19">
        <v>5.7957507434877702E-2</v>
      </c>
      <c r="AK121" s="18">
        <v>6295.9877488124102</v>
      </c>
      <c r="AL121" s="19">
        <v>4.1363893114709997E-2</v>
      </c>
      <c r="AM121" s="18">
        <v>21084.384264009099</v>
      </c>
      <c r="AN121" s="19">
        <v>1.7903590574366499E-2</v>
      </c>
      <c r="AO121" s="18">
        <v>8893.4780335956002</v>
      </c>
      <c r="AP121" s="19">
        <v>1.1401699092466799E-2</v>
      </c>
      <c r="AQ121" s="18">
        <v>5443.6248652886998</v>
      </c>
      <c r="AR121" s="19">
        <v>8.8582295006973694E-3</v>
      </c>
      <c r="AS121" s="18">
        <v>8189.0039221547204</v>
      </c>
      <c r="AT121" s="19">
        <v>1.6027067041716601E-2</v>
      </c>
      <c r="AU121" s="18">
        <v>1018.93352653026</v>
      </c>
      <c r="AV121" s="19">
        <v>6.98301298058146E-3</v>
      </c>
      <c r="AW121" s="18">
        <v>1773.3642364856601</v>
      </c>
      <c r="AX121" s="19">
        <v>4.90081216369975E-3</v>
      </c>
      <c r="AY121" s="18">
        <v>448.72740033646198</v>
      </c>
      <c r="AZ121" s="19">
        <v>7.12735592467273E-3</v>
      </c>
      <c r="BA121" s="18">
        <v>5642.3231841521701</v>
      </c>
      <c r="BB121" s="19">
        <v>2.7479549232942501E-2</v>
      </c>
      <c r="BC121" s="18">
        <v>8322.3719914955891</v>
      </c>
      <c r="BD121" s="19">
        <v>1.7699853239186498E-2</v>
      </c>
      <c r="BE121" s="18">
        <v>-2680.0488073434199</v>
      </c>
      <c r="BF121" s="19">
        <v>-2.2928043418396502E-3</v>
      </c>
      <c r="BG121" s="18"/>
      <c r="BH121" s="19"/>
    </row>
    <row r="122" spans="1:60" x14ac:dyDescent="0.15">
      <c r="A122" s="17">
        <v>2007</v>
      </c>
      <c r="B122" s="17">
        <v>3</v>
      </c>
      <c r="C122" s="18">
        <v>151124.17539284599</v>
      </c>
      <c r="D122" s="19">
        <v>1.25167621358866E-2</v>
      </c>
      <c r="E122" s="18">
        <v>145444.87879354</v>
      </c>
      <c r="F122" s="19">
        <v>1.2751072745463599E-2</v>
      </c>
      <c r="G122" s="18">
        <v>1174.5976583434499</v>
      </c>
      <c r="H122" s="19">
        <v>3.8108941934071897E-2</v>
      </c>
      <c r="I122" s="18">
        <v>153.72996301537901</v>
      </c>
      <c r="J122" s="19">
        <v>-1.17737093030754E-2</v>
      </c>
      <c r="K122" s="18">
        <v>29483.302423520301</v>
      </c>
      <c r="L122" s="19">
        <v>1.6274670449841998E-2</v>
      </c>
      <c r="M122" s="18">
        <v>7890.0900254120697</v>
      </c>
      <c r="N122" s="19">
        <v>2.1819357798867001E-2</v>
      </c>
      <c r="O122" s="18">
        <v>21593.2123981082</v>
      </c>
      <c r="P122" s="19">
        <v>1.42636406988421E-2</v>
      </c>
      <c r="Q122" s="18">
        <v>2371.5018253595199</v>
      </c>
      <c r="R122" s="19">
        <v>4.7790391134602497E-2</v>
      </c>
      <c r="S122" s="18">
        <v>880.29370816216897</v>
      </c>
      <c r="T122" s="19">
        <v>-4.5116557444516703E-3</v>
      </c>
      <c r="U122" s="18">
        <v>6417.2163893576799</v>
      </c>
      <c r="V122" s="19">
        <v>8.5932779608921504E-3</v>
      </c>
      <c r="W122" s="18">
        <v>24935.082203420701</v>
      </c>
      <c r="X122" s="19">
        <v>1.8629521350512501E-2</v>
      </c>
      <c r="Y122" s="18">
        <v>6199.9885892806196</v>
      </c>
      <c r="Z122" s="19">
        <v>9.9032383165920095E-3</v>
      </c>
      <c r="AA122" s="18">
        <v>5204.0755923843999</v>
      </c>
      <c r="AB122" s="19">
        <v>1.04327016544929E-2</v>
      </c>
      <c r="AC122" s="18">
        <v>3108.3979479959698</v>
      </c>
      <c r="AD122" s="19">
        <v>1.2997763899783601E-2</v>
      </c>
      <c r="AE122" s="18">
        <v>6070.5007170184499</v>
      </c>
      <c r="AF122" s="19">
        <v>9.7773953911133304E-3</v>
      </c>
      <c r="AG122" s="18">
        <v>18271.288072113399</v>
      </c>
      <c r="AH122" s="19">
        <v>1.4875000428276101E-3</v>
      </c>
      <c r="AI122" s="18">
        <v>10173.7801573492</v>
      </c>
      <c r="AJ122" s="19">
        <v>-3.38210068091227E-3</v>
      </c>
      <c r="AK122" s="18">
        <v>6358.6356902362504</v>
      </c>
      <c r="AL122" s="19">
        <v>9.9504547853768201E-3</v>
      </c>
      <c r="AM122" s="18">
        <v>21410.0070206786</v>
      </c>
      <c r="AN122" s="19">
        <v>1.54437878096045E-2</v>
      </c>
      <c r="AO122" s="18">
        <v>8946.5839772815998</v>
      </c>
      <c r="AP122" s="19">
        <v>5.97133579072029E-3</v>
      </c>
      <c r="AQ122" s="18">
        <v>5527.9266053639203</v>
      </c>
      <c r="AR122" s="19">
        <v>1.5486324308049E-2</v>
      </c>
      <c r="AS122" s="18">
        <v>8225.4688176348809</v>
      </c>
      <c r="AT122" s="19">
        <v>4.4529097588412699E-3</v>
      </c>
      <c r="AU122" s="18">
        <v>1021.9156593414</v>
      </c>
      <c r="AV122" s="19">
        <v>2.9267196863134201E-3</v>
      </c>
      <c r="AW122" s="18">
        <v>1788.31656787978</v>
      </c>
      <c r="AX122" s="19">
        <v>8.43161888939448E-3</v>
      </c>
      <c r="AY122" s="18">
        <v>454.67364466811102</v>
      </c>
      <c r="AZ122" s="19">
        <v>1.3251351103567E-2</v>
      </c>
      <c r="BA122" s="18">
        <v>5679.2965993060898</v>
      </c>
      <c r="BB122" s="19">
        <v>6.5528708560635999E-3</v>
      </c>
      <c r="BC122" s="18">
        <v>8369.1297015387299</v>
      </c>
      <c r="BD122" s="19">
        <v>5.6183153181481602E-3</v>
      </c>
      <c r="BE122" s="18">
        <v>-2689.8331022326402</v>
      </c>
      <c r="BF122" s="19">
        <v>3.6507898148774301E-3</v>
      </c>
      <c r="BG122" s="18"/>
      <c r="BH122" s="19"/>
    </row>
    <row r="123" spans="1:60" x14ac:dyDescent="0.15">
      <c r="A123" s="17">
        <v>2007</v>
      </c>
      <c r="B123" s="17">
        <v>4</v>
      </c>
      <c r="C123" s="18">
        <v>152913.15813650301</v>
      </c>
      <c r="D123" s="19">
        <v>1.1837832954301899E-2</v>
      </c>
      <c r="E123" s="18">
        <v>147227.42597378901</v>
      </c>
      <c r="F123" s="19">
        <v>1.2255826365531901E-2</v>
      </c>
      <c r="G123" s="18">
        <v>1198.5178530102401</v>
      </c>
      <c r="H123" s="19">
        <v>2.0364585691858401E-2</v>
      </c>
      <c r="I123" s="18">
        <v>156.96925633282601</v>
      </c>
      <c r="J123" s="19">
        <v>2.1071320475914299E-2</v>
      </c>
      <c r="K123" s="18">
        <v>29801.050699712501</v>
      </c>
      <c r="L123" s="19">
        <v>1.07772281282437E-2</v>
      </c>
      <c r="M123" s="18">
        <v>7872.9786131235596</v>
      </c>
      <c r="N123" s="19">
        <v>-2.16872205936758E-3</v>
      </c>
      <c r="O123" s="18">
        <v>21928.072086589</v>
      </c>
      <c r="P123" s="19">
        <v>1.5507636488127301E-2</v>
      </c>
      <c r="Q123" s="18">
        <v>2270.3502505605902</v>
      </c>
      <c r="R123" s="19">
        <v>-4.2652960970672497E-2</v>
      </c>
      <c r="S123" s="18">
        <v>861.63469958299595</v>
      </c>
      <c r="T123" s="19">
        <v>-2.11963443634379E-2</v>
      </c>
      <c r="U123" s="18">
        <v>6558.0397367917503</v>
      </c>
      <c r="V123" s="19">
        <v>2.1944615685332899E-2</v>
      </c>
      <c r="W123" s="18">
        <v>25609.660083363699</v>
      </c>
      <c r="X123" s="19">
        <v>2.70533649915345E-2</v>
      </c>
      <c r="Y123" s="18">
        <v>6304.4502550944799</v>
      </c>
      <c r="Z123" s="19">
        <v>1.6848686785402502E-2</v>
      </c>
      <c r="AA123" s="18">
        <v>5237.1279635119499</v>
      </c>
      <c r="AB123" s="19">
        <v>6.35124731391734E-3</v>
      </c>
      <c r="AC123" s="18">
        <v>3160.42677888054</v>
      </c>
      <c r="AD123" s="19">
        <v>1.6738149926432501E-2</v>
      </c>
      <c r="AE123" s="18">
        <v>6148.4552929593401</v>
      </c>
      <c r="AF123" s="19">
        <v>1.2841539697434399E-2</v>
      </c>
      <c r="AG123" s="18">
        <v>18153.730765511002</v>
      </c>
      <c r="AH123" s="19">
        <v>-6.4339911963710002E-3</v>
      </c>
      <c r="AI123" s="18">
        <v>10211.1600290816</v>
      </c>
      <c r="AJ123" s="19">
        <v>3.6741379461968601E-3</v>
      </c>
      <c r="AK123" s="18">
        <v>6219.6484584750497</v>
      </c>
      <c r="AL123" s="19">
        <v>-2.1858027182563401E-2</v>
      </c>
      <c r="AM123" s="18">
        <v>21805.122283990298</v>
      </c>
      <c r="AN123" s="19">
        <v>1.8454700315141601E-2</v>
      </c>
      <c r="AO123" s="18">
        <v>9004.1614919233907</v>
      </c>
      <c r="AP123" s="19">
        <v>6.4356982271676104E-3</v>
      </c>
      <c r="AQ123" s="18">
        <v>5651.2854430171801</v>
      </c>
      <c r="AR123" s="19">
        <v>2.23155708206326E-2</v>
      </c>
      <c r="AS123" s="18">
        <v>8320.1735601876699</v>
      </c>
      <c r="AT123" s="19">
        <v>1.1513598148928701E-2</v>
      </c>
      <c r="AU123" s="18">
        <v>1018.90845639066</v>
      </c>
      <c r="AV123" s="19">
        <v>-2.9427114882269998E-3</v>
      </c>
      <c r="AW123" s="18">
        <v>1806.54514527522</v>
      </c>
      <c r="AX123" s="19">
        <v>1.01931490893983E-2</v>
      </c>
      <c r="AY123" s="18">
        <v>465.26621278705699</v>
      </c>
      <c r="AZ123" s="19">
        <v>2.3297079659583299E-2</v>
      </c>
      <c r="BA123" s="18">
        <v>5685.7321627138499</v>
      </c>
      <c r="BB123" s="19">
        <v>1.13316205540981E-3</v>
      </c>
      <c r="BC123" s="18">
        <v>8419.2335064979907</v>
      </c>
      <c r="BD123" s="19">
        <v>5.9867401684605701E-3</v>
      </c>
      <c r="BE123" s="18">
        <v>-2733.5013437841499</v>
      </c>
      <c r="BF123" s="19">
        <v>1.6234554298280201E-2</v>
      </c>
      <c r="BG123" s="18"/>
      <c r="BH123" s="19"/>
    </row>
    <row r="124" spans="1:60" x14ac:dyDescent="0.15">
      <c r="A124" s="17">
        <v>2008</v>
      </c>
      <c r="B124" s="17">
        <v>1</v>
      </c>
      <c r="C124" s="18">
        <v>154380.32446066599</v>
      </c>
      <c r="D124" s="19">
        <v>9.5947683119137501E-3</v>
      </c>
      <c r="E124" s="18">
        <v>148592.91146466401</v>
      </c>
      <c r="F124" s="19">
        <v>9.2746679624611302E-3</v>
      </c>
      <c r="G124" s="18">
        <v>1202.09180523944</v>
      </c>
      <c r="H124" s="19">
        <v>2.9819766307384002E-3</v>
      </c>
      <c r="I124" s="18">
        <v>156.973067005644</v>
      </c>
      <c r="J124" s="19">
        <v>2.4276555213420499E-5</v>
      </c>
      <c r="K124" s="18">
        <v>30220.533572332301</v>
      </c>
      <c r="L124" s="19">
        <v>1.4076110162915E-2</v>
      </c>
      <c r="M124" s="18">
        <v>8019.1478485698999</v>
      </c>
      <c r="N124" s="19">
        <v>1.85659383352932E-2</v>
      </c>
      <c r="O124" s="18">
        <v>22201.3857237624</v>
      </c>
      <c r="P124" s="19">
        <v>1.2464097896713201E-2</v>
      </c>
      <c r="Q124" s="18">
        <v>2256.9330784720601</v>
      </c>
      <c r="R124" s="19">
        <v>-5.9097366519601504E-3</v>
      </c>
      <c r="S124" s="18">
        <v>872.30469403561096</v>
      </c>
      <c r="T124" s="19">
        <v>1.23834316999758E-2</v>
      </c>
      <c r="U124" s="18">
        <v>6640.7149085814599</v>
      </c>
      <c r="V124" s="19">
        <v>1.26066896676287E-2</v>
      </c>
      <c r="W124" s="18">
        <v>26601.683984356201</v>
      </c>
      <c r="X124" s="19">
        <v>3.8736316599410098E-2</v>
      </c>
      <c r="Y124" s="18">
        <v>6407.3442450242901</v>
      </c>
      <c r="Z124" s="19">
        <v>1.6320850473308099E-2</v>
      </c>
      <c r="AA124" s="18">
        <v>5434.6091293110303</v>
      </c>
      <c r="AB124" s="19">
        <v>3.7707913034580098E-2</v>
      </c>
      <c r="AC124" s="18">
        <v>3208.0022009060999</v>
      </c>
      <c r="AD124" s="19">
        <v>1.5053480227251699E-2</v>
      </c>
      <c r="AE124" s="18">
        <v>6239.6474331887102</v>
      </c>
      <c r="AF124" s="19">
        <v>1.48317155910354E-2</v>
      </c>
      <c r="AG124" s="18">
        <v>16814.982044156899</v>
      </c>
      <c r="AH124" s="19">
        <v>-7.3745101689926207E-2</v>
      </c>
      <c r="AI124" s="18">
        <v>9410.0485586189097</v>
      </c>
      <c r="AJ124" s="19">
        <v>-7.8454501563106294E-2</v>
      </c>
      <c r="AK124" s="18">
        <v>5819.0396472136499</v>
      </c>
      <c r="AL124" s="19">
        <v>-6.4410201627315603E-2</v>
      </c>
      <c r="AM124" s="18">
        <v>22245.891745922301</v>
      </c>
      <c r="AN124" s="19">
        <v>2.0214033023590702E-2</v>
      </c>
      <c r="AO124" s="18">
        <v>9158.25334839674</v>
      </c>
      <c r="AP124" s="19">
        <v>1.7113404353260399E-2</v>
      </c>
      <c r="AQ124" s="18">
        <v>5773.6234345057701</v>
      </c>
      <c r="AR124" s="19">
        <v>2.1647816717477401E-2</v>
      </c>
      <c r="AS124" s="18">
        <v>8461.1882301759706</v>
      </c>
      <c r="AT124" s="19">
        <v>1.6948525047969999E-2</v>
      </c>
      <c r="AU124" s="18">
        <v>999.06142971241798</v>
      </c>
      <c r="AV124" s="19">
        <v>-1.94787142591232E-2</v>
      </c>
      <c r="AW124" s="18">
        <v>1827.56864339453</v>
      </c>
      <c r="AX124" s="19">
        <v>1.16374053392969E-2</v>
      </c>
      <c r="AY124" s="18">
        <v>478.84871497056702</v>
      </c>
      <c r="AZ124" s="19">
        <v>2.9192969122230999E-2</v>
      </c>
      <c r="BA124" s="18">
        <v>5787.4129960018499</v>
      </c>
      <c r="BB124" s="19">
        <v>1.7883507414368401E-2</v>
      </c>
      <c r="BC124" s="18">
        <v>8567.0286188399405</v>
      </c>
      <c r="BD124" s="19">
        <v>1.7554461724796699E-2</v>
      </c>
      <c r="BE124" s="18">
        <v>-2779.6156228380801</v>
      </c>
      <c r="BF124" s="19">
        <v>1.68700407478488E-2</v>
      </c>
      <c r="BG124" s="18"/>
      <c r="BH124" s="19"/>
    </row>
    <row r="125" spans="1:60" x14ac:dyDescent="0.15">
      <c r="A125" s="17">
        <v>2008</v>
      </c>
      <c r="B125" s="17">
        <v>2</v>
      </c>
      <c r="C125" s="18">
        <v>156344.340241286</v>
      </c>
      <c r="D125" s="19">
        <v>1.2721930644214801E-2</v>
      </c>
      <c r="E125" s="18">
        <v>150526.37386459101</v>
      </c>
      <c r="F125" s="19">
        <v>1.3011807769760299E-2</v>
      </c>
      <c r="G125" s="18">
        <v>1194.3755442092399</v>
      </c>
      <c r="H125" s="19">
        <v>-6.4190280613897199E-3</v>
      </c>
      <c r="I125" s="18">
        <v>152.128538289223</v>
      </c>
      <c r="J125" s="19">
        <v>-3.0862165139749501E-2</v>
      </c>
      <c r="K125" s="18">
        <v>31359.372359032801</v>
      </c>
      <c r="L125" s="19">
        <v>3.76842713241528E-2</v>
      </c>
      <c r="M125" s="18">
        <v>8192.7831009681395</v>
      </c>
      <c r="N125" s="19">
        <v>2.1652581505802401E-2</v>
      </c>
      <c r="O125" s="18">
        <v>23166.5892580646</v>
      </c>
      <c r="P125" s="19">
        <v>4.3474922976052301E-2</v>
      </c>
      <c r="Q125" s="18">
        <v>2327.37614167126</v>
      </c>
      <c r="R125" s="19">
        <v>3.12118528773087E-2</v>
      </c>
      <c r="S125" s="18">
        <v>1024.6586646860301</v>
      </c>
      <c r="T125" s="19">
        <v>0.17465682770268601</v>
      </c>
      <c r="U125" s="18">
        <v>6610.2832132118401</v>
      </c>
      <c r="V125" s="19">
        <v>-4.5825932581898803E-3</v>
      </c>
      <c r="W125" s="18">
        <v>26931.603980202799</v>
      </c>
      <c r="X125" s="19">
        <v>1.24022222067084E-2</v>
      </c>
      <c r="Y125" s="18">
        <v>6457.37913780695</v>
      </c>
      <c r="Z125" s="19">
        <v>7.8089908812870599E-3</v>
      </c>
      <c r="AA125" s="18">
        <v>5391.6747725708801</v>
      </c>
      <c r="AB125" s="19">
        <v>-7.90017381536956E-3</v>
      </c>
      <c r="AC125" s="18">
        <v>3238.40108943318</v>
      </c>
      <c r="AD125" s="19">
        <v>9.4759562566673096E-3</v>
      </c>
      <c r="AE125" s="18">
        <v>6300.0475158570698</v>
      </c>
      <c r="AF125" s="19">
        <v>9.6800473608629201E-3</v>
      </c>
      <c r="AG125" s="18">
        <v>16087.6092907765</v>
      </c>
      <c r="AH125" s="19">
        <v>-4.3257420761455598E-2</v>
      </c>
      <c r="AI125" s="18">
        <v>8974.4979153888708</v>
      </c>
      <c r="AJ125" s="19">
        <v>-4.6285695606863998E-2</v>
      </c>
      <c r="AK125" s="18">
        <v>5573.0866692440704</v>
      </c>
      <c r="AL125" s="19">
        <v>-4.2266936278282902E-2</v>
      </c>
      <c r="AM125" s="18">
        <v>22811.109113610401</v>
      </c>
      <c r="AN125" s="19">
        <v>2.5407719058581701E-2</v>
      </c>
      <c r="AO125" s="18">
        <v>9260.4641142443706</v>
      </c>
      <c r="AP125" s="19">
        <v>1.11605086646269E-2</v>
      </c>
      <c r="AQ125" s="18">
        <v>5877.5248660553798</v>
      </c>
      <c r="AR125" s="19">
        <v>1.7995879490279001E-2</v>
      </c>
      <c r="AS125" s="18">
        <v>8636.9920356535295</v>
      </c>
      <c r="AT125" s="19">
        <v>2.0777673382867502E-2</v>
      </c>
      <c r="AU125" s="18">
        <v>990.05732673187003</v>
      </c>
      <c r="AV125" s="19">
        <v>-9.0125619033652998E-3</v>
      </c>
      <c r="AW125" s="18">
        <v>1848.99994546947</v>
      </c>
      <c r="AX125" s="19">
        <v>1.1726674208601099E-2</v>
      </c>
      <c r="AY125" s="18">
        <v>483.69535288531199</v>
      </c>
      <c r="AZ125" s="19">
        <v>1.0121438699157499E-2</v>
      </c>
      <c r="BA125" s="18">
        <v>5817.9663766944896</v>
      </c>
      <c r="BB125" s="19">
        <v>5.2792812114408304E-3</v>
      </c>
      <c r="BC125" s="18">
        <v>8620.7196608895392</v>
      </c>
      <c r="BD125" s="19">
        <v>6.2671720194247297E-3</v>
      </c>
      <c r="BE125" s="18">
        <v>-2802.7532841950501</v>
      </c>
      <c r="BF125" s="19">
        <v>8.3240506949440202E-3</v>
      </c>
      <c r="BG125" s="18"/>
      <c r="BH125" s="19"/>
    </row>
    <row r="126" spans="1:60" x14ac:dyDescent="0.15">
      <c r="A126" s="17">
        <v>2008</v>
      </c>
      <c r="B126" s="17">
        <v>3</v>
      </c>
      <c r="C126" s="18">
        <v>156922.42407373799</v>
      </c>
      <c r="D126" s="19">
        <v>3.6975040577771302E-3</v>
      </c>
      <c r="E126" s="18">
        <v>151182.61490983301</v>
      </c>
      <c r="F126" s="19">
        <v>4.3596416255411398E-3</v>
      </c>
      <c r="G126" s="18">
        <v>1217.0416757323701</v>
      </c>
      <c r="H126" s="19">
        <v>1.89773908491522E-2</v>
      </c>
      <c r="I126" s="18">
        <v>149.25562641143401</v>
      </c>
      <c r="J126" s="19">
        <v>-1.8884766199010201E-2</v>
      </c>
      <c r="K126" s="18">
        <v>31204.337643842999</v>
      </c>
      <c r="L126" s="19">
        <v>-4.94380797596206E-3</v>
      </c>
      <c r="M126" s="18">
        <v>8072.2943168909096</v>
      </c>
      <c r="N126" s="19">
        <v>-1.4706697662115201E-2</v>
      </c>
      <c r="O126" s="18">
        <v>23132.043326952102</v>
      </c>
      <c r="P126" s="19">
        <v>-1.4911962536954301E-3</v>
      </c>
      <c r="Q126" s="18">
        <v>2301.5750528120998</v>
      </c>
      <c r="R126" s="19">
        <v>-1.1085912756946001E-2</v>
      </c>
      <c r="S126" s="18">
        <v>967.97327220600698</v>
      </c>
      <c r="T126" s="19">
        <v>-5.5321244462803697E-2</v>
      </c>
      <c r="U126" s="18">
        <v>6662.89396109682</v>
      </c>
      <c r="V126" s="19">
        <v>7.9589249337810308E-3</v>
      </c>
      <c r="W126" s="18">
        <v>27111.585924761399</v>
      </c>
      <c r="X126" s="19">
        <v>6.6829270432933203E-3</v>
      </c>
      <c r="Y126" s="18">
        <v>6527.5339173165803</v>
      </c>
      <c r="Z126" s="19">
        <v>1.0864280695380899E-2</v>
      </c>
      <c r="AA126" s="18">
        <v>5432.9381952406402</v>
      </c>
      <c r="AB126" s="19">
        <v>7.6531735333296201E-3</v>
      </c>
      <c r="AC126" s="18">
        <v>3241.9622677536599</v>
      </c>
      <c r="AD126" s="19">
        <v>1.09967178930015E-3</v>
      </c>
      <c r="AE126" s="18">
        <v>6368.0431639451299</v>
      </c>
      <c r="AF126" s="19">
        <v>1.07928786119351E-2</v>
      </c>
      <c r="AG126" s="18">
        <v>15889.404710057401</v>
      </c>
      <c r="AH126" s="19">
        <v>-1.2320325359511001E-2</v>
      </c>
      <c r="AI126" s="18">
        <v>8939.3599587750195</v>
      </c>
      <c r="AJ126" s="19">
        <v>-3.9153116915421303E-3</v>
      </c>
      <c r="AK126" s="18">
        <v>5460.6784172269199</v>
      </c>
      <c r="AL126" s="19">
        <v>-2.0169837414784099E-2</v>
      </c>
      <c r="AM126" s="18">
        <v>23179.6698917137</v>
      </c>
      <c r="AN126" s="19">
        <v>1.6157074005813898E-2</v>
      </c>
      <c r="AO126" s="18">
        <v>9345.6491976381003</v>
      </c>
      <c r="AP126" s="19">
        <v>9.1987920197973399E-3</v>
      </c>
      <c r="AQ126" s="18">
        <v>5947.3800295197498</v>
      </c>
      <c r="AR126" s="19">
        <v>1.1885132782304899E-2</v>
      </c>
      <c r="AS126" s="18">
        <v>8778.6464024015895</v>
      </c>
      <c r="AT126" s="19">
        <v>1.64008912088041E-2</v>
      </c>
      <c r="AU126" s="18">
        <v>1014.09642070166</v>
      </c>
      <c r="AV126" s="19">
        <v>2.4280507118858999E-2</v>
      </c>
      <c r="AW126" s="18">
        <v>1878.32388476046</v>
      </c>
      <c r="AX126" s="19">
        <v>1.58593510848033E-2</v>
      </c>
      <c r="AY126" s="18">
        <v>491.83758923767698</v>
      </c>
      <c r="AZ126" s="19">
        <v>1.6833397930733601E-2</v>
      </c>
      <c r="BA126" s="18">
        <v>5739.8091639053901</v>
      </c>
      <c r="BB126" s="19">
        <v>-1.3433768387213E-2</v>
      </c>
      <c r="BC126" s="18">
        <v>8589.3593869522392</v>
      </c>
      <c r="BD126" s="19">
        <v>-3.6377791148436401E-3</v>
      </c>
      <c r="BE126" s="18">
        <v>-2849.5502230468501</v>
      </c>
      <c r="BF126" s="19">
        <v>1.6696774245415599E-2</v>
      </c>
      <c r="BG126" s="18"/>
      <c r="BH126" s="19"/>
    </row>
    <row r="127" spans="1:60" x14ac:dyDescent="0.15">
      <c r="A127" s="17">
        <v>2008</v>
      </c>
      <c r="B127" s="17">
        <v>4</v>
      </c>
      <c r="C127" s="18">
        <v>154260.25950261101</v>
      </c>
      <c r="D127" s="19">
        <v>-1.6964844806858E-2</v>
      </c>
      <c r="E127" s="18">
        <v>148815.99642479501</v>
      </c>
      <c r="F127" s="19">
        <v>-1.56540385708334E-2</v>
      </c>
      <c r="G127" s="18">
        <v>1253.4047980627099</v>
      </c>
      <c r="H127" s="19">
        <v>2.9878288521597102E-2</v>
      </c>
      <c r="I127" s="18">
        <v>154.36191831435701</v>
      </c>
      <c r="J127" s="19">
        <v>3.4211721364844502E-2</v>
      </c>
      <c r="K127" s="18">
        <v>29482.432358418399</v>
      </c>
      <c r="L127" s="19">
        <v>-5.5181600233849798E-2</v>
      </c>
      <c r="M127" s="18">
        <v>7651.6352645286697</v>
      </c>
      <c r="N127" s="19">
        <v>-5.2111461233770098E-2</v>
      </c>
      <c r="O127" s="18">
        <v>21830.797093889702</v>
      </c>
      <c r="P127" s="19">
        <v>-5.6252974052933599E-2</v>
      </c>
      <c r="Q127" s="18">
        <v>2649.6239611818</v>
      </c>
      <c r="R127" s="19">
        <v>0.151222054629265</v>
      </c>
      <c r="S127" s="18">
        <v>807.78042696558896</v>
      </c>
      <c r="T127" s="19">
        <v>-0.16549304597568101</v>
      </c>
      <c r="U127" s="18">
        <v>6667.82750988718</v>
      </c>
      <c r="V127" s="19">
        <v>7.4045134429012705E-4</v>
      </c>
      <c r="W127" s="18">
        <v>26411.720261975501</v>
      </c>
      <c r="X127" s="19">
        <v>-2.5814264968789798E-2</v>
      </c>
      <c r="Y127" s="18">
        <v>6480.42993302984</v>
      </c>
      <c r="Z127" s="19">
        <v>-7.2161990858108397E-3</v>
      </c>
      <c r="AA127" s="18">
        <v>5359.5371368003098</v>
      </c>
      <c r="AB127" s="19">
        <v>-1.3510379798657201E-2</v>
      </c>
      <c r="AC127" s="18">
        <v>3263.0076059360699</v>
      </c>
      <c r="AD127" s="19">
        <v>6.4915432211323197E-3</v>
      </c>
      <c r="AE127" s="18">
        <v>6303.2213893171902</v>
      </c>
      <c r="AF127" s="19">
        <v>-1.0179229782071799E-2</v>
      </c>
      <c r="AG127" s="18">
        <v>15367.426950749699</v>
      </c>
      <c r="AH127" s="19">
        <v>-3.2850680615949798E-2</v>
      </c>
      <c r="AI127" s="18">
        <v>8521.6631112388895</v>
      </c>
      <c r="AJ127" s="19">
        <v>-4.6725587677685997E-2</v>
      </c>
      <c r="AK127" s="18">
        <v>5471.7690676624698</v>
      </c>
      <c r="AL127" s="19">
        <v>2.0310023019423102E-3</v>
      </c>
      <c r="AM127" s="18">
        <v>23290.1769337359</v>
      </c>
      <c r="AN127" s="19">
        <v>4.7674122426457598E-3</v>
      </c>
      <c r="AO127" s="18">
        <v>9448.75625981542</v>
      </c>
      <c r="AP127" s="19">
        <v>1.10326270542427E-2</v>
      </c>
      <c r="AQ127" s="18">
        <v>6042.8400200196002</v>
      </c>
      <c r="AR127" s="19">
        <v>1.6050763533864702E-2</v>
      </c>
      <c r="AS127" s="18">
        <v>8862.0678533522696</v>
      </c>
      <c r="AT127" s="19">
        <v>9.5027692342020097E-3</v>
      </c>
      <c r="AU127" s="18">
        <v>1061.1254181440199</v>
      </c>
      <c r="AV127" s="19">
        <v>4.6375272096729002E-2</v>
      </c>
      <c r="AW127" s="18">
        <v>1895.5746550563799</v>
      </c>
      <c r="AX127" s="19">
        <v>9.1841297637145197E-3</v>
      </c>
      <c r="AY127" s="18">
        <v>495.11096706242199</v>
      </c>
      <c r="AZ127" s="19">
        <v>6.6554039308348604E-3</v>
      </c>
      <c r="BA127" s="18">
        <v>5444.2630778165203</v>
      </c>
      <c r="BB127" s="19">
        <v>-5.1490577064373801E-2</v>
      </c>
      <c r="BC127" s="18">
        <v>8348.3334103165398</v>
      </c>
      <c r="BD127" s="19">
        <v>-2.8060995678190499E-2</v>
      </c>
      <c r="BE127" s="18">
        <v>-2904.07033250002</v>
      </c>
      <c r="BF127" s="19">
        <v>1.9132882450087599E-2</v>
      </c>
      <c r="BG127" s="18"/>
      <c r="BH127" s="19"/>
    </row>
    <row r="128" spans="1:60" x14ac:dyDescent="0.15">
      <c r="A128" s="17">
        <v>2009</v>
      </c>
      <c r="B128" s="17">
        <v>1</v>
      </c>
      <c r="C128" s="18">
        <v>151893.05671571</v>
      </c>
      <c r="D128" s="19">
        <v>-1.5345512801121799E-2</v>
      </c>
      <c r="E128" s="18">
        <v>146618.17913367899</v>
      </c>
      <c r="F128" s="19">
        <v>-1.47686898177385E-2</v>
      </c>
      <c r="G128" s="18">
        <v>1210.0537934812501</v>
      </c>
      <c r="H128" s="19">
        <v>-3.4586595366849597E-2</v>
      </c>
      <c r="I128" s="18">
        <v>159.01054405009799</v>
      </c>
      <c r="J128" s="19">
        <v>3.01151073172947E-2</v>
      </c>
      <c r="K128" s="18">
        <v>27808.4550894405</v>
      </c>
      <c r="L128" s="19">
        <v>-5.6778804700620703E-2</v>
      </c>
      <c r="M128" s="18">
        <v>7617.3548055691099</v>
      </c>
      <c r="N128" s="19">
        <v>-4.4801480695863E-3</v>
      </c>
      <c r="O128" s="18">
        <v>20191.100283871401</v>
      </c>
      <c r="P128" s="19">
        <v>-7.5109342227237294E-2</v>
      </c>
      <c r="Q128" s="18">
        <v>2801.0795390295002</v>
      </c>
      <c r="R128" s="19">
        <v>5.7161159495304502E-2</v>
      </c>
      <c r="S128" s="18">
        <v>783.20934523858898</v>
      </c>
      <c r="T128" s="19">
        <v>-3.0418020673391201E-2</v>
      </c>
      <c r="U128" s="18">
        <v>6649.3745226282199</v>
      </c>
      <c r="V128" s="19">
        <v>-2.7674661996869299E-3</v>
      </c>
      <c r="W128" s="18">
        <v>25680.8218268653</v>
      </c>
      <c r="X128" s="19">
        <v>-2.7673261259033601E-2</v>
      </c>
      <c r="Y128" s="18">
        <v>6494.9506639244501</v>
      </c>
      <c r="Z128" s="19">
        <v>2.2407048675270299E-3</v>
      </c>
      <c r="AA128" s="18">
        <v>5323.4186645247801</v>
      </c>
      <c r="AB128" s="19">
        <v>-6.7391029026605499E-3</v>
      </c>
      <c r="AC128" s="18">
        <v>3188.2286677431298</v>
      </c>
      <c r="AD128" s="19">
        <v>-2.29171816997592E-2</v>
      </c>
      <c r="AE128" s="18">
        <v>6315.2762751371802</v>
      </c>
      <c r="AF128" s="19">
        <v>1.91249601996013E-3</v>
      </c>
      <c r="AG128" s="18">
        <v>15098.1459853008</v>
      </c>
      <c r="AH128" s="19">
        <v>-1.7522840115778999E-2</v>
      </c>
      <c r="AI128" s="18">
        <v>8189.94883928539</v>
      </c>
      <c r="AJ128" s="19">
        <v>-3.8926001605955197E-2</v>
      </c>
      <c r="AK128" s="18">
        <v>5608.4373561351204</v>
      </c>
      <c r="AL128" s="19">
        <v>2.4976984003279599E-2</v>
      </c>
      <c r="AM128" s="18">
        <v>23447.4305071079</v>
      </c>
      <c r="AN128" s="19">
        <v>6.7519269526974401E-3</v>
      </c>
      <c r="AO128" s="18">
        <v>9581.2217062543205</v>
      </c>
      <c r="AP128" s="19">
        <v>1.4019352684782301E-2</v>
      </c>
      <c r="AQ128" s="18">
        <v>6135.8789608893003</v>
      </c>
      <c r="AR128" s="19">
        <v>1.5396558664712E-2</v>
      </c>
      <c r="AS128" s="18">
        <v>8947.2159153563098</v>
      </c>
      <c r="AT128" s="19">
        <v>9.60814828018197E-3</v>
      </c>
      <c r="AU128" s="18">
        <v>1089.49945244894</v>
      </c>
      <c r="AV128" s="19">
        <v>2.67395670858122E-2</v>
      </c>
      <c r="AW128" s="18">
        <v>1912.56166294372</v>
      </c>
      <c r="AX128" s="19">
        <v>8.9614027292588307E-3</v>
      </c>
      <c r="AY128" s="18">
        <v>487.29667523952401</v>
      </c>
      <c r="AZ128" s="19">
        <v>-1.5782909979276401E-2</v>
      </c>
      <c r="BA128" s="18">
        <v>5274.8775820301498</v>
      </c>
      <c r="BB128" s="19">
        <v>-3.1112658107311699E-2</v>
      </c>
      <c r="BC128" s="18">
        <v>8241.3602586833895</v>
      </c>
      <c r="BD128" s="19">
        <v>-1.28137133934967E-2</v>
      </c>
      <c r="BE128" s="18">
        <v>-2966.4826766532401</v>
      </c>
      <c r="BF128" s="19">
        <v>2.1491333544765699E-2</v>
      </c>
      <c r="BG128" s="18"/>
      <c r="BH128" s="19"/>
    </row>
    <row r="129" spans="1:60" x14ac:dyDescent="0.15">
      <c r="A129" s="17">
        <v>2009</v>
      </c>
      <c r="B129" s="17">
        <v>2</v>
      </c>
      <c r="C129" s="18">
        <v>152409.48003902601</v>
      </c>
      <c r="D129" s="19">
        <v>3.3999139557983099E-3</v>
      </c>
      <c r="E129" s="18">
        <v>147204.619002953</v>
      </c>
      <c r="F129" s="19">
        <v>3.9997759673391399E-3</v>
      </c>
      <c r="G129" s="18">
        <v>1126.4408177549201</v>
      </c>
      <c r="H129" s="19">
        <v>-6.9098560887761007E-2</v>
      </c>
      <c r="I129" s="18">
        <v>164.40923825388299</v>
      </c>
      <c r="J129" s="19">
        <v>3.39518000899608E-2</v>
      </c>
      <c r="K129" s="18">
        <v>27737.5025627863</v>
      </c>
      <c r="L129" s="19">
        <v>-2.5514731554133799E-3</v>
      </c>
      <c r="M129" s="18">
        <v>7840.7058644349299</v>
      </c>
      <c r="N129" s="19">
        <v>2.9321341143584902E-2</v>
      </c>
      <c r="O129" s="18">
        <v>19896.7966983513</v>
      </c>
      <c r="P129" s="19">
        <v>-1.4575906284569199E-2</v>
      </c>
      <c r="Q129" s="18">
        <v>2712.2412737363102</v>
      </c>
      <c r="R129" s="19">
        <v>-3.1715723904066503E-2</v>
      </c>
      <c r="S129" s="18">
        <v>778.87296320066105</v>
      </c>
      <c r="T129" s="19">
        <v>-5.5366832179546402E-3</v>
      </c>
      <c r="U129" s="18">
        <v>6678.2656460052103</v>
      </c>
      <c r="V129" s="19">
        <v>4.3449385019094199E-3</v>
      </c>
      <c r="W129" s="18">
        <v>25744.513522901201</v>
      </c>
      <c r="X129" s="19">
        <v>2.4801268614076401E-3</v>
      </c>
      <c r="Y129" s="18">
        <v>6533.41762533784</v>
      </c>
      <c r="Z129" s="19">
        <v>5.9225948592727101E-3</v>
      </c>
      <c r="AA129" s="18">
        <v>5354.27434705204</v>
      </c>
      <c r="AB129" s="19">
        <v>5.7962156410655804E-3</v>
      </c>
      <c r="AC129" s="18">
        <v>3124.5494977154599</v>
      </c>
      <c r="AD129" s="19">
        <v>-1.99732129228831E-2</v>
      </c>
      <c r="AE129" s="18">
        <v>6347.3789461857596</v>
      </c>
      <c r="AF129" s="19">
        <v>5.0833359697923797E-3</v>
      </c>
      <c r="AG129" s="18">
        <v>15434.025872587799</v>
      </c>
      <c r="AH129" s="19">
        <v>2.2246432615898201E-2</v>
      </c>
      <c r="AI129" s="18">
        <v>8460.0491476354691</v>
      </c>
      <c r="AJ129" s="19">
        <v>3.2979486642757697E-2</v>
      </c>
      <c r="AK129" s="18">
        <v>5672.3393511069298</v>
      </c>
      <c r="AL129" s="19">
        <v>1.13939036694253E-2</v>
      </c>
      <c r="AM129" s="18">
        <v>23557.688131201801</v>
      </c>
      <c r="AN129" s="19">
        <v>4.7023329085249498E-3</v>
      </c>
      <c r="AO129" s="18">
        <v>9677.5451430458706</v>
      </c>
      <c r="AP129" s="19">
        <v>1.00533564241259E-2</v>
      </c>
      <c r="AQ129" s="18">
        <v>6181.5818282745204</v>
      </c>
      <c r="AR129" s="19">
        <v>7.4484629955275904E-3</v>
      </c>
      <c r="AS129" s="18">
        <v>9031.2329497712199</v>
      </c>
      <c r="AT129" s="19">
        <v>9.3902991958325598E-3</v>
      </c>
      <c r="AU129" s="18">
        <v>1143.5518131440799</v>
      </c>
      <c r="AV129" s="19">
        <v>4.9612104506927497E-2</v>
      </c>
      <c r="AW129" s="18">
        <v>1928.61005004969</v>
      </c>
      <c r="AX129" s="19">
        <v>8.3910429749372E-3</v>
      </c>
      <c r="AY129" s="18">
        <v>481.93439928668101</v>
      </c>
      <c r="AZ129" s="19">
        <v>-1.10041299793526E-2</v>
      </c>
      <c r="BA129" s="18">
        <v>5204.8610360728599</v>
      </c>
      <c r="BB129" s="19">
        <v>-1.3273586897224E-2</v>
      </c>
      <c r="BC129" s="18">
        <v>8219.8474676882306</v>
      </c>
      <c r="BD129" s="19">
        <v>-2.6103446906711198E-3</v>
      </c>
      <c r="BE129" s="18">
        <v>-3014.9864316153798</v>
      </c>
      <c r="BF129" s="19">
        <v>1.6350594373554898E-2</v>
      </c>
      <c r="BG129" s="18"/>
      <c r="BH129" s="19"/>
    </row>
    <row r="130" spans="1:60" x14ac:dyDescent="0.15">
      <c r="A130" s="17">
        <v>2009</v>
      </c>
      <c r="B130" s="17">
        <v>3</v>
      </c>
      <c r="C130" s="18">
        <v>154213.542304737</v>
      </c>
      <c r="D130" s="19">
        <v>1.18369425920779E-2</v>
      </c>
      <c r="E130" s="18">
        <v>148885.932117936</v>
      </c>
      <c r="F130" s="19">
        <v>1.1421605696684701E-2</v>
      </c>
      <c r="G130" s="18">
        <v>1061.68438455571</v>
      </c>
      <c r="H130" s="19">
        <v>-5.7487647978053003E-2</v>
      </c>
      <c r="I130" s="18">
        <v>165.71976423498199</v>
      </c>
      <c r="J130" s="19">
        <v>7.97112130083533E-3</v>
      </c>
      <c r="K130" s="18">
        <v>28266.768497031</v>
      </c>
      <c r="L130" s="19">
        <v>1.90812396698909E-2</v>
      </c>
      <c r="M130" s="18">
        <v>8068.6455785592298</v>
      </c>
      <c r="N130" s="19">
        <v>2.9071325728238701E-2</v>
      </c>
      <c r="O130" s="18">
        <v>20198.122918471799</v>
      </c>
      <c r="P130" s="19">
        <v>1.5144458914102999E-2</v>
      </c>
      <c r="Q130" s="18">
        <v>2469.3347084869501</v>
      </c>
      <c r="R130" s="19">
        <v>-8.9559349900585006E-2</v>
      </c>
      <c r="S130" s="18">
        <v>797.76233313020703</v>
      </c>
      <c r="T130" s="19">
        <v>2.4252183375222901E-2</v>
      </c>
      <c r="U130" s="18">
        <v>6824.7892008824701</v>
      </c>
      <c r="V130" s="19">
        <v>2.1940360363608601E-2</v>
      </c>
      <c r="W130" s="18">
        <v>26027.8808030439</v>
      </c>
      <c r="X130" s="19">
        <v>1.1006899776554399E-2</v>
      </c>
      <c r="Y130" s="18">
        <v>6556.4610523319498</v>
      </c>
      <c r="Z130" s="19">
        <v>3.52700964725527E-3</v>
      </c>
      <c r="AA130" s="18">
        <v>5353.8331622074102</v>
      </c>
      <c r="AB130" s="19">
        <v>-8.2398625103063895E-5</v>
      </c>
      <c r="AC130" s="18">
        <v>3201.1008228178198</v>
      </c>
      <c r="AD130" s="19">
        <v>2.4499955964318001E-2</v>
      </c>
      <c r="AE130" s="18">
        <v>6413.9432408789198</v>
      </c>
      <c r="AF130" s="19">
        <v>1.0486894710005201E-2</v>
      </c>
      <c r="AG130" s="18">
        <v>15975.301703932801</v>
      </c>
      <c r="AH130" s="19">
        <v>3.5070294414000697E-2</v>
      </c>
      <c r="AI130" s="18">
        <v>8951.0258020910496</v>
      </c>
      <c r="AJ130" s="19">
        <v>5.8034728390769001E-2</v>
      </c>
      <c r="AK130" s="18">
        <v>5667.7278228509003</v>
      </c>
      <c r="AL130" s="19">
        <v>-8.1298525539086298E-4</v>
      </c>
      <c r="AM130" s="18">
        <v>23603.286353376399</v>
      </c>
      <c r="AN130" s="19">
        <v>1.9355983456697001E-3</v>
      </c>
      <c r="AO130" s="18">
        <v>9814.1522822957795</v>
      </c>
      <c r="AP130" s="19">
        <v>1.4115887575898199E-2</v>
      </c>
      <c r="AQ130" s="18">
        <v>6237.1252157878998</v>
      </c>
      <c r="AR130" s="19">
        <v>8.9853032858544495E-3</v>
      </c>
      <c r="AS130" s="18">
        <v>9117.6784817913594</v>
      </c>
      <c r="AT130" s="19">
        <v>9.5718416855063992E-3</v>
      </c>
      <c r="AU130" s="18">
        <v>1140.4677236135699</v>
      </c>
      <c r="AV130" s="19">
        <v>-2.69693904120505E-3</v>
      </c>
      <c r="AW130" s="18">
        <v>1929.4889794062899</v>
      </c>
      <c r="AX130" s="19">
        <v>4.5573202139492802E-4</v>
      </c>
      <c r="AY130" s="18">
        <v>485.61446046239797</v>
      </c>
      <c r="AZ130" s="19">
        <v>7.6360209629433599E-3</v>
      </c>
      <c r="BA130" s="18">
        <v>5327.6101868007599</v>
      </c>
      <c r="BB130" s="19">
        <v>2.3583559652635901E-2</v>
      </c>
      <c r="BC130" s="18">
        <v>8363.6156124336994</v>
      </c>
      <c r="BD130" s="19">
        <v>1.7490366495316299E-2</v>
      </c>
      <c r="BE130" s="18">
        <v>-3036.0054256329399</v>
      </c>
      <c r="BF130" s="19">
        <v>6.9715053431595999E-3</v>
      </c>
      <c r="BG130" s="18"/>
      <c r="BH130" s="19"/>
    </row>
    <row r="131" spans="1:60" x14ac:dyDescent="0.15">
      <c r="A131" s="17">
        <v>2009</v>
      </c>
      <c r="B131" s="17">
        <v>4</v>
      </c>
      <c r="C131" s="18">
        <v>155351.35479237299</v>
      </c>
      <c r="D131" s="19">
        <v>7.3781619346229297E-3</v>
      </c>
      <c r="E131" s="18">
        <v>149878.60180444099</v>
      </c>
      <c r="F131" s="19">
        <v>6.6673168672406503E-3</v>
      </c>
      <c r="G131" s="18">
        <v>1026.5535623283899</v>
      </c>
      <c r="H131" s="19">
        <v>-3.3089704189277702E-2</v>
      </c>
      <c r="I131" s="18">
        <v>168.97775942738599</v>
      </c>
      <c r="J131" s="19">
        <v>1.9659665866914401E-2</v>
      </c>
      <c r="K131" s="18">
        <v>28552.414450305201</v>
      </c>
      <c r="L131" s="19">
        <v>1.0105362885900001E-2</v>
      </c>
      <c r="M131" s="18">
        <v>8263.1078793442994</v>
      </c>
      <c r="N131" s="19">
        <v>2.4100984346346398E-2</v>
      </c>
      <c r="O131" s="18">
        <v>20289.3065709609</v>
      </c>
      <c r="P131" s="19">
        <v>4.5144617080112902E-3</v>
      </c>
      <c r="Q131" s="18">
        <v>2250.98740819671</v>
      </c>
      <c r="R131" s="19">
        <v>-8.8423533488511202E-2</v>
      </c>
      <c r="S131" s="18">
        <v>779.24727837063301</v>
      </c>
      <c r="T131" s="19">
        <v>-2.3208735221836401E-2</v>
      </c>
      <c r="U131" s="18">
        <v>6834.4827684512002</v>
      </c>
      <c r="V131" s="19">
        <v>1.4203468097564499E-3</v>
      </c>
      <c r="W131" s="18">
        <v>26973.1376395015</v>
      </c>
      <c r="X131" s="19">
        <v>3.6317087956969203E-2</v>
      </c>
      <c r="Y131" s="18">
        <v>6639.2901488601901</v>
      </c>
      <c r="Z131" s="19">
        <v>1.2633201946465E-2</v>
      </c>
      <c r="AA131" s="18">
        <v>5329.9729572491597</v>
      </c>
      <c r="AB131" s="19">
        <v>-4.4566582923587497E-3</v>
      </c>
      <c r="AC131" s="18">
        <v>3208.3327584451999</v>
      </c>
      <c r="AD131" s="19">
        <v>2.2592027017169802E-3</v>
      </c>
      <c r="AE131" s="18">
        <v>6462.6645231796401</v>
      </c>
      <c r="AF131" s="19">
        <v>7.5961511461781796E-3</v>
      </c>
      <c r="AG131" s="18">
        <v>15676.2912825985</v>
      </c>
      <c r="AH131" s="19">
        <v>-1.87170437764357E-2</v>
      </c>
      <c r="AI131" s="18">
        <v>8686.3385277916404</v>
      </c>
      <c r="AJ131" s="19">
        <v>-2.9570607900334299E-2</v>
      </c>
      <c r="AK131" s="18">
        <v>5596.3614454641702</v>
      </c>
      <c r="AL131" s="19">
        <v>-1.25917086383368E-2</v>
      </c>
      <c r="AM131" s="18">
        <v>23722.9257924224</v>
      </c>
      <c r="AN131" s="19">
        <v>5.0687619196259099E-3</v>
      </c>
      <c r="AO131" s="18">
        <v>9905.8112655069599</v>
      </c>
      <c r="AP131" s="19">
        <v>9.3394702440603404E-3</v>
      </c>
      <c r="AQ131" s="18">
        <v>6257.5551014008797</v>
      </c>
      <c r="AR131" s="19">
        <v>3.27552917508722E-3</v>
      </c>
      <c r="AS131" s="18">
        <v>9207.52670454086</v>
      </c>
      <c r="AT131" s="19">
        <v>9.8542872430671408E-3</v>
      </c>
      <c r="AU131" s="18">
        <v>1127.7369136038201</v>
      </c>
      <c r="AV131" s="19">
        <v>-1.1162797285848699E-2</v>
      </c>
      <c r="AW131" s="18">
        <v>1913.45430936344</v>
      </c>
      <c r="AX131" s="19">
        <v>-8.3103195789058192E-3</v>
      </c>
      <c r="AY131" s="18">
        <v>480.52932954863297</v>
      </c>
      <c r="AZ131" s="19">
        <v>-1.04715393131468E-2</v>
      </c>
      <c r="BA131" s="18">
        <v>5472.7529879321601</v>
      </c>
      <c r="BB131" s="19">
        <v>2.7243509949544099E-2</v>
      </c>
      <c r="BC131" s="18">
        <v>8501.5492237805993</v>
      </c>
      <c r="BD131" s="19">
        <v>1.64921031451815E-2</v>
      </c>
      <c r="BE131" s="18">
        <v>-3028.7962358484501</v>
      </c>
      <c r="BF131" s="19">
        <v>-2.3745641966331798E-3</v>
      </c>
      <c r="BG131" s="18"/>
      <c r="BH131" s="19"/>
    </row>
    <row r="132" spans="1:60" x14ac:dyDescent="0.15">
      <c r="A132" s="17">
        <v>2010</v>
      </c>
      <c r="B132" s="17">
        <v>1</v>
      </c>
      <c r="C132" s="18">
        <v>156955.276294029</v>
      </c>
      <c r="D132" s="19">
        <v>1.03244770784254E-2</v>
      </c>
      <c r="E132" s="18">
        <v>151331.76038208001</v>
      </c>
      <c r="F132" s="19">
        <v>9.6955706828385502E-3</v>
      </c>
      <c r="G132" s="18">
        <v>1057.1794647864499</v>
      </c>
      <c r="H132" s="19">
        <v>2.9833711149566799E-2</v>
      </c>
      <c r="I132" s="18">
        <v>173.53499240835899</v>
      </c>
      <c r="J132" s="19">
        <v>2.69694248309174E-2</v>
      </c>
      <c r="K132" s="18">
        <v>28786.625398391599</v>
      </c>
      <c r="L132" s="19">
        <v>8.2028421272055708E-3</v>
      </c>
      <c r="M132" s="18">
        <v>8314.8326572742699</v>
      </c>
      <c r="N132" s="19">
        <v>6.2597243900526199E-3</v>
      </c>
      <c r="O132" s="18">
        <v>20471.7927411173</v>
      </c>
      <c r="P132" s="19">
        <v>8.9942043863444603E-3</v>
      </c>
      <c r="Q132" s="18">
        <v>2394.5751499058401</v>
      </c>
      <c r="R132" s="19">
        <v>6.3788780508619705E-2</v>
      </c>
      <c r="S132" s="18">
        <v>778.16500834804503</v>
      </c>
      <c r="T132" s="19">
        <v>-1.3888659641536601E-3</v>
      </c>
      <c r="U132" s="18">
        <v>6922.75173567612</v>
      </c>
      <c r="V132" s="19">
        <v>1.2915237365492599E-2</v>
      </c>
      <c r="W132" s="18">
        <v>27786.516171097501</v>
      </c>
      <c r="X132" s="19">
        <v>3.01551322084532E-2</v>
      </c>
      <c r="Y132" s="18">
        <v>6703.7822958130801</v>
      </c>
      <c r="Z132" s="19">
        <v>9.7137111809995104E-3</v>
      </c>
      <c r="AA132" s="18">
        <v>5481.87560952288</v>
      </c>
      <c r="AB132" s="19">
        <v>2.8499704124599599E-2</v>
      </c>
      <c r="AC132" s="18">
        <v>3236.25823666205</v>
      </c>
      <c r="AD132" s="19">
        <v>8.7040467181405106E-3</v>
      </c>
      <c r="AE132" s="18">
        <v>6555.1819601627103</v>
      </c>
      <c r="AF132" s="19">
        <v>1.43156799569641E-2</v>
      </c>
      <c r="AG132" s="18">
        <v>15353.445148357599</v>
      </c>
      <c r="AH132" s="19">
        <v>-2.05945480612011E-2</v>
      </c>
      <c r="AI132" s="18">
        <v>8485.4670829584793</v>
      </c>
      <c r="AJ132" s="19">
        <v>-2.3124984616991501E-2</v>
      </c>
      <c r="AK132" s="18">
        <v>5457.5882165355497</v>
      </c>
      <c r="AL132" s="19">
        <v>-2.4797045416195901E-2</v>
      </c>
      <c r="AM132" s="18">
        <v>24015.789470594202</v>
      </c>
      <c r="AN132" s="19">
        <v>1.23451753267887E-2</v>
      </c>
      <c r="AO132" s="18">
        <v>9911.7956396234695</v>
      </c>
      <c r="AP132" s="19">
        <v>6.0412761318717799E-4</v>
      </c>
      <c r="AQ132" s="18">
        <v>6203.8005621481198</v>
      </c>
      <c r="AR132" s="19">
        <v>-8.5903421354970293E-3</v>
      </c>
      <c r="AS132" s="18">
        <v>9203.5303218368499</v>
      </c>
      <c r="AT132" s="19">
        <v>-4.3403433215594102E-4</v>
      </c>
      <c r="AU132" s="18">
        <v>1073.77174633341</v>
      </c>
      <c r="AV132" s="19">
        <v>-4.7852621138345403E-2</v>
      </c>
      <c r="AW132" s="18">
        <v>1918.2031754413299</v>
      </c>
      <c r="AX132" s="19">
        <v>2.48182883419146E-3</v>
      </c>
      <c r="AY132" s="18">
        <v>478.76059078385703</v>
      </c>
      <c r="AZ132" s="19">
        <v>-3.68081333648851E-3</v>
      </c>
      <c r="BA132" s="18">
        <v>5623.5159119484197</v>
      </c>
      <c r="BB132" s="19">
        <v>2.7547913152430499E-2</v>
      </c>
      <c r="BC132" s="18">
        <v>8617.8526301774</v>
      </c>
      <c r="BD132" s="19">
        <v>1.36802603073176E-2</v>
      </c>
      <c r="BE132" s="18">
        <v>-2994.3367182289799</v>
      </c>
      <c r="BF132" s="19">
        <v>-1.13772980868135E-2</v>
      </c>
      <c r="BG132" s="18"/>
      <c r="BH132" s="19"/>
    </row>
    <row r="133" spans="1:60" x14ac:dyDescent="0.15">
      <c r="A133" s="17">
        <v>2010</v>
      </c>
      <c r="B133" s="17">
        <v>2</v>
      </c>
      <c r="C133" s="18">
        <v>157997.453838065</v>
      </c>
      <c r="D133" s="19">
        <v>6.6399650183417399E-3</v>
      </c>
      <c r="E133" s="18">
        <v>152378.28822450299</v>
      </c>
      <c r="F133" s="19">
        <v>6.9154540975429101E-3</v>
      </c>
      <c r="G133" s="18">
        <v>1054.4492771166299</v>
      </c>
      <c r="H133" s="19">
        <v>-2.5825205282162798E-3</v>
      </c>
      <c r="I133" s="18">
        <v>178.91406079226701</v>
      </c>
      <c r="J133" s="19">
        <v>3.0997024342209498E-2</v>
      </c>
      <c r="K133" s="18">
        <v>28915.4199446862</v>
      </c>
      <c r="L133" s="19">
        <v>4.4741106160286499E-3</v>
      </c>
      <c r="M133" s="18">
        <v>8162.43474840005</v>
      </c>
      <c r="N133" s="19">
        <v>-1.8328439687946101E-2</v>
      </c>
      <c r="O133" s="18">
        <v>20752.985196286099</v>
      </c>
      <c r="P133" s="19">
        <v>1.37356048258552E-2</v>
      </c>
      <c r="Q133" s="18">
        <v>2396.6666990117101</v>
      </c>
      <c r="R133" s="19">
        <v>8.7345310752096105E-4</v>
      </c>
      <c r="S133" s="18">
        <v>849.72035651584395</v>
      </c>
      <c r="T133" s="19">
        <v>9.1953952439602901E-2</v>
      </c>
      <c r="U133" s="18">
        <v>7058.2026173998102</v>
      </c>
      <c r="V133" s="19">
        <v>1.9566046406900298E-2</v>
      </c>
      <c r="W133" s="18">
        <v>28124.671449888199</v>
      </c>
      <c r="X133" s="19">
        <v>1.2169761646565001E-2</v>
      </c>
      <c r="Y133" s="18">
        <v>6694.0757827819498</v>
      </c>
      <c r="Z133" s="19">
        <v>-1.4479159081861601E-3</v>
      </c>
      <c r="AA133" s="18">
        <v>5543.85272384371</v>
      </c>
      <c r="AB133" s="19">
        <v>1.1305822812390801E-2</v>
      </c>
      <c r="AC133" s="18">
        <v>3237.3411914434801</v>
      </c>
      <c r="AD133" s="19">
        <v>3.3463175749082202E-4</v>
      </c>
      <c r="AE133" s="18">
        <v>6524.5178448364204</v>
      </c>
      <c r="AF133" s="19">
        <v>-4.6778435004007904E-3</v>
      </c>
      <c r="AG133" s="18">
        <v>15355.6739080969</v>
      </c>
      <c r="AH133" s="19">
        <v>1.4516349377746701E-4</v>
      </c>
      <c r="AI133" s="18">
        <v>8545.2434867465199</v>
      </c>
      <c r="AJ133" s="19">
        <v>7.0445625684047997E-3</v>
      </c>
      <c r="AK133" s="18">
        <v>5403.2179317579703</v>
      </c>
      <c r="AL133" s="19">
        <v>-9.9623281604208601E-3</v>
      </c>
      <c r="AM133" s="18">
        <v>24218.124365710799</v>
      </c>
      <c r="AN133" s="19">
        <v>8.4250778165886296E-3</v>
      </c>
      <c r="AO133" s="18">
        <v>9970.0528136610392</v>
      </c>
      <c r="AP133" s="19">
        <v>5.8775600462013201E-3</v>
      </c>
      <c r="AQ133" s="18">
        <v>6218.9247704999998</v>
      </c>
      <c r="AR133" s="19">
        <v>2.4378940296942999E-3</v>
      </c>
      <c r="AS133" s="18">
        <v>9277.3686277960896</v>
      </c>
      <c r="AT133" s="19">
        <v>8.0228242182296405E-3</v>
      </c>
      <c r="AU133" s="18">
        <v>1057.08697314193</v>
      </c>
      <c r="AV133" s="19">
        <v>-1.5538472909582801E-2</v>
      </c>
      <c r="AW133" s="18">
        <v>1917.85000176832</v>
      </c>
      <c r="AX133" s="19">
        <v>-1.84116926470135E-4</v>
      </c>
      <c r="AY133" s="18">
        <v>479.45059829387998</v>
      </c>
      <c r="AZ133" s="19">
        <v>1.4412370677649999E-3</v>
      </c>
      <c r="BA133" s="18">
        <v>5619.1656135622297</v>
      </c>
      <c r="BB133" s="19">
        <v>-7.7359048223690796E-4</v>
      </c>
      <c r="BC133" s="18">
        <v>8620.5423438685593</v>
      </c>
      <c r="BD133" s="19">
        <v>3.1210950181970198E-4</v>
      </c>
      <c r="BE133" s="18">
        <v>-3001.37673030633</v>
      </c>
      <c r="BF133" s="19">
        <v>2.3511090234087399E-3</v>
      </c>
      <c r="BG133" s="18"/>
      <c r="BH133" s="19"/>
    </row>
    <row r="134" spans="1:60" x14ac:dyDescent="0.15">
      <c r="A134" s="17">
        <v>2010</v>
      </c>
      <c r="B134" s="17">
        <v>3</v>
      </c>
      <c r="C134" s="18">
        <v>158993.822353928</v>
      </c>
      <c r="D134" s="19">
        <v>6.3062314718311798E-3</v>
      </c>
      <c r="E134" s="18">
        <v>153362.84692018499</v>
      </c>
      <c r="F134" s="19">
        <v>6.4612794063603199E-3</v>
      </c>
      <c r="G134" s="18">
        <v>1044.2680766339599</v>
      </c>
      <c r="H134" s="19">
        <v>-9.6554672696204102E-3</v>
      </c>
      <c r="I134" s="18">
        <v>180.99302500131199</v>
      </c>
      <c r="J134" s="19">
        <v>1.1619903990997899E-2</v>
      </c>
      <c r="K134" s="18">
        <v>29197.021809471</v>
      </c>
      <c r="L134" s="19">
        <v>9.7388129006419407E-3</v>
      </c>
      <c r="M134" s="18">
        <v>7914.6750972522595</v>
      </c>
      <c r="N134" s="19">
        <v>-3.0353645546306599E-2</v>
      </c>
      <c r="O134" s="18">
        <v>21282.346712218699</v>
      </c>
      <c r="P134" s="19">
        <v>2.55077286918373E-2</v>
      </c>
      <c r="Q134" s="18">
        <v>2449.59483461117</v>
      </c>
      <c r="R134" s="19">
        <v>2.2084061843594498E-2</v>
      </c>
      <c r="S134" s="18">
        <v>797.74836892798101</v>
      </c>
      <c r="T134" s="19">
        <v>-6.1163637177019899E-2</v>
      </c>
      <c r="U134" s="18">
        <v>7122.0078409392599</v>
      </c>
      <c r="V134" s="19">
        <v>9.0398685045056694E-3</v>
      </c>
      <c r="W134" s="18">
        <v>28774.0684159009</v>
      </c>
      <c r="X134" s="19">
        <v>2.3089939634309602E-2</v>
      </c>
      <c r="Y134" s="18">
        <v>6731.1253918382199</v>
      </c>
      <c r="Z134" s="19">
        <v>5.5346862298106796E-3</v>
      </c>
      <c r="AA134" s="18">
        <v>5548.6490761924297</v>
      </c>
      <c r="AB134" s="19">
        <v>8.6516590314333897E-4</v>
      </c>
      <c r="AC134" s="18">
        <v>3270.3299487612198</v>
      </c>
      <c r="AD134" s="19">
        <v>1.01900774020789E-2</v>
      </c>
      <c r="AE134" s="18">
        <v>6631.9003933081203</v>
      </c>
      <c r="AF134" s="19">
        <v>1.64583117136681E-2</v>
      </c>
      <c r="AG134" s="18">
        <v>14889.0386138907</v>
      </c>
      <c r="AH134" s="19">
        <v>-3.03884607734561E-2</v>
      </c>
      <c r="AI134" s="18">
        <v>8038.7545041334497</v>
      </c>
      <c r="AJ134" s="19">
        <v>-5.9271451234669099E-2</v>
      </c>
      <c r="AK134" s="18">
        <v>5433.4845307611604</v>
      </c>
      <c r="AL134" s="19">
        <v>5.6015876807951103E-3</v>
      </c>
      <c r="AM134" s="18">
        <v>24336.794153712799</v>
      </c>
      <c r="AN134" s="19">
        <v>4.9000404081653796E-3</v>
      </c>
      <c r="AO134" s="18">
        <v>10059.583228895999</v>
      </c>
      <c r="AP134" s="19">
        <v>8.9799338988794108E-3</v>
      </c>
      <c r="AQ134" s="18">
        <v>6255.9143910496095</v>
      </c>
      <c r="AR134" s="19">
        <v>5.9479125274317602E-3</v>
      </c>
      <c r="AS134" s="18">
        <v>9328.6335169954109</v>
      </c>
      <c r="AT134" s="19">
        <v>5.5258006074827603E-3</v>
      </c>
      <c r="AU134" s="18">
        <v>1058.9877155353299</v>
      </c>
      <c r="AV134" s="19">
        <v>1.79809461443581E-3</v>
      </c>
      <c r="AW134" s="18">
        <v>1939.6727257120899</v>
      </c>
      <c r="AX134" s="19">
        <v>1.1378743866125701E-2</v>
      </c>
      <c r="AY134" s="18">
        <v>477.64078464524601</v>
      </c>
      <c r="AZ134" s="19">
        <v>-3.77476564858559E-3</v>
      </c>
      <c r="BA134" s="18">
        <v>5630.9754337437198</v>
      </c>
      <c r="BB134" s="19">
        <v>2.1017035256951601E-3</v>
      </c>
      <c r="BC134" s="18">
        <v>8659.3027458232791</v>
      </c>
      <c r="BD134" s="19">
        <v>4.4962834597399599E-3</v>
      </c>
      <c r="BE134" s="18">
        <v>-3028.3273120795702</v>
      </c>
      <c r="BF134" s="19">
        <v>8.9794065173831594E-3</v>
      </c>
      <c r="BG134" s="18"/>
      <c r="BH134" s="19"/>
    </row>
    <row r="135" spans="1:60" x14ac:dyDescent="0.15">
      <c r="A135" s="17">
        <v>2010</v>
      </c>
      <c r="B135" s="17">
        <v>4</v>
      </c>
      <c r="C135" s="18">
        <v>160750.614512303</v>
      </c>
      <c r="D135" s="19">
        <v>1.1049436590459E-2</v>
      </c>
      <c r="E135" s="18">
        <v>155093.40203793201</v>
      </c>
      <c r="F135" s="19">
        <v>1.1284057074447899E-2</v>
      </c>
      <c r="G135" s="18">
        <v>1048.6543476501899</v>
      </c>
      <c r="H135" s="19">
        <v>4.2003304653022199E-3</v>
      </c>
      <c r="I135" s="18">
        <v>176.224159821679</v>
      </c>
      <c r="J135" s="19">
        <v>-2.6348336791425699E-2</v>
      </c>
      <c r="K135" s="18">
        <v>29625.845835629701</v>
      </c>
      <c r="L135" s="19">
        <v>1.4687252314877599E-2</v>
      </c>
      <c r="M135" s="18">
        <v>7927.2108386568198</v>
      </c>
      <c r="N135" s="19">
        <v>1.5838605186602199E-3</v>
      </c>
      <c r="O135" s="18">
        <v>21698.634996972902</v>
      </c>
      <c r="P135" s="19">
        <v>1.9560262333059301E-2</v>
      </c>
      <c r="Q135" s="18">
        <v>2603.1893977261698</v>
      </c>
      <c r="R135" s="19">
        <v>6.2702027676090802E-2</v>
      </c>
      <c r="S135" s="18">
        <v>799.94534367749998</v>
      </c>
      <c r="T135" s="19">
        <v>2.7539695912777201E-3</v>
      </c>
      <c r="U135" s="18">
        <v>7271.0022348939201</v>
      </c>
      <c r="V135" s="19">
        <v>2.0920279404664299E-2</v>
      </c>
      <c r="W135" s="18">
        <v>28705.5475935945</v>
      </c>
      <c r="X135" s="19">
        <v>-2.3813393822519299E-3</v>
      </c>
      <c r="Y135" s="18">
        <v>6719.7228649796298</v>
      </c>
      <c r="Z135" s="19">
        <v>-1.69400006608478E-3</v>
      </c>
      <c r="AA135" s="18">
        <v>5660.2169036609703</v>
      </c>
      <c r="AB135" s="19">
        <v>2.01072055443627E-2</v>
      </c>
      <c r="AC135" s="18">
        <v>3271.96472324657</v>
      </c>
      <c r="AD135" s="19">
        <v>4.9988059644090498E-4</v>
      </c>
      <c r="AE135" s="18">
        <v>6747.2751114661496</v>
      </c>
      <c r="AF135" s="19">
        <v>1.7396931696146398E-2</v>
      </c>
      <c r="AG135" s="18">
        <v>15233.510401668</v>
      </c>
      <c r="AH135" s="19">
        <v>2.31359321921536E-2</v>
      </c>
      <c r="AI135" s="18">
        <v>8202.9184481132907</v>
      </c>
      <c r="AJ135" s="19">
        <v>2.04215645465258E-2</v>
      </c>
      <c r="AK135" s="18">
        <v>5555.5649366932603</v>
      </c>
      <c r="AL135" s="19">
        <v>2.2468161129558298E-2</v>
      </c>
      <c r="AM135" s="18">
        <v>24580.8124874401</v>
      </c>
      <c r="AN135" s="19">
        <v>1.0026724645247001E-2</v>
      </c>
      <c r="AO135" s="18">
        <v>10150.344403622599</v>
      </c>
      <c r="AP135" s="19">
        <v>9.0223593424669808E-3</v>
      </c>
      <c r="AQ135" s="18">
        <v>6306.7522134476703</v>
      </c>
      <c r="AR135" s="19">
        <v>8.1263615868523206E-3</v>
      </c>
      <c r="AS135" s="18">
        <v>9398.8001252445993</v>
      </c>
      <c r="AT135" s="19">
        <v>7.5216384180338798E-3</v>
      </c>
      <c r="AU135" s="18">
        <v>1072.9175429181801</v>
      </c>
      <c r="AV135" s="19">
        <v>1.3153908377316E-2</v>
      </c>
      <c r="AW135" s="18">
        <v>1961.8548262387901</v>
      </c>
      <c r="AX135" s="19">
        <v>1.1436001668041E-2</v>
      </c>
      <c r="AY135" s="18">
        <v>478.54438598434302</v>
      </c>
      <c r="AZ135" s="19">
        <v>1.89180105247444E-3</v>
      </c>
      <c r="BA135" s="18">
        <v>5657.2124743710201</v>
      </c>
      <c r="BB135" s="19">
        <v>4.6594130867767501E-3</v>
      </c>
      <c r="BC135" s="18">
        <v>8727.6983831561392</v>
      </c>
      <c r="BD135" s="19">
        <v>7.8985155433966003E-3</v>
      </c>
      <c r="BE135" s="18">
        <v>-3070.48590878512</v>
      </c>
      <c r="BF135" s="19">
        <v>1.3921413493645E-2</v>
      </c>
      <c r="BG135" s="18"/>
      <c r="BH135" s="19"/>
    </row>
    <row r="136" spans="1:60" x14ac:dyDescent="0.15">
      <c r="A136" s="17">
        <v>2011</v>
      </c>
      <c r="B136" s="17">
        <v>1</v>
      </c>
      <c r="C136" s="18">
        <v>161401.19301246101</v>
      </c>
      <c r="D136" s="19">
        <v>4.0471291642130104E-3</v>
      </c>
      <c r="E136" s="18">
        <v>155770.80376629299</v>
      </c>
      <c r="F136" s="19">
        <v>4.3677017813783499E-3</v>
      </c>
      <c r="G136" s="18">
        <v>1108.8207208101001</v>
      </c>
      <c r="H136" s="19">
        <v>5.7374837852657699E-2</v>
      </c>
      <c r="I136" s="18">
        <v>181.95864041709001</v>
      </c>
      <c r="J136" s="19">
        <v>3.2540830957652297E-2</v>
      </c>
      <c r="K136" s="18">
        <v>30171.011462015598</v>
      </c>
      <c r="L136" s="19">
        <v>1.8401689842395801E-2</v>
      </c>
      <c r="M136" s="18">
        <v>7923.5416815119097</v>
      </c>
      <c r="N136" s="19">
        <v>-4.6285600567352902E-4</v>
      </c>
      <c r="O136" s="18">
        <v>22247.469780503699</v>
      </c>
      <c r="P136" s="19">
        <v>2.5293516555643599E-2</v>
      </c>
      <c r="Q136" s="18">
        <v>2346.5603808517699</v>
      </c>
      <c r="R136" s="19">
        <v>-9.8582537674191895E-2</v>
      </c>
      <c r="S136" s="18">
        <v>835.70283001545795</v>
      </c>
      <c r="T136" s="19">
        <v>4.4699911838442997E-2</v>
      </c>
      <c r="U136" s="18">
        <v>7355.4910380900301</v>
      </c>
      <c r="V136" s="19">
        <v>1.16199666107444E-2</v>
      </c>
      <c r="W136" s="18">
        <v>28124.2262400053</v>
      </c>
      <c r="X136" s="19">
        <v>-2.02511849562808E-2</v>
      </c>
      <c r="Y136" s="18">
        <v>6590.3694863000001</v>
      </c>
      <c r="Z136" s="19">
        <v>-1.9249808552933199E-2</v>
      </c>
      <c r="AA136" s="18">
        <v>5703.8089868777997</v>
      </c>
      <c r="AB136" s="19">
        <v>7.7014863491611197E-3</v>
      </c>
      <c r="AC136" s="18">
        <v>3308.7309082534598</v>
      </c>
      <c r="AD136" s="19">
        <v>1.1236730257412101E-2</v>
      </c>
      <c r="AE136" s="18">
        <v>6642.7951540608001</v>
      </c>
      <c r="AF136" s="19">
        <v>-1.5484763208750999E-2</v>
      </c>
      <c r="AG136" s="18">
        <v>15575.582710218199</v>
      </c>
      <c r="AH136" s="19">
        <v>2.2455251582242899E-2</v>
      </c>
      <c r="AI136" s="18">
        <v>8271.3513351401398</v>
      </c>
      <c r="AJ136" s="19">
        <v>8.3425048608880593E-3</v>
      </c>
      <c r="AK136" s="18">
        <v>5785.0836301895997</v>
      </c>
      <c r="AL136" s="19">
        <v>4.1313295067513203E-2</v>
      </c>
      <c r="AM136" s="18">
        <v>24866.7371169209</v>
      </c>
      <c r="AN136" s="19">
        <v>1.1632025167064099E-2</v>
      </c>
      <c r="AO136" s="18">
        <v>10200.3638818073</v>
      </c>
      <c r="AP136" s="19">
        <v>4.9278601982056802E-3</v>
      </c>
      <c r="AQ136" s="18">
        <v>6370.3974414848599</v>
      </c>
      <c r="AR136" s="19">
        <v>1.0091601173339E-2</v>
      </c>
      <c r="AS136" s="18">
        <v>9344.37231634007</v>
      </c>
      <c r="AT136" s="19">
        <v>-5.7909316273624398E-3</v>
      </c>
      <c r="AU136" s="18">
        <v>1173.52494481233</v>
      </c>
      <c r="AV136" s="19">
        <v>9.3769929066970001E-2</v>
      </c>
      <c r="AW136" s="18">
        <v>1986.8366306825701</v>
      </c>
      <c r="AX136" s="19">
        <v>1.27337681206905E-2</v>
      </c>
      <c r="AY136" s="18">
        <v>473.88236262915501</v>
      </c>
      <c r="AZ136" s="19">
        <v>-9.7420918345915205E-3</v>
      </c>
      <c r="BA136" s="18">
        <v>5630.3892461678097</v>
      </c>
      <c r="BB136" s="19">
        <v>-4.7414213845998797E-3</v>
      </c>
      <c r="BC136" s="18">
        <v>8755.2592947701396</v>
      </c>
      <c r="BD136" s="19">
        <v>3.1578671035641399E-3</v>
      </c>
      <c r="BE136" s="18">
        <v>-3124.8700486023299</v>
      </c>
      <c r="BF136" s="19">
        <v>1.77119001463595E-2</v>
      </c>
      <c r="BG136" s="18"/>
      <c r="BH136" s="19"/>
    </row>
    <row r="137" spans="1:60" x14ac:dyDescent="0.15">
      <c r="A137" s="17">
        <v>2011</v>
      </c>
      <c r="B137" s="17">
        <v>2</v>
      </c>
      <c r="C137" s="18">
        <v>162152.682140997</v>
      </c>
      <c r="D137" s="19">
        <v>4.6560320559627701E-3</v>
      </c>
      <c r="E137" s="18">
        <v>156430.741341363</v>
      </c>
      <c r="F137" s="19">
        <v>4.2365935022072899E-3</v>
      </c>
      <c r="G137" s="18">
        <v>1126.4244606228999</v>
      </c>
      <c r="H137" s="19">
        <v>1.58760920340133E-2</v>
      </c>
      <c r="I137" s="18">
        <v>171.807169312094</v>
      </c>
      <c r="J137" s="19">
        <v>-5.5789992064828903E-2</v>
      </c>
      <c r="K137" s="18">
        <v>30467.582407547201</v>
      </c>
      <c r="L137" s="19">
        <v>9.8296653363778592E-3</v>
      </c>
      <c r="M137" s="18">
        <v>7820.7520118514703</v>
      </c>
      <c r="N137" s="19">
        <v>-1.2972692489304299E-2</v>
      </c>
      <c r="O137" s="18">
        <v>22646.830395695699</v>
      </c>
      <c r="P137" s="19">
        <v>1.7950833022011899E-2</v>
      </c>
      <c r="Q137" s="18">
        <v>2226.78453003093</v>
      </c>
      <c r="R137" s="19">
        <v>-5.1043157379724001E-2</v>
      </c>
      <c r="S137" s="18">
        <v>839.09951367219298</v>
      </c>
      <c r="T137" s="19">
        <v>4.06446350872414E-3</v>
      </c>
      <c r="U137" s="18">
        <v>7414.0683800865099</v>
      </c>
      <c r="V137" s="19">
        <v>7.96375683052797E-3</v>
      </c>
      <c r="W137" s="18">
        <v>27745.0214177991</v>
      </c>
      <c r="X137" s="19">
        <v>-1.34832090657417E-2</v>
      </c>
      <c r="Y137" s="18">
        <v>6570.3297193963099</v>
      </c>
      <c r="Z137" s="19">
        <v>-3.0407653084318898E-3</v>
      </c>
      <c r="AA137" s="18">
        <v>5775.0149677523696</v>
      </c>
      <c r="AB137" s="19">
        <v>1.2483935040318099E-2</v>
      </c>
      <c r="AC137" s="18">
        <v>3318.8202325040302</v>
      </c>
      <c r="AD137" s="19">
        <v>3.04930335235243E-3</v>
      </c>
      <c r="AE137" s="18">
        <v>6667.8696551122703</v>
      </c>
      <c r="AF137" s="19">
        <v>3.77469129635011E-3</v>
      </c>
      <c r="AG137" s="18">
        <v>15545.5240135857</v>
      </c>
      <c r="AH137" s="19">
        <v>-1.9298601658575001E-3</v>
      </c>
      <c r="AI137" s="18">
        <v>8062.9892563621197</v>
      </c>
      <c r="AJ137" s="19">
        <v>-2.5190814697086599E-2</v>
      </c>
      <c r="AK137" s="18">
        <v>5951.2274791035697</v>
      </c>
      <c r="AL137" s="19">
        <v>2.8719351272112201E-2</v>
      </c>
      <c r="AM137" s="18">
        <v>25144.8443896233</v>
      </c>
      <c r="AN137" s="19">
        <v>1.11839068951749E-2</v>
      </c>
      <c r="AO137" s="18">
        <v>10306.2422420564</v>
      </c>
      <c r="AP137" s="19">
        <v>1.03798610986754E-2</v>
      </c>
      <c r="AQ137" s="18">
        <v>6429.1255490163603</v>
      </c>
      <c r="AR137" s="19">
        <v>9.2189079364282094E-3</v>
      </c>
      <c r="AS137" s="18">
        <v>9530.2173362486192</v>
      </c>
      <c r="AT137" s="19">
        <v>1.98884433985544E-2</v>
      </c>
      <c r="AU137" s="18">
        <v>1222.8552697171999</v>
      </c>
      <c r="AV137" s="19">
        <v>4.2036025840729699E-2</v>
      </c>
      <c r="AW137" s="18">
        <v>2024.70349316748</v>
      </c>
      <c r="AX137" s="19">
        <v>1.9058870719479599E-2</v>
      </c>
      <c r="AY137" s="18">
        <v>474.73631350796802</v>
      </c>
      <c r="AZ137" s="19">
        <v>1.80203136085222E-3</v>
      </c>
      <c r="BA137" s="18">
        <v>5721.9407996345699</v>
      </c>
      <c r="BB137" s="19">
        <v>1.6260252970799999E-2</v>
      </c>
      <c r="BC137" s="18">
        <v>8925.3995353643604</v>
      </c>
      <c r="BD137" s="19">
        <v>1.9432918531133499E-2</v>
      </c>
      <c r="BE137" s="18">
        <v>-3203.4587357297901</v>
      </c>
      <c r="BF137" s="19">
        <v>2.5149425705753001E-2</v>
      </c>
      <c r="BG137" s="18"/>
      <c r="BH137" s="19"/>
    </row>
    <row r="138" spans="1:60" x14ac:dyDescent="0.15">
      <c r="A138" s="17">
        <v>2011</v>
      </c>
      <c r="B138" s="17">
        <v>3</v>
      </c>
      <c r="C138" s="18">
        <v>161228.73455958001</v>
      </c>
      <c r="D138" s="19">
        <v>-5.6980098584719103E-3</v>
      </c>
      <c r="E138" s="18">
        <v>155632.995804398</v>
      </c>
      <c r="F138" s="19">
        <v>-5.0996724181178203E-3</v>
      </c>
      <c r="G138" s="18">
        <v>1073.84075346905</v>
      </c>
      <c r="H138" s="19">
        <v>-4.6681964918245701E-2</v>
      </c>
      <c r="I138" s="18">
        <v>171.65194862182801</v>
      </c>
      <c r="J138" s="19">
        <v>-9.0345874905450895E-4</v>
      </c>
      <c r="K138" s="18">
        <v>30005.9494823393</v>
      </c>
      <c r="L138" s="19">
        <v>-1.51516099647465E-2</v>
      </c>
      <c r="M138" s="18">
        <v>7511.5182633160903</v>
      </c>
      <c r="N138" s="19">
        <v>-3.9540155226348198E-2</v>
      </c>
      <c r="O138" s="18">
        <v>22494.431219023201</v>
      </c>
      <c r="P138" s="19">
        <v>-6.7293821700324897E-3</v>
      </c>
      <c r="Q138" s="18">
        <v>2420.0515524491898</v>
      </c>
      <c r="R138" s="19">
        <v>8.6791972825306596E-2</v>
      </c>
      <c r="S138" s="18">
        <v>812.60536393636301</v>
      </c>
      <c r="T138" s="19">
        <v>-3.1574502552006903E-2</v>
      </c>
      <c r="U138" s="18">
        <v>7441.6476907402603</v>
      </c>
      <c r="V138" s="19">
        <v>3.7198619219402898E-3</v>
      </c>
      <c r="W138" s="18">
        <v>27026.639729758499</v>
      </c>
      <c r="X138" s="19">
        <v>-2.5892273688414499E-2</v>
      </c>
      <c r="Y138" s="18">
        <v>6464.1086448168098</v>
      </c>
      <c r="Z138" s="19">
        <v>-1.6166779920636299E-2</v>
      </c>
      <c r="AA138" s="18">
        <v>5839.8472944327495</v>
      </c>
      <c r="AB138" s="19">
        <v>1.1226347817694601E-2</v>
      </c>
      <c r="AC138" s="18">
        <v>3254.3195448411002</v>
      </c>
      <c r="AD138" s="19">
        <v>-1.94348241677034E-2</v>
      </c>
      <c r="AE138" s="18">
        <v>6639.1206266357103</v>
      </c>
      <c r="AF138" s="19">
        <v>-4.3115762550206497E-3</v>
      </c>
      <c r="AG138" s="18">
        <v>15422.2490861239</v>
      </c>
      <c r="AH138" s="19">
        <v>-7.9299306574724896E-3</v>
      </c>
      <c r="AI138" s="18">
        <v>7874.1409948676701</v>
      </c>
      <c r="AJ138" s="19">
        <v>-2.3421618892204999E-2</v>
      </c>
      <c r="AK138" s="18">
        <v>6065.1965310637297</v>
      </c>
      <c r="AL138" s="19">
        <v>1.91505117827107E-2</v>
      </c>
      <c r="AM138" s="18">
        <v>25320.191154663298</v>
      </c>
      <c r="AN138" s="19">
        <v>6.9734678935760002E-3</v>
      </c>
      <c r="AO138" s="18">
        <v>10358.242343928199</v>
      </c>
      <c r="AP138" s="19">
        <v>5.0454957927914502E-3</v>
      </c>
      <c r="AQ138" s="18">
        <v>6473.06780203164</v>
      </c>
      <c r="AR138" s="19">
        <v>6.83487243797898E-3</v>
      </c>
      <c r="AS138" s="18">
        <v>9639.3255499121606</v>
      </c>
      <c r="AT138" s="19">
        <v>1.14486595440537E-2</v>
      </c>
      <c r="AU138" s="18">
        <v>1215.72150940447</v>
      </c>
      <c r="AV138" s="19">
        <v>-5.8336914346248702E-3</v>
      </c>
      <c r="AW138" s="18">
        <v>2041.8362619278701</v>
      </c>
      <c r="AX138" s="19">
        <v>8.4618655611585804E-3</v>
      </c>
      <c r="AY138" s="18">
        <v>476.68810918284402</v>
      </c>
      <c r="AZ138" s="19">
        <v>4.1113258441383103E-3</v>
      </c>
      <c r="BA138" s="18">
        <v>5595.7387551818101</v>
      </c>
      <c r="BB138" s="19">
        <v>-2.2055810934084201E-2</v>
      </c>
      <c r="BC138" s="18">
        <v>8873.7388929497902</v>
      </c>
      <c r="BD138" s="19">
        <v>-5.7880481663459297E-3</v>
      </c>
      <c r="BE138" s="18">
        <v>-3278.00013776798</v>
      </c>
      <c r="BF138" s="19">
        <v>2.3269037683174801E-2</v>
      </c>
      <c r="BG138" s="18"/>
      <c r="BH138" s="19"/>
    </row>
    <row r="139" spans="1:60" x14ac:dyDescent="0.15">
      <c r="A139" s="17">
        <v>2011</v>
      </c>
      <c r="B139" s="17">
        <v>4</v>
      </c>
      <c r="C139" s="18">
        <v>161776.775706799</v>
      </c>
      <c r="D139" s="19">
        <v>3.3991530648398399E-3</v>
      </c>
      <c r="E139" s="18">
        <v>156319.11213497899</v>
      </c>
      <c r="F139" s="19">
        <v>4.4085531286883802E-3</v>
      </c>
      <c r="G139" s="18">
        <v>1056.67087717204</v>
      </c>
      <c r="H139" s="19">
        <v>-1.5989220227993699E-2</v>
      </c>
      <c r="I139" s="18">
        <v>170.483718694028</v>
      </c>
      <c r="J139" s="19">
        <v>-6.8058063842553196E-3</v>
      </c>
      <c r="K139" s="18">
        <v>30180.4343072757</v>
      </c>
      <c r="L139" s="19">
        <v>5.8150076217085003E-3</v>
      </c>
      <c r="M139" s="18">
        <v>7820.4850106855101</v>
      </c>
      <c r="N139" s="19">
        <v>4.1132396479460299E-2</v>
      </c>
      <c r="O139" s="18">
        <v>22359.949296590199</v>
      </c>
      <c r="P139" s="19">
        <v>-5.9784540059538696E-3</v>
      </c>
      <c r="Q139" s="18">
        <v>2523.28916498943</v>
      </c>
      <c r="R139" s="19">
        <v>4.2659261715215897E-2</v>
      </c>
      <c r="S139" s="18">
        <v>767.30153295594698</v>
      </c>
      <c r="T139" s="19">
        <v>-5.57513314469869E-2</v>
      </c>
      <c r="U139" s="18">
        <v>7457.4722271544897</v>
      </c>
      <c r="V139" s="19">
        <v>2.1264828801186302E-3</v>
      </c>
      <c r="W139" s="18">
        <v>27141.921309520701</v>
      </c>
      <c r="X139" s="19">
        <v>4.26547957551748E-3</v>
      </c>
      <c r="Y139" s="18">
        <v>6406.5850271045801</v>
      </c>
      <c r="Z139" s="19">
        <v>-8.8989249520670093E-3</v>
      </c>
      <c r="AA139" s="18">
        <v>5781.8784207226399</v>
      </c>
      <c r="AB139" s="19">
        <v>-9.9264365637378206E-3</v>
      </c>
      <c r="AC139" s="18">
        <v>3234.7241846278198</v>
      </c>
      <c r="AD139" s="19">
        <v>-6.0213386986948097E-3</v>
      </c>
      <c r="AE139" s="18">
        <v>6764.70295243081</v>
      </c>
      <c r="AF139" s="19">
        <v>1.8915505961929702E-2</v>
      </c>
      <c r="AG139" s="18">
        <v>15497.4028530544</v>
      </c>
      <c r="AH139" s="19">
        <v>4.8730743817464502E-3</v>
      </c>
      <c r="AI139" s="18">
        <v>7865.0553141524697</v>
      </c>
      <c r="AJ139" s="19">
        <v>-1.15386309708199E-3</v>
      </c>
      <c r="AK139" s="18">
        <v>6134.1514904198002</v>
      </c>
      <c r="AL139" s="19">
        <v>1.1368957131547E-2</v>
      </c>
      <c r="AM139" s="18">
        <v>25398.447736517701</v>
      </c>
      <c r="AN139" s="19">
        <v>3.0906789516855801E-3</v>
      </c>
      <c r="AO139" s="18">
        <v>10367.8191852973</v>
      </c>
      <c r="AP139" s="19">
        <v>9.2456239689653298E-4</v>
      </c>
      <c r="AQ139" s="18">
        <v>6476.9743732602301</v>
      </c>
      <c r="AR139" s="19">
        <v>6.0351155712678995E-4</v>
      </c>
      <c r="AS139" s="18">
        <v>9832.2042052990892</v>
      </c>
      <c r="AT139" s="19">
        <v>2.0009559215342199E-2</v>
      </c>
      <c r="AU139" s="18">
        <v>1133.7269610803601</v>
      </c>
      <c r="AV139" s="19">
        <v>-6.7445173660104704E-2</v>
      </c>
      <c r="AW139" s="18">
        <v>2055.2359124033801</v>
      </c>
      <c r="AX139" s="19">
        <v>6.5625489787595201E-3</v>
      </c>
      <c r="AY139" s="18">
        <v>478.42221252290602</v>
      </c>
      <c r="AZ139" s="19">
        <v>3.6378153905172201E-3</v>
      </c>
      <c r="BA139" s="18">
        <v>5457.6635718196803</v>
      </c>
      <c r="BB139" s="19">
        <v>-2.4675058898034799E-2</v>
      </c>
      <c r="BC139" s="18">
        <v>8811.9294095795904</v>
      </c>
      <c r="BD139" s="19">
        <v>-6.96543859537113E-3</v>
      </c>
      <c r="BE139" s="18">
        <v>-3354.26583775991</v>
      </c>
      <c r="BF139" s="19">
        <v>2.3265923363828399E-2</v>
      </c>
      <c r="BG139" s="18"/>
      <c r="BH139" s="19"/>
    </row>
    <row r="140" spans="1:60" x14ac:dyDescent="0.15">
      <c r="A140" s="17">
        <v>2012</v>
      </c>
      <c r="B140" s="17">
        <v>1</v>
      </c>
      <c r="C140" s="18">
        <v>162567.90604931201</v>
      </c>
      <c r="D140" s="19">
        <v>4.8902590563866298E-3</v>
      </c>
      <c r="E140" s="18">
        <v>157117.89152920901</v>
      </c>
      <c r="F140" s="19">
        <v>5.1099279116948396E-3</v>
      </c>
      <c r="G140" s="18">
        <v>1033.3156122158</v>
      </c>
      <c r="H140" s="19">
        <v>-2.2102686333839099E-2</v>
      </c>
      <c r="I140" s="18">
        <v>165.48802546492399</v>
      </c>
      <c r="J140" s="19">
        <v>-2.93030517363944E-2</v>
      </c>
      <c r="K140" s="18">
        <v>30074.7640148924</v>
      </c>
      <c r="L140" s="19">
        <v>-3.5012846835617002E-3</v>
      </c>
      <c r="M140" s="18">
        <v>7831.4705421552399</v>
      </c>
      <c r="N140" s="19">
        <v>1.4047122978591E-3</v>
      </c>
      <c r="O140" s="18">
        <v>22243.293472737099</v>
      </c>
      <c r="P140" s="19">
        <v>-5.2171774768211597E-3</v>
      </c>
      <c r="Q140" s="18">
        <v>2522.9413915467799</v>
      </c>
      <c r="R140" s="19">
        <v>-1.3782544128337901E-4</v>
      </c>
      <c r="S140" s="18">
        <v>714.45302672549406</v>
      </c>
      <c r="T140" s="19">
        <v>-6.8875799096686494E-2</v>
      </c>
      <c r="U140" s="18">
        <v>7458.0785686392101</v>
      </c>
      <c r="V140" s="19">
        <v>8.1306569605921197E-5</v>
      </c>
      <c r="W140" s="18">
        <v>27513.339087589</v>
      </c>
      <c r="X140" s="19">
        <v>1.36842846839322E-2</v>
      </c>
      <c r="Y140" s="18">
        <v>6467.2193376266996</v>
      </c>
      <c r="Z140" s="19">
        <v>9.4643730264389898E-3</v>
      </c>
      <c r="AA140" s="18">
        <v>5823.0399785687396</v>
      </c>
      <c r="AB140" s="19">
        <v>7.1190631920883297E-3</v>
      </c>
      <c r="AC140" s="18">
        <v>3190.0365972923601</v>
      </c>
      <c r="AD140" s="19">
        <v>-1.3814960653470499E-2</v>
      </c>
      <c r="AE140" s="18">
        <v>6764.3501205257098</v>
      </c>
      <c r="AF140" s="19">
        <v>-5.2157782475581402E-5</v>
      </c>
      <c r="AG140" s="18">
        <v>15681.3050381638</v>
      </c>
      <c r="AH140" s="19">
        <v>1.1866645453638899E-2</v>
      </c>
      <c r="AI140" s="18">
        <v>7996.6659499372099</v>
      </c>
      <c r="AJ140" s="19">
        <v>1.67335931570529E-2</v>
      </c>
      <c r="AK140" s="18">
        <v>6161.7187168210403</v>
      </c>
      <c r="AL140" s="19">
        <v>4.4940569929348096E-3</v>
      </c>
      <c r="AM140" s="18">
        <v>25619.665613259302</v>
      </c>
      <c r="AN140" s="19">
        <v>8.7098975117088102E-3</v>
      </c>
      <c r="AO140" s="18">
        <v>10375.540832615399</v>
      </c>
      <c r="AP140" s="19">
        <v>7.4477063884703697E-4</v>
      </c>
      <c r="AQ140" s="18">
        <v>6480.9792725795796</v>
      </c>
      <c r="AR140" s="19">
        <v>6.1832872704936604E-4</v>
      </c>
      <c r="AS140" s="18">
        <v>10113.9818185617</v>
      </c>
      <c r="AT140" s="19">
        <v>2.8658641275035798E-2</v>
      </c>
      <c r="AU140" s="18">
        <v>1056.0659764193899</v>
      </c>
      <c r="AV140" s="19">
        <v>-6.8500606695425598E-2</v>
      </c>
      <c r="AW140" s="18">
        <v>2037.2162025032101</v>
      </c>
      <c r="AX140" s="19">
        <v>-8.7677087537337793E-3</v>
      </c>
      <c r="AY140" s="18">
        <v>493.33035164607799</v>
      </c>
      <c r="AZ140" s="19">
        <v>3.11610513327873E-2</v>
      </c>
      <c r="BA140" s="18">
        <v>5450.0145201031</v>
      </c>
      <c r="BB140" s="19">
        <v>-1.40152495952217E-3</v>
      </c>
      <c r="BC140" s="18">
        <v>8886.9633582277402</v>
      </c>
      <c r="BD140" s="19">
        <v>8.51504195739183E-3</v>
      </c>
      <c r="BE140" s="18">
        <v>-3436.9488381246301</v>
      </c>
      <c r="BF140" s="19">
        <v>2.4650103588671899E-2</v>
      </c>
      <c r="BG140" s="18"/>
      <c r="BH140" s="19"/>
    </row>
    <row r="141" spans="1:60" x14ac:dyDescent="0.15">
      <c r="A141" s="17">
        <v>2012</v>
      </c>
      <c r="B141" s="17">
        <v>2</v>
      </c>
      <c r="C141" s="18">
        <v>162740.32234657599</v>
      </c>
      <c r="D141" s="19">
        <v>1.06058016895028E-3</v>
      </c>
      <c r="E141" s="18">
        <v>157465.621128967</v>
      </c>
      <c r="F141" s="19">
        <v>2.2131763376753702E-3</v>
      </c>
      <c r="G141" s="18">
        <v>1050.06804711682</v>
      </c>
      <c r="H141" s="19">
        <v>1.6212311807707099E-2</v>
      </c>
      <c r="I141" s="18">
        <v>173.27771508205799</v>
      </c>
      <c r="J141" s="19">
        <v>4.7071016741239799E-2</v>
      </c>
      <c r="K141" s="18">
        <v>29676.962882688</v>
      </c>
      <c r="L141" s="19">
        <v>-1.32270741013079E-2</v>
      </c>
      <c r="M141" s="18">
        <v>7864.6927954789098</v>
      </c>
      <c r="N141" s="19">
        <v>4.2421475181246802E-3</v>
      </c>
      <c r="O141" s="18">
        <v>21812.270087209101</v>
      </c>
      <c r="P141" s="19">
        <v>-1.9377678312624401E-2</v>
      </c>
      <c r="Q141" s="18">
        <v>2516.56823347402</v>
      </c>
      <c r="R141" s="19">
        <v>-2.52608249011177E-3</v>
      </c>
      <c r="S141" s="18">
        <v>685.28708712418404</v>
      </c>
      <c r="T141" s="19">
        <v>-4.08227532256158E-2</v>
      </c>
      <c r="U141" s="18">
        <v>7501.1531106940802</v>
      </c>
      <c r="V141" s="19">
        <v>5.7755548776321497E-3</v>
      </c>
      <c r="W141" s="18">
        <v>27705.573152597801</v>
      </c>
      <c r="X141" s="19">
        <v>6.9869405671469896E-3</v>
      </c>
      <c r="Y141" s="18">
        <v>6409.5851587464904</v>
      </c>
      <c r="Z141" s="19">
        <v>-8.9117402505415298E-3</v>
      </c>
      <c r="AA141" s="18">
        <v>5932.2961219097997</v>
      </c>
      <c r="AB141" s="19">
        <v>1.8762732823949899E-2</v>
      </c>
      <c r="AC141" s="18">
        <v>3175.5668567551102</v>
      </c>
      <c r="AD141" s="19">
        <v>-4.5359167821244998E-3</v>
      </c>
      <c r="AE141" s="18">
        <v>6780.4011043406099</v>
      </c>
      <c r="AF141" s="19">
        <v>2.37287892094673E-3</v>
      </c>
      <c r="AG141" s="18">
        <v>15703.4134655709</v>
      </c>
      <c r="AH141" s="19">
        <v>1.4098588958768601E-3</v>
      </c>
      <c r="AI141" s="18">
        <v>8006.44614118343</v>
      </c>
      <c r="AJ141" s="19">
        <v>1.22303361268905E-3</v>
      </c>
      <c r="AK141" s="18">
        <v>6202.4988761002896</v>
      </c>
      <c r="AL141" s="19">
        <v>6.6183091363638501E-3</v>
      </c>
      <c r="AM141" s="18">
        <v>25718.122213084898</v>
      </c>
      <c r="AN141" s="19">
        <v>3.8430087773924102E-3</v>
      </c>
      <c r="AO141" s="18">
        <v>10424.141058458101</v>
      </c>
      <c r="AP141" s="19">
        <v>4.6841149417395896E-3</v>
      </c>
      <c r="AQ141" s="18">
        <v>6513.5172428107198</v>
      </c>
      <c r="AR141" s="19">
        <v>5.0205329877843798E-3</v>
      </c>
      <c r="AS141" s="18">
        <v>10354.707447336101</v>
      </c>
      <c r="AT141" s="19">
        <v>2.3801271654713602E-2</v>
      </c>
      <c r="AU141" s="18">
        <v>1030.8988265406999</v>
      </c>
      <c r="AV141" s="19">
        <v>-2.38310393864039E-2</v>
      </c>
      <c r="AW141" s="18">
        <v>2025.5564568699999</v>
      </c>
      <c r="AX141" s="19">
        <v>-5.72337173584347E-3</v>
      </c>
      <c r="AY141" s="18">
        <v>498.110106512953</v>
      </c>
      <c r="AZ141" s="19">
        <v>9.6887508561496194E-3</v>
      </c>
      <c r="BA141" s="18">
        <v>5274.7012176087301</v>
      </c>
      <c r="BB141" s="19">
        <v>-3.2167492737442301E-2</v>
      </c>
      <c r="BC141" s="18">
        <v>8773.2910898374903</v>
      </c>
      <c r="BD141" s="19">
        <v>-1.27909009870062E-2</v>
      </c>
      <c r="BE141" s="18">
        <v>-3498.5898722287602</v>
      </c>
      <c r="BF141" s="19">
        <v>1.79348128259493E-2</v>
      </c>
      <c r="BG141" s="18"/>
      <c r="BH141" s="19"/>
    </row>
    <row r="142" spans="1:60" x14ac:dyDescent="0.15">
      <c r="A142" s="17">
        <v>2012</v>
      </c>
      <c r="B142" s="17">
        <v>3</v>
      </c>
      <c r="C142" s="18">
        <v>163980.326221861</v>
      </c>
      <c r="D142" s="19">
        <v>7.6195245124595096E-3</v>
      </c>
      <c r="E142" s="18">
        <v>158790.182430405</v>
      </c>
      <c r="F142" s="19">
        <v>8.4117491293744795E-3</v>
      </c>
      <c r="G142" s="18">
        <v>1024.8897528080499</v>
      </c>
      <c r="H142" s="19">
        <v>-2.3977773990841798E-2</v>
      </c>
      <c r="I142" s="18">
        <v>176.37160508881399</v>
      </c>
      <c r="J142" s="19">
        <v>1.78550946686413E-2</v>
      </c>
      <c r="K142" s="18">
        <v>30084.058219221199</v>
      </c>
      <c r="L142" s="19">
        <v>1.37175538528804E-2</v>
      </c>
      <c r="M142" s="18">
        <v>8155.2020844601702</v>
      </c>
      <c r="N142" s="19">
        <v>3.6938415337501002E-2</v>
      </c>
      <c r="O142" s="18">
        <v>21928.856134761099</v>
      </c>
      <c r="P142" s="19">
        <v>5.3449754237326896E-3</v>
      </c>
      <c r="Q142" s="18">
        <v>2602.0854346020401</v>
      </c>
      <c r="R142" s="19">
        <v>3.39816739282175E-2</v>
      </c>
      <c r="S142" s="18">
        <v>658.13535433339098</v>
      </c>
      <c r="T142" s="19">
        <v>-3.9620960763664698E-2</v>
      </c>
      <c r="U142" s="18">
        <v>7552.4380905195603</v>
      </c>
      <c r="V142" s="19">
        <v>6.8369461426354104E-3</v>
      </c>
      <c r="W142" s="18">
        <v>27893.906063906001</v>
      </c>
      <c r="X142" s="19">
        <v>6.7976544022727596E-3</v>
      </c>
      <c r="Y142" s="18">
        <v>6404.8964979275897</v>
      </c>
      <c r="Z142" s="19">
        <v>-7.3150768774821195E-4</v>
      </c>
      <c r="AA142" s="18">
        <v>5996.2550290823901</v>
      </c>
      <c r="AB142" s="19">
        <v>1.0781475816146E-2</v>
      </c>
      <c r="AC142" s="18">
        <v>3143.4914190996001</v>
      </c>
      <c r="AD142" s="19">
        <v>-1.0100696695232701E-2</v>
      </c>
      <c r="AE142" s="18">
        <v>6826.7751878623303</v>
      </c>
      <c r="AF142" s="19">
        <v>6.8394307074302104E-3</v>
      </c>
      <c r="AG142" s="18">
        <v>15922.2690906277</v>
      </c>
      <c r="AH142" s="19">
        <v>1.3936818611870501E-2</v>
      </c>
      <c r="AI142" s="18">
        <v>8142.0072609975796</v>
      </c>
      <c r="AJ142" s="19">
        <v>1.6931497124154302E-2</v>
      </c>
      <c r="AK142" s="18">
        <v>6254.17900383714</v>
      </c>
      <c r="AL142" s="19">
        <v>8.3321462476988496E-3</v>
      </c>
      <c r="AM142" s="18">
        <v>25854.392793053801</v>
      </c>
      <c r="AN142" s="19">
        <v>5.2986209039642702E-3</v>
      </c>
      <c r="AO142" s="18">
        <v>10463.1697577904</v>
      </c>
      <c r="AP142" s="19">
        <v>3.7440686108738399E-3</v>
      </c>
      <c r="AQ142" s="18">
        <v>6517.6242305456599</v>
      </c>
      <c r="AR142" s="19">
        <v>6.3053302568238901E-4</v>
      </c>
      <c r="AS142" s="18">
        <v>10536.424335596101</v>
      </c>
      <c r="AT142" s="19">
        <v>1.7549205439574101E-2</v>
      </c>
      <c r="AU142" s="18">
        <v>1004.30378740947</v>
      </c>
      <c r="AV142" s="19">
        <v>-2.5797913865589599E-2</v>
      </c>
      <c r="AW142" s="18">
        <v>2036.1718974427699</v>
      </c>
      <c r="AX142" s="19">
        <v>5.2407527505653499E-3</v>
      </c>
      <c r="AY142" s="18">
        <v>497.42038141547101</v>
      </c>
      <c r="AZ142" s="19">
        <v>-1.3846840055319299E-3</v>
      </c>
      <c r="BA142" s="18">
        <v>5190.1437914559401</v>
      </c>
      <c r="BB142" s="19">
        <v>-1.6030751821641001E-2</v>
      </c>
      <c r="BC142" s="18">
        <v>8736.1424947466294</v>
      </c>
      <c r="BD142" s="19">
        <v>-4.2342827464023599E-3</v>
      </c>
      <c r="BE142" s="18">
        <v>-3545.9987032906902</v>
      </c>
      <c r="BF142" s="19">
        <v>1.3550839850721599E-2</v>
      </c>
      <c r="BG142" s="18"/>
      <c r="BH142" s="19"/>
    </row>
    <row r="143" spans="1:60" x14ac:dyDescent="0.15">
      <c r="A143" s="17">
        <v>2012</v>
      </c>
      <c r="B143" s="17">
        <v>4</v>
      </c>
      <c r="C143" s="18">
        <v>164533.35410738399</v>
      </c>
      <c r="D143" s="19">
        <v>3.3725258283405801E-3</v>
      </c>
      <c r="E143" s="18">
        <v>159265.19204653599</v>
      </c>
      <c r="F143" s="19">
        <v>2.9914293746668998E-3</v>
      </c>
      <c r="G143" s="18">
        <v>1038.6834808220499</v>
      </c>
      <c r="H143" s="19">
        <v>1.3458743222100099E-2</v>
      </c>
      <c r="I143" s="18">
        <v>175.516278935419</v>
      </c>
      <c r="J143" s="19">
        <v>-4.8495683472681303E-3</v>
      </c>
      <c r="K143" s="18">
        <v>30197.2207795221</v>
      </c>
      <c r="L143" s="19">
        <v>3.7615457155504299E-3</v>
      </c>
      <c r="M143" s="18">
        <v>8321.6036126409399</v>
      </c>
      <c r="N143" s="19">
        <v>2.0404341481354199E-2</v>
      </c>
      <c r="O143" s="18">
        <v>21875.617166881199</v>
      </c>
      <c r="P143" s="19">
        <v>-2.4278041477734402E-3</v>
      </c>
      <c r="Q143" s="18">
        <v>2642.8053770812999</v>
      </c>
      <c r="R143" s="19">
        <v>1.56489644566493E-2</v>
      </c>
      <c r="S143" s="18">
        <v>662.61695964753005</v>
      </c>
      <c r="T143" s="19">
        <v>6.8095495624580504E-3</v>
      </c>
      <c r="U143" s="18">
        <v>7591.56368878185</v>
      </c>
      <c r="V143" s="19">
        <v>5.18052551948833E-3</v>
      </c>
      <c r="W143" s="18">
        <v>27779.073947458401</v>
      </c>
      <c r="X143" s="19">
        <v>-4.11674564991349E-3</v>
      </c>
      <c r="Y143" s="18">
        <v>6375.9597609709799</v>
      </c>
      <c r="Z143" s="19">
        <v>-4.5179085978947998E-3</v>
      </c>
      <c r="AA143" s="18">
        <v>6002.6935974397902</v>
      </c>
      <c r="AB143" s="19">
        <v>1.0737649293044401E-3</v>
      </c>
      <c r="AC143" s="18">
        <v>3196.16369214015</v>
      </c>
      <c r="AD143" s="19">
        <v>1.6755977993298001E-2</v>
      </c>
      <c r="AE143" s="18">
        <v>6854.8555199166603</v>
      </c>
      <c r="AF143" s="19">
        <v>4.1132645036066097E-3</v>
      </c>
      <c r="AG143" s="18">
        <v>15869.2425091639</v>
      </c>
      <c r="AH143" s="19">
        <v>-3.3303407423886898E-3</v>
      </c>
      <c r="AI143" s="18">
        <v>8008.7287194124801</v>
      </c>
      <c r="AJ143" s="19">
        <v>-1.63692486769864E-2</v>
      </c>
      <c r="AK143" s="18">
        <v>6311.3761886624497</v>
      </c>
      <c r="AL143" s="19">
        <v>9.1454345630692692E-3</v>
      </c>
      <c r="AM143" s="18">
        <v>26003.620733886699</v>
      </c>
      <c r="AN143" s="19">
        <v>5.7718602029186404E-3</v>
      </c>
      <c r="AO143" s="18">
        <v>10484.9024982387</v>
      </c>
      <c r="AP143" s="19">
        <v>2.0770704242942801E-3</v>
      </c>
      <c r="AQ143" s="18">
        <v>6519.7458847750404</v>
      </c>
      <c r="AR143" s="19">
        <v>3.2552570604527098E-4</v>
      </c>
      <c r="AS143" s="18">
        <v>10714.646059561301</v>
      </c>
      <c r="AT143" s="19">
        <v>1.6914820273814701E-2</v>
      </c>
      <c r="AU143" s="18">
        <v>987.10549669074999</v>
      </c>
      <c r="AV143" s="19">
        <v>-1.71245901233508E-2</v>
      </c>
      <c r="AW143" s="18">
        <v>2050.4840351016401</v>
      </c>
      <c r="AX143" s="19">
        <v>7.0289437138608699E-3</v>
      </c>
      <c r="AY143" s="18">
        <v>494.25150737260998</v>
      </c>
      <c r="AZ143" s="19">
        <v>-6.3706156025278302E-3</v>
      </c>
      <c r="BA143" s="18">
        <v>5268.1620608478297</v>
      </c>
      <c r="BB143" s="19">
        <v>1.5032005379181699E-2</v>
      </c>
      <c r="BC143" s="18">
        <v>8847.2948634137501</v>
      </c>
      <c r="BD143" s="19">
        <v>1.27232778922688E-2</v>
      </c>
      <c r="BE143" s="18">
        <v>-3579.13280256592</v>
      </c>
      <c r="BF143" s="19">
        <v>9.3440810467524393E-3</v>
      </c>
      <c r="BG143" s="18"/>
      <c r="BH143" s="19"/>
    </row>
    <row r="144" spans="1:60" x14ac:dyDescent="0.15">
      <c r="A144" s="17">
        <v>2013</v>
      </c>
      <c r="B144" s="17">
        <v>1</v>
      </c>
      <c r="C144" s="18">
        <v>165259.421719946</v>
      </c>
      <c r="D144" s="19">
        <v>4.4128901188560396E-3</v>
      </c>
      <c r="E144" s="18">
        <v>159952.84185435899</v>
      </c>
      <c r="F144" s="19">
        <v>4.31764027649373E-3</v>
      </c>
      <c r="G144" s="18">
        <v>1060.8690878776499</v>
      </c>
      <c r="H144" s="19">
        <v>2.13593529359275E-2</v>
      </c>
      <c r="I144" s="18">
        <v>175.717749787001</v>
      </c>
      <c r="J144" s="19">
        <v>1.14787558626728E-3</v>
      </c>
      <c r="K144" s="18">
        <v>30231.883664487901</v>
      </c>
      <c r="L144" s="19">
        <v>1.1478832843203599E-3</v>
      </c>
      <c r="M144" s="18">
        <v>8373.7231255831994</v>
      </c>
      <c r="N144" s="19">
        <v>6.2631573634535096E-3</v>
      </c>
      <c r="O144" s="18">
        <v>21858.1605389047</v>
      </c>
      <c r="P144" s="19">
        <v>-7.9799476482589305E-4</v>
      </c>
      <c r="Q144" s="18">
        <v>2627.4571491265501</v>
      </c>
      <c r="R144" s="19">
        <v>-5.80755135729971E-3</v>
      </c>
      <c r="S144" s="18">
        <v>683.21033899034796</v>
      </c>
      <c r="T144" s="19">
        <v>3.10788594269789E-2</v>
      </c>
      <c r="U144" s="18">
        <v>7605.3683535681403</v>
      </c>
      <c r="V144" s="19">
        <v>1.81842178399783E-3</v>
      </c>
      <c r="W144" s="18">
        <v>27558.0676041238</v>
      </c>
      <c r="X144" s="19">
        <v>-7.9558571229749707E-3</v>
      </c>
      <c r="Y144" s="18">
        <v>6364.7649903055199</v>
      </c>
      <c r="Z144" s="19">
        <v>-1.7557781236296999E-3</v>
      </c>
      <c r="AA144" s="18">
        <v>5932.9780976908796</v>
      </c>
      <c r="AB144" s="19">
        <v>-1.1614036035196101E-2</v>
      </c>
      <c r="AC144" s="18">
        <v>3212.94176719291</v>
      </c>
      <c r="AD144" s="19">
        <v>5.2494417272877002E-3</v>
      </c>
      <c r="AE144" s="18">
        <v>6997.5446019584497</v>
      </c>
      <c r="AF144" s="19">
        <v>2.0815767980404899E-2</v>
      </c>
      <c r="AG144" s="18">
        <v>16145.119628209501</v>
      </c>
      <c r="AH144" s="19">
        <v>1.7384391150760299E-2</v>
      </c>
      <c r="AI144" s="18">
        <v>8181.2496327967801</v>
      </c>
      <c r="AJ144" s="19">
        <v>2.15416103389947E-2</v>
      </c>
      <c r="AK144" s="18">
        <v>6364.4275387379503</v>
      </c>
      <c r="AL144" s="19">
        <v>8.4056707269008994E-3</v>
      </c>
      <c r="AM144" s="18">
        <v>26244.767110380501</v>
      </c>
      <c r="AN144" s="19">
        <v>9.2735692064422892E-3</v>
      </c>
      <c r="AO144" s="18">
        <v>10557.330540683701</v>
      </c>
      <c r="AP144" s="19">
        <v>6.9078412943972501E-3</v>
      </c>
      <c r="AQ144" s="18">
        <v>6534.9153085326698</v>
      </c>
      <c r="AR144" s="19">
        <v>2.3266894179185798E-3</v>
      </c>
      <c r="AS144" s="18">
        <v>10813.3337346969</v>
      </c>
      <c r="AT144" s="19">
        <v>9.2105399083652895E-3</v>
      </c>
      <c r="AU144" s="18">
        <v>1015.48908906296</v>
      </c>
      <c r="AV144" s="19">
        <v>2.8754365635044899E-2</v>
      </c>
      <c r="AW144" s="18">
        <v>2067.2400410290602</v>
      </c>
      <c r="AX144" s="19">
        <v>8.1717319621037506E-3</v>
      </c>
      <c r="AY144" s="18">
        <v>488.60798696055298</v>
      </c>
      <c r="AZ144" s="19">
        <v>-1.1418317046836299E-2</v>
      </c>
      <c r="BA144" s="18">
        <v>5306.5798655868803</v>
      </c>
      <c r="BB144" s="19">
        <v>7.2924493011647896E-3</v>
      </c>
      <c r="BC144" s="18">
        <v>8857.3255567134693</v>
      </c>
      <c r="BD144" s="19">
        <v>1.13375822266382E-3</v>
      </c>
      <c r="BE144" s="18">
        <v>-3550.7456911265899</v>
      </c>
      <c r="BF144" s="19">
        <v>-7.9312819627635998E-3</v>
      </c>
      <c r="BG144" s="18"/>
      <c r="BH144" s="19"/>
    </row>
    <row r="145" spans="1:60" x14ac:dyDescent="0.15">
      <c r="A145" s="17">
        <v>2013</v>
      </c>
      <c r="B145" s="17">
        <v>2</v>
      </c>
      <c r="C145" s="18">
        <v>166426.594753793</v>
      </c>
      <c r="D145" s="19">
        <v>7.0626716570778604E-3</v>
      </c>
      <c r="E145" s="18">
        <v>161039.060774938</v>
      </c>
      <c r="F145" s="19">
        <v>6.7908697837821804E-3</v>
      </c>
      <c r="G145" s="18">
        <v>1088.6628290859401</v>
      </c>
      <c r="H145" s="19">
        <v>2.61990301403658E-2</v>
      </c>
      <c r="I145" s="18">
        <v>179.75768215791001</v>
      </c>
      <c r="J145" s="19">
        <v>2.29910317870907E-2</v>
      </c>
      <c r="K145" s="18">
        <v>30557.333840838201</v>
      </c>
      <c r="L145" s="19">
        <v>1.07651306138314E-2</v>
      </c>
      <c r="M145" s="18">
        <v>8457.7341169735591</v>
      </c>
      <c r="N145" s="19">
        <v>1.00326927616814E-2</v>
      </c>
      <c r="O145" s="18">
        <v>22099.5997238647</v>
      </c>
      <c r="P145" s="19">
        <v>1.10457229248673E-2</v>
      </c>
      <c r="Q145" s="18">
        <v>2569.62573250792</v>
      </c>
      <c r="R145" s="19">
        <v>-2.2010412857868498E-2</v>
      </c>
      <c r="S145" s="18">
        <v>697.57990661858196</v>
      </c>
      <c r="T145" s="19">
        <v>2.1032421215214401E-2</v>
      </c>
      <c r="U145" s="18">
        <v>7727.1958524689298</v>
      </c>
      <c r="V145" s="19">
        <v>1.6018619117065699E-2</v>
      </c>
      <c r="W145" s="18">
        <v>27455.584579208698</v>
      </c>
      <c r="X145" s="19">
        <v>-3.7188030157724299E-3</v>
      </c>
      <c r="Y145" s="18">
        <v>6401.3363715916403</v>
      </c>
      <c r="Z145" s="19">
        <v>5.7459122751306602E-3</v>
      </c>
      <c r="AA145" s="18">
        <v>5889.4760386055304</v>
      </c>
      <c r="AB145" s="19">
        <v>-7.3322467012438804E-3</v>
      </c>
      <c r="AC145" s="18">
        <v>3255.4015045302799</v>
      </c>
      <c r="AD145" s="19">
        <v>1.3215221567635301E-2</v>
      </c>
      <c r="AE145" s="18">
        <v>6967.7205942237697</v>
      </c>
      <c r="AF145" s="19">
        <v>-4.2620675438541601E-3</v>
      </c>
      <c r="AG145" s="18">
        <v>16318.646272735399</v>
      </c>
      <c r="AH145" s="19">
        <v>1.0747931791267099E-2</v>
      </c>
      <c r="AI145" s="18">
        <v>8331.5830641923294</v>
      </c>
      <c r="AJ145" s="19">
        <v>1.83753629510208E-2</v>
      </c>
      <c r="AK145" s="18">
        <v>6368.3741487297902</v>
      </c>
      <c r="AL145" s="19">
        <v>6.2010447409743797E-4</v>
      </c>
      <c r="AM145" s="18">
        <v>26578.573480055598</v>
      </c>
      <c r="AN145" s="19">
        <v>1.2718968633677901E-2</v>
      </c>
      <c r="AO145" s="18">
        <v>10624.069699117599</v>
      </c>
      <c r="AP145" s="19">
        <v>6.32159409774236E-3</v>
      </c>
      <c r="AQ145" s="18">
        <v>6553.09632451581</v>
      </c>
      <c r="AR145" s="19">
        <v>2.7821349053140901E-3</v>
      </c>
      <c r="AS145" s="18">
        <v>10930.2297471484</v>
      </c>
      <c r="AT145" s="19">
        <v>1.0810358333475101E-2</v>
      </c>
      <c r="AU145" s="18">
        <v>1073.9167253840501</v>
      </c>
      <c r="AV145" s="19">
        <v>5.7536449136059299E-2</v>
      </c>
      <c r="AW145" s="18">
        <v>2084.9844675417899</v>
      </c>
      <c r="AX145" s="19">
        <v>8.5836313928451292E-3</v>
      </c>
      <c r="AY145" s="18">
        <v>487.20549819382097</v>
      </c>
      <c r="AZ145" s="19">
        <v>-2.87037626105213E-3</v>
      </c>
      <c r="BA145" s="18">
        <v>5387.5339788547099</v>
      </c>
      <c r="BB145" s="19">
        <v>1.5255421630947501E-2</v>
      </c>
      <c r="BC145" s="18">
        <v>8924.5823014293692</v>
      </c>
      <c r="BD145" s="19">
        <v>7.5933468048845496E-3</v>
      </c>
      <c r="BE145" s="18">
        <v>-3537.0483225746598</v>
      </c>
      <c r="BF145" s="19">
        <v>-3.8576033722047499E-3</v>
      </c>
      <c r="BG145" s="18"/>
      <c r="BH145" s="19"/>
    </row>
    <row r="146" spans="1:60" x14ac:dyDescent="0.15">
      <c r="A146" s="17">
        <v>2013</v>
      </c>
      <c r="B146" s="17">
        <v>3</v>
      </c>
      <c r="C146" s="18">
        <v>167602.83744088199</v>
      </c>
      <c r="D146" s="19">
        <v>7.0676365687176697E-3</v>
      </c>
      <c r="E146" s="18">
        <v>162223.160402676</v>
      </c>
      <c r="F146" s="19">
        <v>7.3528721667863702E-3</v>
      </c>
      <c r="G146" s="18">
        <v>1112.1442575266301</v>
      </c>
      <c r="H146" s="19">
        <v>2.1569055003383599E-2</v>
      </c>
      <c r="I146" s="18">
        <v>179.42254180867801</v>
      </c>
      <c r="J146" s="19">
        <v>-1.8644007043729901E-3</v>
      </c>
      <c r="K146" s="18">
        <v>31067.099254165201</v>
      </c>
      <c r="L146" s="19">
        <v>1.6682260827536498E-2</v>
      </c>
      <c r="M146" s="18">
        <v>8498.1259186446205</v>
      </c>
      <c r="N146" s="19">
        <v>4.7757237473331502E-3</v>
      </c>
      <c r="O146" s="18">
        <v>22568.973335520601</v>
      </c>
      <c r="P146" s="19">
        <v>2.1239009643647399E-2</v>
      </c>
      <c r="Q146" s="18">
        <v>2440.27849170022</v>
      </c>
      <c r="R146" s="19">
        <v>-5.0336996229195102E-2</v>
      </c>
      <c r="S146" s="18">
        <v>711.428686346939</v>
      </c>
      <c r="T146" s="19">
        <v>1.98526069873288E-2</v>
      </c>
      <c r="U146" s="18">
        <v>7766.5310323768599</v>
      </c>
      <c r="V146" s="19">
        <v>5.0904856896254501E-3</v>
      </c>
      <c r="W146" s="18">
        <v>27645.7165311057</v>
      </c>
      <c r="X146" s="19">
        <v>6.9250738897375097E-3</v>
      </c>
      <c r="Y146" s="18">
        <v>6444.8993098137198</v>
      </c>
      <c r="Z146" s="19">
        <v>6.80528809818726E-3</v>
      </c>
      <c r="AA146" s="18">
        <v>5878.6717760338197</v>
      </c>
      <c r="AB146" s="19">
        <v>-1.8345031885505E-3</v>
      </c>
      <c r="AC146" s="18">
        <v>3290.7964204927198</v>
      </c>
      <c r="AD146" s="19">
        <v>1.08726729754181E-2</v>
      </c>
      <c r="AE146" s="18">
        <v>6931.8561388280796</v>
      </c>
      <c r="AF146" s="19">
        <v>-5.1472292711366397E-3</v>
      </c>
      <c r="AG146" s="18">
        <v>16184.853423426601</v>
      </c>
      <c r="AH146" s="19">
        <v>-8.1987713363376197E-3</v>
      </c>
      <c r="AI146" s="18">
        <v>8246.2623451487107</v>
      </c>
      <c r="AJ146" s="19">
        <v>-1.02406371497759E-2</v>
      </c>
      <c r="AK146" s="18">
        <v>6318.18411647841</v>
      </c>
      <c r="AL146" s="19">
        <v>-7.8811374896042806E-3</v>
      </c>
      <c r="AM146" s="18">
        <v>26962.1471444376</v>
      </c>
      <c r="AN146" s="19">
        <v>1.4431687414293799E-2</v>
      </c>
      <c r="AO146" s="18">
        <v>10731.6940673279</v>
      </c>
      <c r="AP146" s="19">
        <v>1.01302392828975E-2</v>
      </c>
      <c r="AQ146" s="18">
        <v>6660.04020988504</v>
      </c>
      <c r="AR146" s="19">
        <v>1.63195961226981E-2</v>
      </c>
      <c r="AS146" s="18">
        <v>10973.1519182059</v>
      </c>
      <c r="AT146" s="19">
        <v>3.9269230428251598E-3</v>
      </c>
      <c r="AU146" s="18">
        <v>1114.76997530421</v>
      </c>
      <c r="AV146" s="19">
        <v>3.8041357355285597E-2</v>
      </c>
      <c r="AW146" s="18">
        <v>2084.3635838847799</v>
      </c>
      <c r="AX146" s="19">
        <v>-2.9778814503145202E-4</v>
      </c>
      <c r="AY146" s="18">
        <v>488.19494981901101</v>
      </c>
      <c r="AZ146" s="19">
        <v>2.0308712214012199E-3</v>
      </c>
      <c r="BA146" s="18">
        <v>5379.6770382062496</v>
      </c>
      <c r="BB146" s="19">
        <v>-1.45835565572228E-3</v>
      </c>
      <c r="BC146" s="18">
        <v>8913.0876292975609</v>
      </c>
      <c r="BD146" s="19">
        <v>-1.28797872478215E-3</v>
      </c>
      <c r="BE146" s="18">
        <v>-3533.4105910913099</v>
      </c>
      <c r="BF146" s="19">
        <v>-1.0284653054164501E-3</v>
      </c>
      <c r="BG146" s="18"/>
      <c r="BH146" s="19"/>
    </row>
    <row r="147" spans="1:60" x14ac:dyDescent="0.15">
      <c r="A147" s="17">
        <v>2013</v>
      </c>
      <c r="B147" s="17">
        <v>4</v>
      </c>
      <c r="C147" s="18">
        <v>167928.329603933</v>
      </c>
      <c r="D147" s="19">
        <v>1.9420444666749001E-3</v>
      </c>
      <c r="E147" s="18">
        <v>162571.74147085301</v>
      </c>
      <c r="F147" s="19">
        <v>2.1487749795545698E-3</v>
      </c>
      <c r="G147" s="18">
        <v>1138.6741106945999</v>
      </c>
      <c r="H147" s="19">
        <v>2.3854687005239801E-2</v>
      </c>
      <c r="I147" s="18">
        <v>177.56339747903499</v>
      </c>
      <c r="J147" s="19">
        <v>-1.03618213793134E-2</v>
      </c>
      <c r="K147" s="18">
        <v>30852.063974889399</v>
      </c>
      <c r="L147" s="19">
        <v>-6.9216400770663001E-3</v>
      </c>
      <c r="M147" s="18">
        <v>8399.6336106501694</v>
      </c>
      <c r="N147" s="19">
        <v>-1.1589885692133199E-2</v>
      </c>
      <c r="O147" s="18">
        <v>22452.430364239201</v>
      </c>
      <c r="P147" s="19">
        <v>-5.1638579012346399E-3</v>
      </c>
      <c r="Q147" s="18">
        <v>2563.17787973645</v>
      </c>
      <c r="R147" s="19">
        <v>5.0362853442435199E-2</v>
      </c>
      <c r="S147" s="18">
        <v>729.24646600245103</v>
      </c>
      <c r="T147" s="19">
        <v>2.5045067759360801E-2</v>
      </c>
      <c r="U147" s="18">
        <v>7834.9669058891704</v>
      </c>
      <c r="V147" s="19">
        <v>8.8116397432804697E-3</v>
      </c>
      <c r="W147" s="18">
        <v>27732.519353449101</v>
      </c>
      <c r="X147" s="19">
        <v>3.1398289946911202E-3</v>
      </c>
      <c r="Y147" s="18">
        <v>6477.5018459760904</v>
      </c>
      <c r="Z147" s="19">
        <v>5.0586571791315597E-3</v>
      </c>
      <c r="AA147" s="18">
        <v>5857.4590745593496</v>
      </c>
      <c r="AB147" s="19">
        <v>-3.6084173913144601E-3</v>
      </c>
      <c r="AC147" s="18">
        <v>3290.9086427284201</v>
      </c>
      <c r="AD147" s="19">
        <v>3.4101846898115802E-5</v>
      </c>
      <c r="AE147" s="18">
        <v>6923.4910830828103</v>
      </c>
      <c r="AF147" s="19">
        <v>-1.20675553239113E-3</v>
      </c>
      <c r="AG147" s="18">
        <v>15902.546188894299</v>
      </c>
      <c r="AH147" s="19">
        <v>-1.7442680952778299E-2</v>
      </c>
      <c r="AI147" s="18">
        <v>8069.1939757652599</v>
      </c>
      <c r="AJ147" s="19">
        <v>-2.1472560776292199E-2</v>
      </c>
      <c r="AK147" s="18">
        <v>6207.0706332729997</v>
      </c>
      <c r="AL147" s="19">
        <v>-1.7586300297203799E-2</v>
      </c>
      <c r="AM147" s="18">
        <v>27200.652283814499</v>
      </c>
      <c r="AN147" s="19">
        <v>8.8459252929387108E-3</v>
      </c>
      <c r="AO147" s="18">
        <v>10787.9032311706</v>
      </c>
      <c r="AP147" s="19">
        <v>5.2376785519645504E-3</v>
      </c>
      <c r="AQ147" s="18">
        <v>6703.4672121370804</v>
      </c>
      <c r="AR147" s="19">
        <v>6.5205315408727298E-3</v>
      </c>
      <c r="AS147" s="18">
        <v>11091.1257729806</v>
      </c>
      <c r="AT147" s="19">
        <v>1.07511365607675E-2</v>
      </c>
      <c r="AU147" s="18">
        <v>1198.2687011870401</v>
      </c>
      <c r="AV147" s="19">
        <v>7.4902202008126695E-2</v>
      </c>
      <c r="AW147" s="18">
        <v>2097.8557272574899</v>
      </c>
      <c r="AX147" s="19">
        <v>6.4730277754940797E-3</v>
      </c>
      <c r="AY147" s="18">
        <v>489.85146490101499</v>
      </c>
      <c r="AZ147" s="19">
        <v>3.3931426013684698E-3</v>
      </c>
      <c r="BA147" s="18">
        <v>5356.5881330799202</v>
      </c>
      <c r="BB147" s="19">
        <v>-4.2918756948338004E-3</v>
      </c>
      <c r="BC147" s="18">
        <v>8875.3257013973598</v>
      </c>
      <c r="BD147" s="19">
        <v>-4.2366831193351197E-3</v>
      </c>
      <c r="BE147" s="18">
        <v>-3518.73756831744</v>
      </c>
      <c r="BF147" s="19">
        <v>-4.1526514950910301E-3</v>
      </c>
      <c r="BG147" s="18"/>
      <c r="BH147" s="19"/>
    </row>
    <row r="148" spans="1:60" x14ac:dyDescent="0.15">
      <c r="A148" s="17">
        <v>2014</v>
      </c>
      <c r="B148" s="17">
        <v>1</v>
      </c>
      <c r="C148" s="18">
        <v>168500.841014665</v>
      </c>
      <c r="D148" s="19">
        <v>3.4092604391529101E-3</v>
      </c>
      <c r="E148" s="18">
        <v>163131.033797082</v>
      </c>
      <c r="F148" s="19">
        <v>3.4402800952257899E-3</v>
      </c>
      <c r="G148" s="18">
        <v>1210.48189756337</v>
      </c>
      <c r="H148" s="19">
        <v>6.3062632402316895E-2</v>
      </c>
      <c r="I148" s="18">
        <v>175.03944576326299</v>
      </c>
      <c r="J148" s="19">
        <v>-1.42143693554274E-2</v>
      </c>
      <c r="K148" s="18">
        <v>30746.749777173402</v>
      </c>
      <c r="L148" s="19">
        <v>-3.4135219543710601E-3</v>
      </c>
      <c r="M148" s="18">
        <v>8395.6783803532308</v>
      </c>
      <c r="N148" s="19">
        <v>-4.7088128843319999E-4</v>
      </c>
      <c r="O148" s="18">
        <v>22351.0713968202</v>
      </c>
      <c r="P148" s="19">
        <v>-4.5143873413559001E-3</v>
      </c>
      <c r="Q148" s="18">
        <v>2311.49250315258</v>
      </c>
      <c r="R148" s="19">
        <v>-9.8192707799799606E-2</v>
      </c>
      <c r="S148" s="18">
        <v>731.34673343462202</v>
      </c>
      <c r="T148" s="19">
        <v>2.8800515738998098E-3</v>
      </c>
      <c r="U148" s="18">
        <v>7893.4460616195802</v>
      </c>
      <c r="V148" s="19">
        <v>7.4638676120577499E-3</v>
      </c>
      <c r="W148" s="18">
        <v>27991.5562809084</v>
      </c>
      <c r="X148" s="19">
        <v>9.3405479739490094E-3</v>
      </c>
      <c r="Y148" s="18">
        <v>6480.9283353425899</v>
      </c>
      <c r="Z148" s="19">
        <v>5.2898315554017505E-4</v>
      </c>
      <c r="AA148" s="18">
        <v>6010.1190960713902</v>
      </c>
      <c r="AB148" s="19">
        <v>2.6062499040767399E-2</v>
      </c>
      <c r="AC148" s="18">
        <v>3322.2971946867701</v>
      </c>
      <c r="AD148" s="19">
        <v>9.5379590763484696E-3</v>
      </c>
      <c r="AE148" s="18">
        <v>7022.3546224126503</v>
      </c>
      <c r="AF148" s="19">
        <v>1.42794347740856E-2</v>
      </c>
      <c r="AG148" s="18">
        <v>15567.327249824801</v>
      </c>
      <c r="AH148" s="19">
        <v>-2.1079576508547599E-2</v>
      </c>
      <c r="AI148" s="18">
        <v>7913.3227670569604</v>
      </c>
      <c r="AJ148" s="19">
        <v>-1.9316825097578899E-2</v>
      </c>
      <c r="AK148" s="18">
        <v>6026.4316276365298</v>
      </c>
      <c r="AL148" s="19">
        <v>-2.9102134695899E-2</v>
      </c>
      <c r="AM148" s="18">
        <v>27493.1626197859</v>
      </c>
      <c r="AN148" s="19">
        <v>1.07537985824491E-2</v>
      </c>
      <c r="AO148" s="18">
        <v>10799.7986714707</v>
      </c>
      <c r="AP148" s="19">
        <v>1.1026647204062101E-3</v>
      </c>
      <c r="AQ148" s="18">
        <v>6753.3775039341699</v>
      </c>
      <c r="AR148" s="19">
        <v>7.4454443077944799E-3</v>
      </c>
      <c r="AS148" s="18">
        <v>11218.8943992858</v>
      </c>
      <c r="AT148" s="19">
        <v>1.1519896980742E-2</v>
      </c>
      <c r="AU148" s="18">
        <v>1294.4511141026401</v>
      </c>
      <c r="AV148" s="19">
        <v>8.0267817076688605E-2</v>
      </c>
      <c r="AW148" s="18">
        <v>2089.90744409832</v>
      </c>
      <c r="AX148" s="19">
        <v>-3.7887653835758702E-3</v>
      </c>
      <c r="AY148" s="18">
        <v>499.23118179329498</v>
      </c>
      <c r="AZ148" s="19">
        <v>1.9148083785307302E-2</v>
      </c>
      <c r="BA148" s="18">
        <v>5369.8072175832003</v>
      </c>
      <c r="BB148" s="19">
        <v>2.4678179794432901E-3</v>
      </c>
      <c r="BC148" s="18">
        <v>8873.2971517551105</v>
      </c>
      <c r="BD148" s="19">
        <v>-2.2856058588738301E-4</v>
      </c>
      <c r="BE148" s="18">
        <v>-3503.4899341719001</v>
      </c>
      <c r="BF148" s="19">
        <v>-4.3332683524993599E-3</v>
      </c>
      <c r="BG148" s="18"/>
      <c r="BH148" s="19"/>
    </row>
    <row r="149" spans="1:60" x14ac:dyDescent="0.15">
      <c r="A149" s="17">
        <v>2014</v>
      </c>
      <c r="B149" s="17">
        <v>2</v>
      </c>
      <c r="C149" s="18">
        <v>169370.31913600999</v>
      </c>
      <c r="D149" s="19">
        <v>5.16008179015226E-3</v>
      </c>
      <c r="E149" s="18">
        <v>163987.601714972</v>
      </c>
      <c r="F149" s="19">
        <v>5.2507968468815704E-3</v>
      </c>
      <c r="G149" s="18">
        <v>1233.1529773795801</v>
      </c>
      <c r="H149" s="19">
        <v>1.8728970554493501E-2</v>
      </c>
      <c r="I149" s="18">
        <v>168.42722815393799</v>
      </c>
      <c r="J149" s="19">
        <v>-3.7775585842904698E-2</v>
      </c>
      <c r="K149" s="18">
        <v>30964.183994057501</v>
      </c>
      <c r="L149" s="19">
        <v>7.0717789184171504E-3</v>
      </c>
      <c r="M149" s="18">
        <v>8540.3803776959794</v>
      </c>
      <c r="N149" s="19">
        <v>1.7235295444543199E-2</v>
      </c>
      <c r="O149" s="18">
        <v>22423.8036163615</v>
      </c>
      <c r="P149" s="19">
        <v>3.254082019158E-3</v>
      </c>
      <c r="Q149" s="18">
        <v>2245.61009382984</v>
      </c>
      <c r="R149" s="19">
        <v>-2.8502108154310101E-2</v>
      </c>
      <c r="S149" s="18">
        <v>743.36639970905799</v>
      </c>
      <c r="T149" s="19">
        <v>1.6434976359281699E-2</v>
      </c>
      <c r="U149" s="18">
        <v>7923.3427373722698</v>
      </c>
      <c r="V149" s="19">
        <v>3.7875315190989398E-3</v>
      </c>
      <c r="W149" s="18">
        <v>28288.189437367098</v>
      </c>
      <c r="X149" s="19">
        <v>1.0597237019684101E-2</v>
      </c>
      <c r="Y149" s="18">
        <v>6471.0942359526898</v>
      </c>
      <c r="Z149" s="19">
        <v>-1.51739054670175E-3</v>
      </c>
      <c r="AA149" s="18">
        <v>5985.9089923210704</v>
      </c>
      <c r="AB149" s="19">
        <v>-4.0282236280705401E-3</v>
      </c>
      <c r="AC149" s="18">
        <v>3294.6066961975298</v>
      </c>
      <c r="AD149" s="19">
        <v>-8.3347445657547797E-3</v>
      </c>
      <c r="AE149" s="18">
        <v>7199.0492936234796</v>
      </c>
      <c r="AF149" s="19">
        <v>2.5161741426000101E-2</v>
      </c>
      <c r="AG149" s="18">
        <v>15336.0600720317</v>
      </c>
      <c r="AH149" s="19">
        <v>-1.48559334612622E-2</v>
      </c>
      <c r="AI149" s="18">
        <v>7794.00946396378</v>
      </c>
      <c r="AJ149" s="19">
        <v>-1.50775226292912E-2</v>
      </c>
      <c r="AK149" s="18">
        <v>5912.8507034118302</v>
      </c>
      <c r="AL149" s="19">
        <v>-1.8847127328854098E-2</v>
      </c>
      <c r="AM149" s="18">
        <v>27754.235848694501</v>
      </c>
      <c r="AN149" s="19">
        <v>9.4959329531905095E-3</v>
      </c>
      <c r="AO149" s="18">
        <v>10841.0145270916</v>
      </c>
      <c r="AP149" s="19">
        <v>3.8163540705429301E-3</v>
      </c>
      <c r="AQ149" s="18">
        <v>6798.6657782535303</v>
      </c>
      <c r="AR149" s="19">
        <v>6.7060184763807502E-3</v>
      </c>
      <c r="AS149" s="18">
        <v>11226.8507727737</v>
      </c>
      <c r="AT149" s="19">
        <v>7.0919407963132596E-4</v>
      </c>
      <c r="AU149" s="18">
        <v>1350.76013272931</v>
      </c>
      <c r="AV149" s="19">
        <v>4.3500305274727799E-2</v>
      </c>
      <c r="AW149" s="18">
        <v>2131.0401826881998</v>
      </c>
      <c r="AX149" s="19">
        <v>1.9681607769775199E-2</v>
      </c>
      <c r="AY149" s="18">
        <v>503.13655069793401</v>
      </c>
      <c r="AZ149" s="19">
        <v>7.8227663797163505E-3</v>
      </c>
      <c r="BA149" s="18">
        <v>5382.7174210379899</v>
      </c>
      <c r="BB149" s="19">
        <v>2.4042210328361099E-3</v>
      </c>
      <c r="BC149" s="18">
        <v>8883.7272765715206</v>
      </c>
      <c r="BD149" s="19">
        <v>1.1754508654484601E-3</v>
      </c>
      <c r="BE149" s="18">
        <v>-3501.0098555335298</v>
      </c>
      <c r="BF149" s="19">
        <v>-7.0788804448607102E-4</v>
      </c>
      <c r="BG149" s="18"/>
      <c r="BH149" s="19"/>
    </row>
    <row r="150" spans="1:60" x14ac:dyDescent="0.15">
      <c r="A150" s="17">
        <v>2014</v>
      </c>
      <c r="B150" s="17">
        <v>3</v>
      </c>
      <c r="C150" s="18">
        <v>169972.98375102499</v>
      </c>
      <c r="D150" s="19">
        <v>3.5582658053057198E-3</v>
      </c>
      <c r="E150" s="18">
        <v>164569.136581028</v>
      </c>
      <c r="F150" s="19">
        <v>3.5462123963918598E-3</v>
      </c>
      <c r="G150" s="18">
        <v>1208.97808449285</v>
      </c>
      <c r="H150" s="19">
        <v>-1.9604131304218099E-2</v>
      </c>
      <c r="I150" s="18">
        <v>165.49671695690199</v>
      </c>
      <c r="J150" s="19">
        <v>-1.7399272250435398E-2</v>
      </c>
      <c r="K150" s="18">
        <v>31184.059821568499</v>
      </c>
      <c r="L150" s="19">
        <v>7.1009727740036803E-3</v>
      </c>
      <c r="M150" s="18">
        <v>8634.0031827460607</v>
      </c>
      <c r="N150" s="19">
        <v>1.0962369462440801E-2</v>
      </c>
      <c r="O150" s="18">
        <v>22550.056638822502</v>
      </c>
      <c r="P150" s="19">
        <v>5.6303125295320599E-3</v>
      </c>
      <c r="Q150" s="18">
        <v>2220.3401896549599</v>
      </c>
      <c r="R150" s="19">
        <v>-1.12530239529657E-2</v>
      </c>
      <c r="S150" s="18">
        <v>752.21633295468598</v>
      </c>
      <c r="T150" s="19">
        <v>1.19052102019837E-2</v>
      </c>
      <c r="U150" s="18">
        <v>7959.84984430432</v>
      </c>
      <c r="V150" s="19">
        <v>4.6075385278805401E-3</v>
      </c>
      <c r="W150" s="18">
        <v>28130.8335119732</v>
      </c>
      <c r="X150" s="19">
        <v>-5.5626015140436396E-3</v>
      </c>
      <c r="Y150" s="18">
        <v>6434.9012181099097</v>
      </c>
      <c r="Z150" s="19">
        <v>-5.5930290184467201E-3</v>
      </c>
      <c r="AA150" s="18">
        <v>5996.1068948189004</v>
      </c>
      <c r="AB150" s="19">
        <v>1.70365144389995E-3</v>
      </c>
      <c r="AC150" s="18">
        <v>3319.5458188893499</v>
      </c>
      <c r="AD150" s="19">
        <v>7.5696812978034399E-3</v>
      </c>
      <c r="AE150" s="18">
        <v>7221.9355672721003</v>
      </c>
      <c r="AF150" s="19">
        <v>3.1790688902348899E-3</v>
      </c>
      <c r="AG150" s="18">
        <v>15311.7076191672</v>
      </c>
      <c r="AH150" s="19">
        <v>-1.5879210664343499E-3</v>
      </c>
      <c r="AI150" s="18">
        <v>7822.1564424553499</v>
      </c>
      <c r="AJ150" s="19">
        <v>3.6113605740044599E-3</v>
      </c>
      <c r="AK150" s="18">
        <v>5853.2415253670897</v>
      </c>
      <c r="AL150" s="19">
        <v>-1.0081292600597201E-2</v>
      </c>
      <c r="AM150" s="18">
        <v>28044.952509073199</v>
      </c>
      <c r="AN150" s="19">
        <v>1.04746771614821E-2</v>
      </c>
      <c r="AO150" s="18">
        <v>10868.236977905701</v>
      </c>
      <c r="AP150" s="19">
        <v>2.5110611876766301E-3</v>
      </c>
      <c r="AQ150" s="18">
        <v>6818.4937849746902</v>
      </c>
      <c r="AR150" s="19">
        <v>2.9164555764134002E-3</v>
      </c>
      <c r="AS150" s="18">
        <v>11378.729029420199</v>
      </c>
      <c r="AT150" s="19">
        <v>1.3528126428364399E-2</v>
      </c>
      <c r="AU150" s="18">
        <v>1354.2654097433699</v>
      </c>
      <c r="AV150" s="19">
        <v>2.59504032516422E-3</v>
      </c>
      <c r="AW150" s="18">
        <v>2120.6044066173599</v>
      </c>
      <c r="AX150" s="19">
        <v>-4.8970339253173699E-3</v>
      </c>
      <c r="AY150" s="18">
        <v>512.78406124059995</v>
      </c>
      <c r="AZ150" s="19">
        <v>1.9174736022027301E-2</v>
      </c>
      <c r="BA150" s="18">
        <v>5403.8471699970696</v>
      </c>
      <c r="BB150" s="19">
        <v>3.9254798842858199E-3</v>
      </c>
      <c r="BC150" s="18">
        <v>8923.6371564096207</v>
      </c>
      <c r="BD150" s="19">
        <v>4.4924701755935104E-3</v>
      </c>
      <c r="BE150" s="18">
        <v>-3519.7899864125502</v>
      </c>
      <c r="BF150" s="19">
        <v>5.3642039451393701E-3</v>
      </c>
      <c r="BG150" s="18"/>
      <c r="BH150" s="19"/>
    </row>
    <row r="151" spans="1:60" x14ac:dyDescent="0.15">
      <c r="A151" s="17">
        <v>2014</v>
      </c>
      <c r="B151" s="17">
        <v>4</v>
      </c>
      <c r="C151" s="18">
        <v>170569.412447451</v>
      </c>
      <c r="D151" s="19">
        <v>3.5089617377015402E-3</v>
      </c>
      <c r="E151" s="18">
        <v>165184.88426573499</v>
      </c>
      <c r="F151" s="19">
        <v>3.74157449871326E-3</v>
      </c>
      <c r="G151" s="18">
        <v>1128.9966558252599</v>
      </c>
      <c r="H151" s="19">
        <v>-6.6156227059433595E-2</v>
      </c>
      <c r="I151" s="18">
        <v>166.15905202165499</v>
      </c>
      <c r="J151" s="19">
        <v>4.0021039506523701E-3</v>
      </c>
      <c r="K151" s="18">
        <v>31079.240062082499</v>
      </c>
      <c r="L151" s="19">
        <v>-3.3613249873747399E-3</v>
      </c>
      <c r="M151" s="18">
        <v>8710.1528185219595</v>
      </c>
      <c r="N151" s="19">
        <v>8.8197368201201592E-3</v>
      </c>
      <c r="O151" s="18">
        <v>22369.0872435606</v>
      </c>
      <c r="P151" s="19">
        <v>-8.02523018724355E-3</v>
      </c>
      <c r="Q151" s="18">
        <v>2485.3104983663502</v>
      </c>
      <c r="R151" s="19">
        <v>0.11933770777376899</v>
      </c>
      <c r="S151" s="18">
        <v>747.21139895759404</v>
      </c>
      <c r="T151" s="19">
        <v>-6.6535832550096404E-3</v>
      </c>
      <c r="U151" s="18">
        <v>7965.5235267447297</v>
      </c>
      <c r="V151" s="19">
        <v>7.1278762180093701E-4</v>
      </c>
      <c r="W151" s="18">
        <v>28190.719854477298</v>
      </c>
      <c r="X151" s="19">
        <v>2.1288506250116699E-3</v>
      </c>
      <c r="Y151" s="18">
        <v>6427.9781226277901</v>
      </c>
      <c r="Z151" s="19">
        <v>-1.0758666290997499E-3</v>
      </c>
      <c r="AA151" s="18">
        <v>6021.5202059741096</v>
      </c>
      <c r="AB151" s="19">
        <v>4.2383018850404904E-3</v>
      </c>
      <c r="AC151" s="18">
        <v>3313.2058781313399</v>
      </c>
      <c r="AD151" s="19">
        <v>-1.9098819850406101E-3</v>
      </c>
      <c r="AE151" s="18">
        <v>7146.0930489524699</v>
      </c>
      <c r="AF151" s="19">
        <v>-1.0501688586551299E-2</v>
      </c>
      <c r="AG151" s="18">
        <v>15412.807379624301</v>
      </c>
      <c r="AH151" s="19">
        <v>6.6027750118784496E-3</v>
      </c>
      <c r="AI151" s="18">
        <v>7922.6715127299303</v>
      </c>
      <c r="AJ151" s="19">
        <v>1.2850046021711799E-2</v>
      </c>
      <c r="AK151" s="18">
        <v>5837.71077724116</v>
      </c>
      <c r="AL151" s="19">
        <v>-2.6533584952249702E-3</v>
      </c>
      <c r="AM151" s="18">
        <v>28224.618875334399</v>
      </c>
      <c r="AN151" s="19">
        <v>6.40637085062101E-3</v>
      </c>
      <c r="AO151" s="18">
        <v>10926.915642924299</v>
      </c>
      <c r="AP151" s="19">
        <v>5.3990969407395903E-3</v>
      </c>
      <c r="AQ151" s="18">
        <v>6865.7385173439097</v>
      </c>
      <c r="AR151" s="19">
        <v>6.9289103809599996E-3</v>
      </c>
      <c r="AS151" s="18">
        <v>11592.095841829199</v>
      </c>
      <c r="AT151" s="19">
        <v>1.87513747675443E-2</v>
      </c>
      <c r="AU151" s="18">
        <v>1271.11048125447</v>
      </c>
      <c r="AV151" s="19">
        <v>-6.1402239096288502E-2</v>
      </c>
      <c r="AW151" s="18">
        <v>2123.2993244342802</v>
      </c>
      <c r="AX151" s="19">
        <v>1.2708253404125601E-3</v>
      </c>
      <c r="AY151" s="18">
        <v>524.31802145692802</v>
      </c>
      <c r="AZ151" s="19">
        <v>2.2492821224635799E-2</v>
      </c>
      <c r="BA151" s="18">
        <v>5384.5281817156101</v>
      </c>
      <c r="BB151" s="19">
        <v>-3.5750434225309E-3</v>
      </c>
      <c r="BC151" s="18">
        <v>8929.0935383476299</v>
      </c>
      <c r="BD151" s="19">
        <v>6.1145268934326103E-4</v>
      </c>
      <c r="BE151" s="18">
        <v>-3544.5653566320202</v>
      </c>
      <c r="BF151" s="19">
        <v>7.0388774089107401E-3</v>
      </c>
      <c r="BG151" s="18"/>
      <c r="BH151" s="19"/>
    </row>
    <row r="152" spans="1:60" x14ac:dyDescent="0.15">
      <c r="A152" s="17">
        <v>2015</v>
      </c>
      <c r="B152" s="17">
        <v>1</v>
      </c>
      <c r="C152" s="18">
        <v>169838.001902363</v>
      </c>
      <c r="D152" s="19">
        <v>-4.28805220462936E-3</v>
      </c>
      <c r="E152" s="18">
        <v>164498.60451019599</v>
      </c>
      <c r="F152" s="19">
        <v>-4.15461595405531E-3</v>
      </c>
      <c r="G152" s="18">
        <v>1065.829876454</v>
      </c>
      <c r="H152" s="19">
        <v>-5.5949483149784499E-2</v>
      </c>
      <c r="I152" s="18">
        <v>170.22289260958601</v>
      </c>
      <c r="J152" s="19">
        <v>2.4457533540822099E-2</v>
      </c>
      <c r="K152" s="18">
        <v>30252.076443989401</v>
      </c>
      <c r="L152" s="19">
        <v>-2.6614666782096601E-2</v>
      </c>
      <c r="M152" s="18">
        <v>8675.7018516432399</v>
      </c>
      <c r="N152" s="19">
        <v>-3.9552654926398E-3</v>
      </c>
      <c r="O152" s="18">
        <v>21576.374592346201</v>
      </c>
      <c r="P152" s="19">
        <v>-3.5437863091288803E-2</v>
      </c>
      <c r="Q152" s="18">
        <v>2816.7753026535602</v>
      </c>
      <c r="R152" s="19">
        <v>0.13336957474934599</v>
      </c>
      <c r="S152" s="18">
        <v>718.73001941542395</v>
      </c>
      <c r="T152" s="19">
        <v>-3.8116896479233602E-2</v>
      </c>
      <c r="U152" s="18">
        <v>8092.2278663071902</v>
      </c>
      <c r="V152" s="19">
        <v>1.5906592848171901E-2</v>
      </c>
      <c r="W152" s="18">
        <v>27715.0591954429</v>
      </c>
      <c r="X152" s="19">
        <v>-1.6872951861098901E-2</v>
      </c>
      <c r="Y152" s="18">
        <v>6346.6314610565796</v>
      </c>
      <c r="Z152" s="19">
        <v>-1.26550930976025E-2</v>
      </c>
      <c r="AA152" s="18">
        <v>6164.9426564519799</v>
      </c>
      <c r="AB152" s="19">
        <v>2.3818312580861999E-2</v>
      </c>
      <c r="AC152" s="18">
        <v>3273.4620062583199</v>
      </c>
      <c r="AD152" s="19">
        <v>-1.1995593794924301E-2</v>
      </c>
      <c r="AE152" s="18">
        <v>7218.0749487025796</v>
      </c>
      <c r="AF152" s="19">
        <v>1.0072902669614201E-2</v>
      </c>
      <c r="AG152" s="18">
        <v>15528.380875074999</v>
      </c>
      <c r="AH152" s="19">
        <v>7.4985362889510299E-3</v>
      </c>
      <c r="AI152" s="18">
        <v>8020.1201779449602</v>
      </c>
      <c r="AJ152" s="19">
        <v>1.22999754638888E-2</v>
      </c>
      <c r="AK152" s="18">
        <v>5857.9758883178301</v>
      </c>
      <c r="AL152" s="19">
        <v>3.47141402682638E-3</v>
      </c>
      <c r="AM152" s="18">
        <v>28311.602872829801</v>
      </c>
      <c r="AN152" s="19">
        <v>3.0818484345029899E-3</v>
      </c>
      <c r="AO152" s="18">
        <v>10914.5278262796</v>
      </c>
      <c r="AP152" s="19">
        <v>-1.1336974723287201E-3</v>
      </c>
      <c r="AQ152" s="18">
        <v>6883.7418067845401</v>
      </c>
      <c r="AR152" s="19">
        <v>2.6221927029623799E-3</v>
      </c>
      <c r="AS152" s="18">
        <v>11531.506490530501</v>
      </c>
      <c r="AT152" s="19">
        <v>-5.2267814315409798E-3</v>
      </c>
      <c r="AU152" s="18">
        <v>1180.7544747397401</v>
      </c>
      <c r="AV152" s="19">
        <v>-7.1084306082945498E-2</v>
      </c>
      <c r="AW152" s="18">
        <v>2131.1888490526499</v>
      </c>
      <c r="AX152" s="19">
        <v>3.7156912016969002E-3</v>
      </c>
      <c r="AY152" s="18">
        <v>529.50010661914405</v>
      </c>
      <c r="AZ152" s="19">
        <v>9.8834771076856693E-3</v>
      </c>
      <c r="BA152" s="18">
        <v>5339.3973921671604</v>
      </c>
      <c r="BB152" s="19">
        <v>-8.3815680827340495E-3</v>
      </c>
      <c r="BC152" s="18">
        <v>8919.1712794099694</v>
      </c>
      <c r="BD152" s="19">
        <v>-1.11122802052088E-3</v>
      </c>
      <c r="BE152" s="18">
        <v>-3579.7738872428099</v>
      </c>
      <c r="BF152" s="19">
        <v>9.9331023886777298E-3</v>
      </c>
      <c r="BG152" s="18"/>
      <c r="BH152" s="19"/>
    </row>
    <row r="153" spans="1:60" x14ac:dyDescent="0.15">
      <c r="A153" s="17">
        <v>2015</v>
      </c>
      <c r="B153" s="17">
        <v>2</v>
      </c>
      <c r="C153" s="18">
        <v>169533.74078230301</v>
      </c>
      <c r="D153" s="19">
        <v>-1.7914784480027601E-3</v>
      </c>
      <c r="E153" s="18">
        <v>164269.04106447101</v>
      </c>
      <c r="F153" s="19">
        <v>-1.3955343050359201E-3</v>
      </c>
      <c r="G153" s="18">
        <v>1035.57079018524</v>
      </c>
      <c r="H153" s="19">
        <v>-2.8390165201069701E-2</v>
      </c>
      <c r="I153" s="18">
        <v>170.33726319216899</v>
      </c>
      <c r="J153" s="19">
        <v>6.7188719936694995E-4</v>
      </c>
      <c r="K153" s="18">
        <v>29718.167016496402</v>
      </c>
      <c r="L153" s="19">
        <v>-1.7648686974644799E-2</v>
      </c>
      <c r="M153" s="18">
        <v>8876.7798717689693</v>
      </c>
      <c r="N153" s="19">
        <v>2.3177147343721199E-2</v>
      </c>
      <c r="O153" s="18">
        <v>20841.3871447274</v>
      </c>
      <c r="P153" s="19">
        <v>-3.4064455289882098E-2</v>
      </c>
      <c r="Q153" s="18">
        <v>2815.1593806556498</v>
      </c>
      <c r="R153" s="19">
        <v>-5.7367799141883101E-4</v>
      </c>
      <c r="S153" s="18">
        <v>723.74649614280702</v>
      </c>
      <c r="T153" s="19">
        <v>6.9796399091046598E-3</v>
      </c>
      <c r="U153" s="18">
        <v>8097.3986310356804</v>
      </c>
      <c r="V153" s="19">
        <v>6.3897913082966397E-4</v>
      </c>
      <c r="W153" s="18">
        <v>27815.150834870099</v>
      </c>
      <c r="X153" s="19">
        <v>3.61145320749023E-3</v>
      </c>
      <c r="Y153" s="18">
        <v>6342.67829371478</v>
      </c>
      <c r="Z153" s="19">
        <v>-6.2287646069591996E-4</v>
      </c>
      <c r="AA153" s="18">
        <v>6153.51704269532</v>
      </c>
      <c r="AB153" s="19">
        <v>-1.85332036214425E-3</v>
      </c>
      <c r="AC153" s="18">
        <v>3240.9217688161998</v>
      </c>
      <c r="AD153" s="19">
        <v>-9.9406186416423105E-3</v>
      </c>
      <c r="AE153" s="18">
        <v>7334.9069966255602</v>
      </c>
      <c r="AF153" s="19">
        <v>1.6186039734040501E-2</v>
      </c>
      <c r="AG153" s="18">
        <v>15500.437262941799</v>
      </c>
      <c r="AH153" s="19">
        <v>-1.79951872368378E-3</v>
      </c>
      <c r="AI153" s="18">
        <v>7933.7388901852801</v>
      </c>
      <c r="AJ153" s="19">
        <v>-1.07705727399489E-2</v>
      </c>
      <c r="AK153" s="18">
        <v>5870.4236262472596</v>
      </c>
      <c r="AL153" s="19">
        <v>2.1249213323417701E-3</v>
      </c>
      <c r="AM153" s="18">
        <v>28398.611311433298</v>
      </c>
      <c r="AN153" s="19">
        <v>3.0732431149975699E-3</v>
      </c>
      <c r="AO153" s="18">
        <v>10952.2911248862</v>
      </c>
      <c r="AP153" s="19">
        <v>3.4599113408915198E-3</v>
      </c>
      <c r="AQ153" s="18">
        <v>6934.4817350149997</v>
      </c>
      <c r="AR153" s="19">
        <v>7.3709807332471601E-3</v>
      </c>
      <c r="AS153" s="18">
        <v>11543.262977579499</v>
      </c>
      <c r="AT153" s="19">
        <v>1.0195100751686499E-3</v>
      </c>
      <c r="AU153" s="18">
        <v>1161.7970205044601</v>
      </c>
      <c r="AV153" s="19">
        <v>-1.60553736114021E-2</v>
      </c>
      <c r="AW153" s="18">
        <v>2143.9258528062201</v>
      </c>
      <c r="AX153" s="19">
        <v>5.9764782268023602E-3</v>
      </c>
      <c r="AY153" s="18">
        <v>529.35755858969196</v>
      </c>
      <c r="AZ153" s="19">
        <v>-2.6921246600375399E-4</v>
      </c>
      <c r="BA153" s="18">
        <v>5264.6997178318697</v>
      </c>
      <c r="BB153" s="19">
        <v>-1.3989907258986601E-2</v>
      </c>
      <c r="BC153" s="18">
        <v>8880.8099359247808</v>
      </c>
      <c r="BD153" s="19">
        <v>-4.3009986335553804E-3</v>
      </c>
      <c r="BE153" s="18">
        <v>-3616.1102180929101</v>
      </c>
      <c r="BF153" s="19">
        <v>1.01504541891866E-2</v>
      </c>
      <c r="BG153" s="18"/>
      <c r="BH153" s="19"/>
    </row>
    <row r="154" spans="1:60" x14ac:dyDescent="0.15">
      <c r="A154" s="17">
        <v>2015</v>
      </c>
      <c r="B154" s="17">
        <v>3</v>
      </c>
      <c r="C154" s="18">
        <v>170289.67045289799</v>
      </c>
      <c r="D154" s="19">
        <v>4.4588744819007396E-3</v>
      </c>
      <c r="E154" s="18">
        <v>165059.360646282</v>
      </c>
      <c r="F154" s="19">
        <v>4.8111292102854799E-3</v>
      </c>
      <c r="G154" s="18">
        <v>1040.75061293312</v>
      </c>
      <c r="H154" s="19">
        <v>5.00190117080668E-3</v>
      </c>
      <c r="I154" s="18">
        <v>174.61093005165901</v>
      </c>
      <c r="J154" s="19">
        <v>2.50894418484842E-2</v>
      </c>
      <c r="K154" s="18">
        <v>30437.146195449401</v>
      </c>
      <c r="L154" s="19">
        <v>2.4193254535313E-2</v>
      </c>
      <c r="M154" s="18">
        <v>9480.2008845249693</v>
      </c>
      <c r="N154" s="19">
        <v>6.7977467220413201E-2</v>
      </c>
      <c r="O154" s="18">
        <v>20956.945310924501</v>
      </c>
      <c r="P154" s="19">
        <v>5.5446485108969802E-3</v>
      </c>
      <c r="Q154" s="18">
        <v>2545.18816360137</v>
      </c>
      <c r="R154" s="19">
        <v>-9.5899087955512302E-2</v>
      </c>
      <c r="S154" s="18">
        <v>723.04617328595896</v>
      </c>
      <c r="T154" s="19">
        <v>-9.6763557486112496E-4</v>
      </c>
      <c r="U154" s="18">
        <v>8149.6535684767596</v>
      </c>
      <c r="V154" s="19">
        <v>6.4532993646613203E-3</v>
      </c>
      <c r="W154" s="18">
        <v>27750.9197656264</v>
      </c>
      <c r="X154" s="19">
        <v>-2.30921161007069E-3</v>
      </c>
      <c r="Y154" s="18">
        <v>6309.7604832055504</v>
      </c>
      <c r="Z154" s="19">
        <v>-5.1898912391389303E-3</v>
      </c>
      <c r="AA154" s="18">
        <v>6154.5348449193798</v>
      </c>
      <c r="AB154" s="19">
        <v>1.6540170718459799E-4</v>
      </c>
      <c r="AC154" s="18">
        <v>3217.0215227222202</v>
      </c>
      <c r="AD154" s="19">
        <v>-7.3745211389989497E-3</v>
      </c>
      <c r="AE154" s="18">
        <v>7378.6978666414097</v>
      </c>
      <c r="AF154" s="19">
        <v>5.9702011267488402E-3</v>
      </c>
      <c r="AG154" s="18">
        <v>15568.877573288</v>
      </c>
      <c r="AH154" s="19">
        <v>4.4153793331909198E-3</v>
      </c>
      <c r="AI154" s="18">
        <v>7979.5924146812404</v>
      </c>
      <c r="AJ154" s="19">
        <v>5.77956057423168E-3</v>
      </c>
      <c r="AK154" s="18">
        <v>5873.3708617762104</v>
      </c>
      <c r="AL154" s="19">
        <v>5.0204818537791197E-4</v>
      </c>
      <c r="AM154" s="18">
        <v>28455.693625179199</v>
      </c>
      <c r="AN154" s="19">
        <v>2.01003891070384E-3</v>
      </c>
      <c r="AO154" s="18">
        <v>10964.437864757399</v>
      </c>
      <c r="AP154" s="19">
        <v>1.10905925825877E-3</v>
      </c>
      <c r="AQ154" s="18">
        <v>6934.8223531174999</v>
      </c>
      <c r="AR154" s="19">
        <v>4.9119475040493299E-5</v>
      </c>
      <c r="AS154" s="18">
        <v>11710.936342265501</v>
      </c>
      <c r="AT154" s="19">
        <v>1.4525647125225701E-2</v>
      </c>
      <c r="AU154" s="18">
        <v>1179.8270293912501</v>
      </c>
      <c r="AV154" s="19">
        <v>1.5519069655525001E-2</v>
      </c>
      <c r="AW154" s="18">
        <v>2136.0414131796801</v>
      </c>
      <c r="AX154" s="19">
        <v>-3.6775710392286101E-3</v>
      </c>
      <c r="AY154" s="18">
        <v>537.15480139594501</v>
      </c>
      <c r="AZ154" s="19">
        <v>1.47296334580103E-2</v>
      </c>
      <c r="BA154" s="18">
        <v>5230.3098066163402</v>
      </c>
      <c r="BB154" s="19">
        <v>-6.53216955547287E-3</v>
      </c>
      <c r="BC154" s="18">
        <v>8897.6887794355007</v>
      </c>
      <c r="BD154" s="19">
        <v>1.9005973140406899E-3</v>
      </c>
      <c r="BE154" s="18">
        <v>-3667.37897281916</v>
      </c>
      <c r="BF154" s="19">
        <v>1.41778739126182E-2</v>
      </c>
      <c r="BG154" s="18"/>
      <c r="BH154" s="19"/>
    </row>
    <row r="155" spans="1:60" x14ac:dyDescent="0.15">
      <c r="A155" s="17">
        <v>2015</v>
      </c>
      <c r="B155" s="17">
        <v>4</v>
      </c>
      <c r="C155" s="18">
        <v>170941.12092765301</v>
      </c>
      <c r="D155" s="19">
        <v>3.8255431055906901E-3</v>
      </c>
      <c r="E155" s="18">
        <v>165724.25874462401</v>
      </c>
      <c r="F155" s="19">
        <v>4.0282362402108696E-3</v>
      </c>
      <c r="G155" s="18">
        <v>1049.63849303808</v>
      </c>
      <c r="H155" s="19">
        <v>8.5398749657341604E-3</v>
      </c>
      <c r="I155" s="18">
        <v>175.24374442030401</v>
      </c>
      <c r="J155" s="19">
        <v>3.6241394994998002E-3</v>
      </c>
      <c r="K155" s="18">
        <v>30954.3876228316</v>
      </c>
      <c r="L155" s="19">
        <v>1.6993755724032899E-2</v>
      </c>
      <c r="M155" s="18">
        <v>10013.313442819899</v>
      </c>
      <c r="N155" s="19">
        <v>5.6234310305086202E-2</v>
      </c>
      <c r="O155" s="18">
        <v>20941.074180011699</v>
      </c>
      <c r="P155" s="19">
        <v>-7.5732081547752505E-4</v>
      </c>
      <c r="Q155" s="18">
        <v>2545.3033461484802</v>
      </c>
      <c r="R155" s="19">
        <v>4.5255022302237402E-5</v>
      </c>
      <c r="S155" s="18">
        <v>714.03975133003905</v>
      </c>
      <c r="T155" s="19">
        <v>-1.24562196560543E-2</v>
      </c>
      <c r="U155" s="18">
        <v>8158.1382589144696</v>
      </c>
      <c r="V155" s="19">
        <v>1.0411105657957E-3</v>
      </c>
      <c r="W155" s="18">
        <v>27517.576199663999</v>
      </c>
      <c r="X155" s="19">
        <v>-8.4084984545773605E-3</v>
      </c>
      <c r="Y155" s="18">
        <v>6273.8131414790996</v>
      </c>
      <c r="Z155" s="19">
        <v>-5.69710083641528E-3</v>
      </c>
      <c r="AA155" s="18">
        <v>6166.3366064516204</v>
      </c>
      <c r="AB155" s="19">
        <v>1.91757164913731E-3</v>
      </c>
      <c r="AC155" s="18">
        <v>3255.39546334239</v>
      </c>
      <c r="AD155" s="19">
        <v>1.1928406555294001E-2</v>
      </c>
      <c r="AE155" s="18">
        <v>7386.4138526946499</v>
      </c>
      <c r="AF155" s="19">
        <v>1.04571107161289E-3</v>
      </c>
      <c r="AG155" s="18">
        <v>15636.283469202401</v>
      </c>
      <c r="AH155" s="19">
        <v>4.32952829111355E-3</v>
      </c>
      <c r="AI155" s="18">
        <v>8022.2098174716402</v>
      </c>
      <c r="AJ155" s="19">
        <v>5.3407994513594596E-3</v>
      </c>
      <c r="AK155" s="18">
        <v>5866.1480080759002</v>
      </c>
      <c r="AL155" s="19">
        <v>-1.2297629198454499E-3</v>
      </c>
      <c r="AM155" s="18">
        <v>28447.186953070399</v>
      </c>
      <c r="AN155" s="19">
        <v>-2.9894446506251198E-4</v>
      </c>
      <c r="AO155" s="18">
        <v>10995.1138656371</v>
      </c>
      <c r="AP155" s="19">
        <v>2.7977723307046599E-3</v>
      </c>
      <c r="AQ155" s="18">
        <v>6977.4819822884801</v>
      </c>
      <c r="AR155" s="19">
        <v>6.1515100169513602E-3</v>
      </c>
      <c r="AS155" s="18">
        <v>11798.6018538854</v>
      </c>
      <c r="AT155" s="19">
        <v>7.4857815855029503E-3</v>
      </c>
      <c r="AU155" s="18">
        <v>1232.30418848611</v>
      </c>
      <c r="AV155" s="19">
        <v>4.4478688644669299E-2</v>
      </c>
      <c r="AW155" s="18">
        <v>2168.66158800119</v>
      </c>
      <c r="AX155" s="19">
        <v>1.5271321342475601E-2</v>
      </c>
      <c r="AY155" s="18">
        <v>546.15150521671796</v>
      </c>
      <c r="AZ155" s="19">
        <v>1.6748810207768201E-2</v>
      </c>
      <c r="BA155" s="18">
        <v>5216.8621830293296</v>
      </c>
      <c r="BB155" s="19">
        <v>-2.5710950372387401E-3</v>
      </c>
      <c r="BC155" s="18">
        <v>8921.7349299444504</v>
      </c>
      <c r="BD155" s="19">
        <v>2.7025164742247002E-3</v>
      </c>
      <c r="BE155" s="18">
        <v>-3704.8727469151199</v>
      </c>
      <c r="BF155" s="19">
        <v>1.0223588664778301E-2</v>
      </c>
      <c r="BG155" s="18"/>
      <c r="BH155" s="19"/>
    </row>
    <row r="156" spans="1:60" x14ac:dyDescent="0.15">
      <c r="A156" s="17">
        <v>2016</v>
      </c>
      <c r="B156" s="17">
        <v>1</v>
      </c>
      <c r="C156" s="18">
        <v>171291.81084291899</v>
      </c>
      <c r="D156" s="19">
        <v>2.0515246031065399E-3</v>
      </c>
      <c r="E156" s="18">
        <v>166144.008247588</v>
      </c>
      <c r="F156" s="19">
        <v>2.5328187082822601E-3</v>
      </c>
      <c r="G156" s="18">
        <v>1102.2949816693899</v>
      </c>
      <c r="H156" s="19">
        <v>5.01663086677673E-2</v>
      </c>
      <c r="I156" s="18">
        <v>182.367799071669</v>
      </c>
      <c r="J156" s="19">
        <v>4.0652262224426298E-2</v>
      </c>
      <c r="K156" s="18">
        <v>31195.651817128299</v>
      </c>
      <c r="L156" s="19">
        <v>7.7941840503008598E-3</v>
      </c>
      <c r="M156" s="18">
        <v>10034.7000078736</v>
      </c>
      <c r="N156" s="19">
        <v>2.1358130029440802E-3</v>
      </c>
      <c r="O156" s="18">
        <v>21160.9518092547</v>
      </c>
      <c r="P156" s="19">
        <v>1.0499825718245599E-2</v>
      </c>
      <c r="Q156" s="18">
        <v>2449.54464415863</v>
      </c>
      <c r="R156" s="19">
        <v>-3.7621724787635702E-2</v>
      </c>
      <c r="S156" s="18">
        <v>720.97705336636102</v>
      </c>
      <c r="T156" s="19">
        <v>9.7155683887346599E-3</v>
      </c>
      <c r="U156" s="18">
        <v>8145.5370262988499</v>
      </c>
      <c r="V156" s="19">
        <v>-1.5446211152222401E-3</v>
      </c>
      <c r="W156" s="18">
        <v>27440.708146820401</v>
      </c>
      <c r="X156" s="19">
        <v>-2.79341655260001E-3</v>
      </c>
      <c r="Y156" s="18">
        <v>6267.8398750526203</v>
      </c>
      <c r="Z156" s="19">
        <v>-9.5209504838333903E-4</v>
      </c>
      <c r="AA156" s="18">
        <v>6161.4523412389799</v>
      </c>
      <c r="AB156" s="19">
        <v>-7.9208540246267201E-4</v>
      </c>
      <c r="AC156" s="18">
        <v>3225.1018878999398</v>
      </c>
      <c r="AD156" s="19">
        <v>-9.3056514280894804E-3</v>
      </c>
      <c r="AE156" s="18">
        <v>7415.5067581903904</v>
      </c>
      <c r="AF156" s="19">
        <v>3.9387050436028304E-3</v>
      </c>
      <c r="AG156" s="18">
        <v>15514.2674951388</v>
      </c>
      <c r="AH156" s="19">
        <v>-7.80338718621731E-3</v>
      </c>
      <c r="AI156" s="18">
        <v>7933.4534793488301</v>
      </c>
      <c r="AJ156" s="19">
        <v>-1.10638265692709E-2</v>
      </c>
      <c r="AK156" s="18">
        <v>5849.10870846529</v>
      </c>
      <c r="AL156" s="19">
        <v>-2.9046828663639199E-3</v>
      </c>
      <c r="AM156" s="18">
        <v>28517.3908181468</v>
      </c>
      <c r="AN156" s="19">
        <v>2.4678666889705902E-3</v>
      </c>
      <c r="AO156" s="18">
        <v>11021.4229839325</v>
      </c>
      <c r="AP156" s="19">
        <v>2.3928008947289299E-3</v>
      </c>
      <c r="AQ156" s="18">
        <v>7012.3836304400402</v>
      </c>
      <c r="AR156" s="19">
        <v>5.0020405986219698E-3</v>
      </c>
      <c r="AS156" s="18">
        <v>12035.235130090399</v>
      </c>
      <c r="AT156" s="19">
        <v>2.0056043854644899E-2</v>
      </c>
      <c r="AU156" s="18">
        <v>1302.1319453940901</v>
      </c>
      <c r="AV156" s="19">
        <v>5.6664383323865801E-2</v>
      </c>
      <c r="AW156" s="18">
        <v>2153.97567920759</v>
      </c>
      <c r="AX156" s="19">
        <v>-6.7718766610946899E-3</v>
      </c>
      <c r="AY156" s="18">
        <v>548.05810939489197</v>
      </c>
      <c r="AZ156" s="19">
        <v>3.49098035977757E-3</v>
      </c>
      <c r="BA156" s="18">
        <v>5147.8025953303904</v>
      </c>
      <c r="BB156" s="19">
        <v>-1.3237763482346E-2</v>
      </c>
      <c r="BC156" s="18">
        <v>8852.4255265098</v>
      </c>
      <c r="BD156" s="19">
        <v>-7.7686015084376097E-3</v>
      </c>
      <c r="BE156" s="18">
        <v>-3704.62293117941</v>
      </c>
      <c r="BF156" s="19">
        <v>-6.7428965250582201E-5</v>
      </c>
      <c r="BG156" s="18"/>
      <c r="BH156" s="19"/>
    </row>
    <row r="157" spans="1:60" x14ac:dyDescent="0.15">
      <c r="A157" s="17">
        <v>2016</v>
      </c>
      <c r="B157" s="17">
        <v>2</v>
      </c>
      <c r="C157" s="18">
        <v>171822.16784030301</v>
      </c>
      <c r="D157" s="19">
        <v>3.0962192224766E-3</v>
      </c>
      <c r="E157" s="18">
        <v>166604.96017654199</v>
      </c>
      <c r="F157" s="19">
        <v>2.7744119924382202E-3</v>
      </c>
      <c r="G157" s="18">
        <v>1131.76963158628</v>
      </c>
      <c r="H157" s="19">
        <v>2.6739348728822099E-2</v>
      </c>
      <c r="I157" s="18">
        <v>181.055246399579</v>
      </c>
      <c r="J157" s="19">
        <v>-7.19728306625733E-3</v>
      </c>
      <c r="K157" s="18">
        <v>31083.575262216302</v>
      </c>
      <c r="L157" s="19">
        <v>-3.5926979685811898E-3</v>
      </c>
      <c r="M157" s="18">
        <v>10191.5140003954</v>
      </c>
      <c r="N157" s="19">
        <v>1.5627172949735001E-2</v>
      </c>
      <c r="O157" s="18">
        <v>20892.061261820902</v>
      </c>
      <c r="P157" s="19">
        <v>-1.27069212130674E-2</v>
      </c>
      <c r="Q157" s="18">
        <v>2450.4032169236398</v>
      </c>
      <c r="R157" s="19">
        <v>3.5050300759165203E-4</v>
      </c>
      <c r="S157" s="18">
        <v>755.57796355528399</v>
      </c>
      <c r="T157" s="19">
        <v>4.7991694087024403E-2</v>
      </c>
      <c r="U157" s="18">
        <v>8149.7240589664298</v>
      </c>
      <c r="V157" s="19">
        <v>5.1402782334153397E-4</v>
      </c>
      <c r="W157" s="18">
        <v>27211.7476348739</v>
      </c>
      <c r="X157" s="19">
        <v>-8.3438266505915203E-3</v>
      </c>
      <c r="Y157" s="18">
        <v>6261.5069426324599</v>
      </c>
      <c r="Z157" s="19">
        <v>-1.01038516401253E-3</v>
      </c>
      <c r="AA157" s="18">
        <v>6310.7129690311003</v>
      </c>
      <c r="AB157" s="19">
        <v>2.42249098955305E-2</v>
      </c>
      <c r="AC157" s="18">
        <v>3235.32838852329</v>
      </c>
      <c r="AD157" s="19">
        <v>3.1709077662684898E-3</v>
      </c>
      <c r="AE157" s="18">
        <v>7514.5813737466297</v>
      </c>
      <c r="AF157" s="19">
        <v>1.3360464603017199E-2</v>
      </c>
      <c r="AG157" s="18">
        <v>15452.8518735583</v>
      </c>
      <c r="AH157" s="19">
        <v>-3.9586542903032899E-3</v>
      </c>
      <c r="AI157" s="18">
        <v>7870.3162022748102</v>
      </c>
      <c r="AJ157" s="19">
        <v>-7.9583597784203004E-3</v>
      </c>
      <c r="AK157" s="18">
        <v>5797.9140837812802</v>
      </c>
      <c r="AL157" s="19">
        <v>-8.7525514117935393E-3</v>
      </c>
      <c r="AM157" s="18">
        <v>28812.292017432701</v>
      </c>
      <c r="AN157" s="19">
        <v>1.0341100318973701E-2</v>
      </c>
      <c r="AO157" s="18">
        <v>11081.0958913707</v>
      </c>
      <c r="AP157" s="19">
        <v>5.4142652473456697E-3</v>
      </c>
      <c r="AQ157" s="18">
        <v>7076.6124498181498</v>
      </c>
      <c r="AR157" s="19">
        <v>9.1593419246629396E-3</v>
      </c>
      <c r="AS157" s="18">
        <v>12097.266294695401</v>
      </c>
      <c r="AT157" s="19">
        <v>5.1541298474464502E-3</v>
      </c>
      <c r="AU157" s="18">
        <v>1341.5699381254799</v>
      </c>
      <c r="AV157" s="19">
        <v>3.0287247671701802E-2</v>
      </c>
      <c r="AW157" s="18">
        <v>2162.4882712385402</v>
      </c>
      <c r="AX157" s="19">
        <v>3.9520372087409302E-3</v>
      </c>
      <c r="AY157" s="18">
        <v>556.30769448030696</v>
      </c>
      <c r="AZ157" s="19">
        <v>1.5052391241000799E-2</v>
      </c>
      <c r="BA157" s="18">
        <v>5217.2076637612099</v>
      </c>
      <c r="BB157" s="19">
        <v>1.3482465021828999E-2</v>
      </c>
      <c r="BC157" s="18">
        <v>8929.0441161430899</v>
      </c>
      <c r="BD157" s="19">
        <v>8.6550956462541108E-3</v>
      </c>
      <c r="BE157" s="18">
        <v>-3711.83645238187</v>
      </c>
      <c r="BF157" s="19">
        <v>1.9471674544122601E-3</v>
      </c>
      <c r="BG157" s="18"/>
      <c r="BH157" s="19"/>
    </row>
    <row r="158" spans="1:60" x14ac:dyDescent="0.15">
      <c r="A158" s="17">
        <v>2016</v>
      </c>
      <c r="B158" s="17">
        <v>3</v>
      </c>
      <c r="C158" s="18">
        <v>172107.17128690801</v>
      </c>
      <c r="D158" s="19">
        <v>1.65871173776222E-3</v>
      </c>
      <c r="E158" s="18">
        <v>167042.40699058399</v>
      </c>
      <c r="F158" s="19">
        <v>2.62565300323581E-3</v>
      </c>
      <c r="G158" s="18">
        <v>1146.1001896037999</v>
      </c>
      <c r="H158" s="19">
        <v>1.2662080354134001E-2</v>
      </c>
      <c r="I158" s="18">
        <v>180.110811372272</v>
      </c>
      <c r="J158" s="19">
        <v>-5.2162809202624897E-3</v>
      </c>
      <c r="K158" s="18">
        <v>31659.861607849602</v>
      </c>
      <c r="L158" s="19">
        <v>1.85398989907626E-2</v>
      </c>
      <c r="M158" s="18">
        <v>10500.9302956999</v>
      </c>
      <c r="N158" s="19">
        <v>3.0360189398010301E-2</v>
      </c>
      <c r="O158" s="18">
        <v>21158.9313121497</v>
      </c>
      <c r="P158" s="19">
        <v>1.2773753962538501E-2</v>
      </c>
      <c r="Q158" s="18">
        <v>2206.2118252864302</v>
      </c>
      <c r="R158" s="19">
        <v>-9.9653554954021395E-2</v>
      </c>
      <c r="S158" s="18">
        <v>740.61082141648296</v>
      </c>
      <c r="T158" s="19">
        <v>-1.98088653464361E-2</v>
      </c>
      <c r="U158" s="18">
        <v>8138.4755190572896</v>
      </c>
      <c r="V158" s="19">
        <v>-1.3802356776441099E-3</v>
      </c>
      <c r="W158" s="18">
        <v>27170.429243621398</v>
      </c>
      <c r="X158" s="19">
        <v>-1.51840270631887E-3</v>
      </c>
      <c r="Y158" s="18">
        <v>6260.1231906439898</v>
      </c>
      <c r="Z158" s="19">
        <v>-2.2099344473181E-4</v>
      </c>
      <c r="AA158" s="18">
        <v>6369.2073644842703</v>
      </c>
      <c r="AB158" s="19">
        <v>9.2690628999010406E-3</v>
      </c>
      <c r="AC158" s="18">
        <v>3218.3089380049901</v>
      </c>
      <c r="AD158" s="19">
        <v>-5.2605017094000698E-3</v>
      </c>
      <c r="AE158" s="18">
        <v>7397.4247225891704</v>
      </c>
      <c r="AF158" s="19">
        <v>-1.55905758858054E-2</v>
      </c>
      <c r="AG158" s="18">
        <v>15401.0724829224</v>
      </c>
      <c r="AH158" s="19">
        <v>-3.35079835486007E-3</v>
      </c>
      <c r="AI158" s="18">
        <v>7826.95126838743</v>
      </c>
      <c r="AJ158" s="19">
        <v>-5.5099354044822997E-3</v>
      </c>
      <c r="AK158" s="18">
        <v>5711.34641627152</v>
      </c>
      <c r="AL158" s="19">
        <v>-1.4930829649910901E-2</v>
      </c>
      <c r="AM158" s="18">
        <v>28905.539491782201</v>
      </c>
      <c r="AN158" s="19">
        <v>3.2363782198634402E-3</v>
      </c>
      <c r="AO158" s="18">
        <v>11100.807243408901</v>
      </c>
      <c r="AP158" s="19">
        <v>1.7788269528078401E-3</v>
      </c>
      <c r="AQ158" s="18">
        <v>7079.4485649717199</v>
      </c>
      <c r="AR158" s="19">
        <v>4.0077299324781102E-4</v>
      </c>
      <c r="AS158" s="18">
        <v>12228.7024338179</v>
      </c>
      <c r="AT158" s="19">
        <v>1.08649455108796E-2</v>
      </c>
      <c r="AU158" s="18">
        <v>1365.1885550785901</v>
      </c>
      <c r="AV158" s="19">
        <v>1.7605207363335498E-2</v>
      </c>
      <c r="AW158" s="18">
        <v>2172.0632737286101</v>
      </c>
      <c r="AX158" s="19">
        <v>4.4277708311375504E-3</v>
      </c>
      <c r="AY158" s="18">
        <v>562.84390158745896</v>
      </c>
      <c r="AZ158" s="19">
        <v>1.17492660482759E-2</v>
      </c>
      <c r="BA158" s="18">
        <v>5064.7642963240696</v>
      </c>
      <c r="BB158" s="19">
        <v>-2.92193405480125E-2</v>
      </c>
      <c r="BC158" s="18">
        <v>8802.0302992949801</v>
      </c>
      <c r="BD158" s="19">
        <v>-1.42247944120332E-2</v>
      </c>
      <c r="BE158" s="18">
        <v>-3737.2660029709</v>
      </c>
      <c r="BF158" s="19">
        <v>6.8509350870542603E-3</v>
      </c>
      <c r="BG158" s="18"/>
      <c r="BH158" s="19"/>
    </row>
    <row r="159" spans="1:60" x14ac:dyDescent="0.15">
      <c r="A159" s="17">
        <v>2016</v>
      </c>
      <c r="B159" s="17">
        <v>4</v>
      </c>
      <c r="C159" s="18">
        <v>172020.88019585799</v>
      </c>
      <c r="D159" s="19">
        <v>-5.0137998553356799E-4</v>
      </c>
      <c r="E159" s="18">
        <v>167046.40604382899</v>
      </c>
      <c r="F159" s="19">
        <v>2.3940347347206602E-5</v>
      </c>
      <c r="G159" s="18">
        <v>1124.9800109801899</v>
      </c>
      <c r="H159" s="19">
        <v>-1.84278641738196E-2</v>
      </c>
      <c r="I159" s="18">
        <v>178.29397796897399</v>
      </c>
      <c r="J159" s="19">
        <v>-1.00873089708216E-2</v>
      </c>
      <c r="K159" s="18">
        <v>31657.021811484799</v>
      </c>
      <c r="L159" s="19">
        <v>-8.9697055533744004E-5</v>
      </c>
      <c r="M159" s="18">
        <v>10727.4614100298</v>
      </c>
      <c r="N159" s="19">
        <v>2.1572480528005301E-2</v>
      </c>
      <c r="O159" s="18">
        <v>20929.560401455001</v>
      </c>
      <c r="P159" s="19">
        <v>-1.0840382593569601E-2</v>
      </c>
      <c r="Q159" s="18">
        <v>1945.9153120221399</v>
      </c>
      <c r="R159" s="19">
        <v>-0.117983463908998</v>
      </c>
      <c r="S159" s="18">
        <v>740.75947788308201</v>
      </c>
      <c r="T159" s="19">
        <v>2.0072143465954499E-4</v>
      </c>
      <c r="U159" s="18">
        <v>8115.3676612912304</v>
      </c>
      <c r="V159" s="19">
        <v>-2.8393349235915598E-3</v>
      </c>
      <c r="W159" s="18">
        <v>27170.464016875299</v>
      </c>
      <c r="X159" s="19">
        <v>1.2798198210095501E-6</v>
      </c>
      <c r="Y159" s="18">
        <v>6242.51287150186</v>
      </c>
      <c r="Z159" s="19">
        <v>-2.8130946637684499E-3</v>
      </c>
      <c r="AA159" s="18">
        <v>6374.2874958269804</v>
      </c>
      <c r="AB159" s="19">
        <v>7.9760809343976103E-4</v>
      </c>
      <c r="AC159" s="18">
        <v>3238.9303585348398</v>
      </c>
      <c r="AD159" s="19">
        <v>6.4075329395310004E-3</v>
      </c>
      <c r="AE159" s="18">
        <v>7447.1445471629004</v>
      </c>
      <c r="AF159" s="19">
        <v>6.7212342725020396E-3</v>
      </c>
      <c r="AG159" s="18">
        <v>15123.1735979279</v>
      </c>
      <c r="AH159" s="19">
        <v>-1.8044125518054802E-2</v>
      </c>
      <c r="AI159" s="18">
        <v>7642.0973847013702</v>
      </c>
      <c r="AJ159" s="19">
        <v>-2.3617610145685499E-2</v>
      </c>
      <c r="AK159" s="18">
        <v>5584.6657511220001</v>
      </c>
      <c r="AL159" s="19">
        <v>-2.2180525556742301E-2</v>
      </c>
      <c r="AM159" s="18">
        <v>29208.7520154761</v>
      </c>
      <c r="AN159" s="19">
        <v>1.0489772169106199E-2</v>
      </c>
      <c r="AO159" s="18">
        <v>11160.386420929601</v>
      </c>
      <c r="AP159" s="19">
        <v>5.3671031497390899E-3</v>
      </c>
      <c r="AQ159" s="18">
        <v>7082.8708400124997</v>
      </c>
      <c r="AR159" s="19">
        <v>4.8340983190664499E-4</v>
      </c>
      <c r="AS159" s="18">
        <v>12358.1465788156</v>
      </c>
      <c r="AT159" s="19">
        <v>1.05852722885531E-2</v>
      </c>
      <c r="AU159" s="18">
        <v>1363.6551349573599</v>
      </c>
      <c r="AV159" s="19">
        <v>-1.1232295462270099E-3</v>
      </c>
      <c r="AW159" s="18">
        <v>2186.66891291806</v>
      </c>
      <c r="AX159" s="19">
        <v>6.72431570761134E-3</v>
      </c>
      <c r="AY159" s="18">
        <v>569.58787276108797</v>
      </c>
      <c r="AZ159" s="19">
        <v>1.1981956550666001E-2</v>
      </c>
      <c r="BA159" s="18">
        <v>4974.4741520289999</v>
      </c>
      <c r="BB159" s="19">
        <v>-1.7827116724977801E-2</v>
      </c>
      <c r="BC159" s="18">
        <v>8742.1943468768204</v>
      </c>
      <c r="BD159" s="19">
        <v>-6.7979716478542302E-3</v>
      </c>
      <c r="BE159" s="18">
        <v>-3767.72019484781</v>
      </c>
      <c r="BF159" s="19">
        <v>8.1487889416218505E-3</v>
      </c>
      <c r="BG159" s="18"/>
      <c r="BH159" s="19"/>
    </row>
    <row r="160" spans="1:60" x14ac:dyDescent="0.15">
      <c r="A160" s="17">
        <v>2017</v>
      </c>
      <c r="B160" s="17">
        <v>1</v>
      </c>
      <c r="C160" s="18">
        <v>171905.12317453299</v>
      </c>
      <c r="D160" s="19">
        <v>-6.7292424729659096E-4</v>
      </c>
      <c r="E160" s="18">
        <v>166823.30020530801</v>
      </c>
      <c r="F160" s="19">
        <v>-1.3355919699493701E-3</v>
      </c>
      <c r="G160" s="18">
        <v>1106.5888523553599</v>
      </c>
      <c r="H160" s="19">
        <v>-1.6347987026724999E-2</v>
      </c>
      <c r="I160" s="18">
        <v>175.61484790627699</v>
      </c>
      <c r="J160" s="19">
        <v>-1.50264753370638E-2</v>
      </c>
      <c r="K160" s="18">
        <v>31730.216569675002</v>
      </c>
      <c r="L160" s="19">
        <v>2.3121176283149602E-3</v>
      </c>
      <c r="M160" s="18">
        <v>10556.353678404201</v>
      </c>
      <c r="N160" s="19">
        <v>-1.5950440191335302E-2</v>
      </c>
      <c r="O160" s="18">
        <v>21173.862891270801</v>
      </c>
      <c r="P160" s="19">
        <v>1.1672604924795301E-2</v>
      </c>
      <c r="Q160" s="18">
        <v>2040.0856970002601</v>
      </c>
      <c r="R160" s="19">
        <v>4.8393876340004201E-2</v>
      </c>
      <c r="S160" s="18">
        <v>730.81623499590796</v>
      </c>
      <c r="T160" s="19">
        <v>-1.34230383600215E-2</v>
      </c>
      <c r="U160" s="18">
        <v>8095.3704242971598</v>
      </c>
      <c r="V160" s="19">
        <v>-2.4641196589840798E-3</v>
      </c>
      <c r="W160" s="18">
        <v>27293.687336843199</v>
      </c>
      <c r="X160" s="19">
        <v>4.5351938005688801E-3</v>
      </c>
      <c r="Y160" s="18">
        <v>6267.1955288011904</v>
      </c>
      <c r="Z160" s="19">
        <v>3.95396177907981E-3</v>
      </c>
      <c r="AA160" s="18">
        <v>6279.6806958347997</v>
      </c>
      <c r="AB160" s="19">
        <v>-1.48419411666181E-2</v>
      </c>
      <c r="AC160" s="18">
        <v>3256.6275703147298</v>
      </c>
      <c r="AD160" s="19">
        <v>5.4639062347407999E-3</v>
      </c>
      <c r="AE160" s="18">
        <v>7415.9977590584404</v>
      </c>
      <c r="AF160" s="19">
        <v>-4.1823799588159797E-3</v>
      </c>
      <c r="AG160" s="18">
        <v>14567.630395284599</v>
      </c>
      <c r="AH160" s="19">
        <v>-3.6734564940752397E-2</v>
      </c>
      <c r="AI160" s="18">
        <v>7171.4898220202103</v>
      </c>
      <c r="AJ160" s="19">
        <v>-6.1580942899689302E-2</v>
      </c>
      <c r="AK160" s="18">
        <v>5409.4069012615801</v>
      </c>
      <c r="AL160" s="19">
        <v>-3.1382155650982201E-2</v>
      </c>
      <c r="AM160" s="18">
        <v>29297.721663460601</v>
      </c>
      <c r="AN160" s="19">
        <v>3.0459927879584701E-3</v>
      </c>
      <c r="AO160" s="18">
        <v>11217.326020366399</v>
      </c>
      <c r="AP160" s="19">
        <v>5.10193798755276E-3</v>
      </c>
      <c r="AQ160" s="18">
        <v>7071.1596913715803</v>
      </c>
      <c r="AR160" s="19">
        <v>-1.6534465904363099E-3</v>
      </c>
      <c r="AS160" s="18">
        <v>12429.042406771699</v>
      </c>
      <c r="AT160" s="19">
        <v>5.7367686573386303E-3</v>
      </c>
      <c r="AU160" s="18">
        <v>1349.3666743004401</v>
      </c>
      <c r="AV160" s="19">
        <v>-1.0478060244580799E-2</v>
      </c>
      <c r="AW160" s="18">
        <v>2197.2892114701699</v>
      </c>
      <c r="AX160" s="19">
        <v>4.85683886086652E-3</v>
      </c>
      <c r="AY160" s="18">
        <v>569.078154001097</v>
      </c>
      <c r="AZ160" s="19">
        <v>-8.9489047145530098E-4</v>
      </c>
      <c r="BA160" s="18">
        <v>5081.8229692248096</v>
      </c>
      <c r="BB160" s="19">
        <v>2.1579932655196199E-2</v>
      </c>
      <c r="BC160" s="18">
        <v>8865.9814240858705</v>
      </c>
      <c r="BD160" s="19">
        <v>1.4159726070752001E-2</v>
      </c>
      <c r="BE160" s="18">
        <v>-3784.1584548610599</v>
      </c>
      <c r="BF160" s="19">
        <v>4.3629195277636902E-3</v>
      </c>
      <c r="BG160" s="18"/>
      <c r="BH160" s="19"/>
    </row>
    <row r="161" spans="1:60" x14ac:dyDescent="0.15">
      <c r="A161" s="17">
        <v>2017</v>
      </c>
      <c r="B161" s="17">
        <v>2</v>
      </c>
      <c r="C161" s="18">
        <v>172967.06653470299</v>
      </c>
      <c r="D161" s="19">
        <v>6.1774968689667399E-3</v>
      </c>
      <c r="E161" s="18">
        <v>167841.415449227</v>
      </c>
      <c r="F161" s="19">
        <v>6.1029558980478802E-3</v>
      </c>
      <c r="G161" s="18">
        <v>1091.5531212496501</v>
      </c>
      <c r="H161" s="19">
        <v>-1.35874594016611E-2</v>
      </c>
      <c r="I161" s="18">
        <v>179.757826208404</v>
      </c>
      <c r="J161" s="19">
        <v>2.3591275746448301E-2</v>
      </c>
      <c r="K161" s="18">
        <v>31790.5351541813</v>
      </c>
      <c r="L161" s="19">
        <v>1.9009824396825101E-3</v>
      </c>
      <c r="M161" s="18">
        <v>10650.161374801801</v>
      </c>
      <c r="N161" s="19">
        <v>8.8863730086514697E-3</v>
      </c>
      <c r="O161" s="18">
        <v>21140.373779379501</v>
      </c>
      <c r="P161" s="19">
        <v>-1.58162504703308E-3</v>
      </c>
      <c r="Q161" s="18">
        <v>2362.0281213148901</v>
      </c>
      <c r="R161" s="19">
        <v>0.15780828461667701</v>
      </c>
      <c r="S161" s="18">
        <v>723.209258126083</v>
      </c>
      <c r="T161" s="19">
        <v>-1.0408877780154599E-2</v>
      </c>
      <c r="U161" s="18">
        <v>8117.7019238558196</v>
      </c>
      <c r="V161" s="19">
        <v>2.7585519115509399E-3</v>
      </c>
      <c r="W161" s="18">
        <v>27491.8480748191</v>
      </c>
      <c r="X161" s="19">
        <v>7.2603139154592301E-3</v>
      </c>
      <c r="Y161" s="18">
        <v>6196.65581473357</v>
      </c>
      <c r="Z161" s="19">
        <v>-1.12553874764961E-2</v>
      </c>
      <c r="AA161" s="18">
        <v>6430.3551483794599</v>
      </c>
      <c r="AB161" s="19">
        <v>2.3993967184445401E-2</v>
      </c>
      <c r="AC161" s="18">
        <v>3291.5981020797299</v>
      </c>
      <c r="AD161" s="19">
        <v>1.0738265586083E-2</v>
      </c>
      <c r="AE161" s="18">
        <v>7465.5692660414998</v>
      </c>
      <c r="AF161" s="19">
        <v>6.6844015591180899E-3</v>
      </c>
      <c r="AG161" s="18">
        <v>14572.609342391401</v>
      </c>
      <c r="AH161" s="19">
        <v>3.4178153699193598E-4</v>
      </c>
      <c r="AI161" s="18">
        <v>7130.0150954875799</v>
      </c>
      <c r="AJ161" s="19">
        <v>-5.7832790064461497E-3</v>
      </c>
      <c r="AK161" s="18">
        <v>5343.4014195521104</v>
      </c>
      <c r="AL161" s="19">
        <v>-1.2201981273413799E-2</v>
      </c>
      <c r="AM161" s="18">
        <v>29419.4289275841</v>
      </c>
      <c r="AN161" s="19">
        <v>4.1541545626511099E-3</v>
      </c>
      <c r="AO161" s="18">
        <v>11293.315850020501</v>
      </c>
      <c r="AP161" s="19">
        <v>6.77432656554977E-3</v>
      </c>
      <c r="AQ161" s="18">
        <v>7077.6624292685501</v>
      </c>
      <c r="AR161" s="19">
        <v>9.1961406343377095E-4</v>
      </c>
      <c r="AS161" s="18">
        <v>12422.926652730201</v>
      </c>
      <c r="AT161" s="19">
        <v>-4.9205351798908804E-4</v>
      </c>
      <c r="AU161" s="18">
        <v>1363.58604122834</v>
      </c>
      <c r="AV161" s="19">
        <v>1.0537807994454701E-2</v>
      </c>
      <c r="AW161" s="18">
        <v>2171.9653687847499</v>
      </c>
      <c r="AX161" s="19">
        <v>-1.1525038467046399E-2</v>
      </c>
      <c r="AY161" s="18">
        <v>575.764840963501</v>
      </c>
      <c r="AZ161" s="19">
        <v>1.1750032777379399E-2</v>
      </c>
      <c r="BA161" s="18">
        <v>5125.6510854751104</v>
      </c>
      <c r="BB161" s="19">
        <v>8.6244870228111593E-3</v>
      </c>
      <c r="BC161" s="18">
        <v>8940.1127285834791</v>
      </c>
      <c r="BD161" s="19">
        <v>8.3613196274265906E-3</v>
      </c>
      <c r="BE161" s="18">
        <v>-3814.46164310837</v>
      </c>
      <c r="BF161" s="19">
        <v>8.0079068064336009E-3</v>
      </c>
      <c r="BG161" s="18"/>
      <c r="BH161" s="19"/>
    </row>
    <row r="162" spans="1:60" x14ac:dyDescent="0.15">
      <c r="A162" s="17">
        <v>2017</v>
      </c>
      <c r="B162" s="17">
        <v>3</v>
      </c>
      <c r="C162" s="18">
        <v>174846.23679858999</v>
      </c>
      <c r="D162" s="19">
        <v>1.0864324067785701E-2</v>
      </c>
      <c r="E162" s="18">
        <v>169426.72457340901</v>
      </c>
      <c r="F162" s="19">
        <v>9.4452797596955608E-3</v>
      </c>
      <c r="G162" s="18">
        <v>1105.1810625794201</v>
      </c>
      <c r="H162" s="19">
        <v>1.24849089471393E-2</v>
      </c>
      <c r="I162" s="18">
        <v>182.32223330798399</v>
      </c>
      <c r="J162" s="19">
        <v>1.4265899592082101E-2</v>
      </c>
      <c r="K162" s="18">
        <v>32011.5254437722</v>
      </c>
      <c r="L162" s="19">
        <v>6.9514491819375702E-3</v>
      </c>
      <c r="M162" s="18">
        <v>10819.345494290799</v>
      </c>
      <c r="N162" s="19">
        <v>1.5885592108420901E-2</v>
      </c>
      <c r="O162" s="18">
        <v>21192.1799494814</v>
      </c>
      <c r="P162" s="19">
        <v>2.4505796653635499E-3</v>
      </c>
      <c r="Q162" s="18">
        <v>2456.1361083230199</v>
      </c>
      <c r="R162" s="19">
        <v>3.9842026502097297E-2</v>
      </c>
      <c r="S162" s="18">
        <v>740.83669288321005</v>
      </c>
      <c r="T162" s="19">
        <v>2.4373906388866801E-2</v>
      </c>
      <c r="U162" s="18">
        <v>8129.5806778938204</v>
      </c>
      <c r="V162" s="19">
        <v>1.4633148826383999E-3</v>
      </c>
      <c r="W162" s="18">
        <v>28075.0330433132</v>
      </c>
      <c r="X162" s="19">
        <v>2.1213014378186599E-2</v>
      </c>
      <c r="Y162" s="18">
        <v>6202.6820280945904</v>
      </c>
      <c r="Z162" s="19">
        <v>9.7249444558333798E-4</v>
      </c>
      <c r="AA162" s="18">
        <v>6381.6879496606298</v>
      </c>
      <c r="AB162" s="19">
        <v>-7.5683531618140299E-3</v>
      </c>
      <c r="AC162" s="18">
        <v>3315.8301815682798</v>
      </c>
      <c r="AD162" s="19">
        <v>7.3617977459756699E-3</v>
      </c>
      <c r="AE162" s="18">
        <v>7599.8967876429597</v>
      </c>
      <c r="AF162" s="19">
        <v>1.79929375529966E-2</v>
      </c>
      <c r="AG162" s="18">
        <v>14602.530551816601</v>
      </c>
      <c r="AH162" s="19">
        <v>2.0532499514815902E-3</v>
      </c>
      <c r="AI162" s="18">
        <v>7004.1288900060399</v>
      </c>
      <c r="AJ162" s="19">
        <v>-1.7655811915631401E-2</v>
      </c>
      <c r="AK162" s="18">
        <v>5380.0869105761503</v>
      </c>
      <c r="AL162" s="19">
        <v>6.8655689781806899E-3</v>
      </c>
      <c r="AM162" s="18">
        <v>29705.0437322584</v>
      </c>
      <c r="AN162" s="19">
        <v>9.7083735166096901E-3</v>
      </c>
      <c r="AO162" s="18">
        <v>11366.1896177452</v>
      </c>
      <c r="AP162" s="19">
        <v>6.4528229523055404E-3</v>
      </c>
      <c r="AQ162" s="18">
        <v>7099.1362965705002</v>
      </c>
      <c r="AR162" s="19">
        <v>3.0340338376624301E-3</v>
      </c>
      <c r="AS162" s="18">
        <v>12457.952578398301</v>
      </c>
      <c r="AT162" s="19">
        <v>2.8194584615370802E-3</v>
      </c>
      <c r="AU162" s="18">
        <v>1411.7271533508299</v>
      </c>
      <c r="AV162" s="19">
        <v>3.5304785079147701E-2</v>
      </c>
      <c r="AW162" s="18">
        <v>2209.5725581506699</v>
      </c>
      <c r="AX162" s="19">
        <v>1.73148199812019E-2</v>
      </c>
      <c r="AY162" s="18">
        <v>576.54190417331495</v>
      </c>
      <c r="AZ162" s="19">
        <v>1.3496190710671201E-3</v>
      </c>
      <c r="BA162" s="18">
        <v>5419.5122251811599</v>
      </c>
      <c r="BB162" s="19">
        <v>5.7331475515137502E-2</v>
      </c>
      <c r="BC162" s="18">
        <v>9251.0863264393192</v>
      </c>
      <c r="BD162" s="19">
        <v>3.4784080167310903E-2</v>
      </c>
      <c r="BE162" s="18">
        <v>-3831.5741012581602</v>
      </c>
      <c r="BF162" s="19">
        <v>4.4862053287935098E-3</v>
      </c>
      <c r="BG162" s="18"/>
      <c r="BH162" s="19"/>
    </row>
    <row r="163" spans="1:60" x14ac:dyDescent="0.15">
      <c r="A163" s="17">
        <v>2017</v>
      </c>
      <c r="B163" s="17">
        <v>4</v>
      </c>
      <c r="C163" s="18">
        <v>177270.56066653901</v>
      </c>
      <c r="D163" s="19">
        <v>1.3865462090223201E-2</v>
      </c>
      <c r="E163" s="18">
        <v>171781.586591912</v>
      </c>
      <c r="F163" s="19">
        <v>1.3898999844521399E-2</v>
      </c>
      <c r="G163" s="18">
        <v>1118.1974229027301</v>
      </c>
      <c r="H163" s="19">
        <v>1.1777581759254901E-2</v>
      </c>
      <c r="I163" s="18">
        <v>185.27254260094</v>
      </c>
      <c r="J163" s="19">
        <v>1.61818404668841E-2</v>
      </c>
      <c r="K163" s="18">
        <v>32726.900797359998</v>
      </c>
      <c r="L163" s="19">
        <v>2.2347430922788E-2</v>
      </c>
      <c r="M163" s="18">
        <v>11196.2759296535</v>
      </c>
      <c r="N163" s="19">
        <v>3.4838561682095398E-2</v>
      </c>
      <c r="O163" s="18">
        <v>21530.624867706501</v>
      </c>
      <c r="P163" s="19">
        <v>1.5970273894984701E-2</v>
      </c>
      <c r="Q163" s="18">
        <v>2335.9492206187001</v>
      </c>
      <c r="R163" s="19">
        <v>-4.8933317374818798E-2</v>
      </c>
      <c r="S163" s="18">
        <v>770.96064582814995</v>
      </c>
      <c r="T163" s="19">
        <v>4.0662069298569303E-2</v>
      </c>
      <c r="U163" s="18">
        <v>8234.7758038082993</v>
      </c>
      <c r="V163" s="19">
        <v>1.2939797276449099E-2</v>
      </c>
      <c r="W163" s="18">
        <v>28461.3864829878</v>
      </c>
      <c r="X163" s="19">
        <v>1.37614598379501E-2</v>
      </c>
      <c r="Y163" s="18">
        <v>6198.85409196811</v>
      </c>
      <c r="Z163" s="19">
        <v>-6.1714208613949896E-4</v>
      </c>
      <c r="AA163" s="18">
        <v>6499.2455870804797</v>
      </c>
      <c r="AB163" s="19">
        <v>1.8421088330728499E-2</v>
      </c>
      <c r="AC163" s="18">
        <v>3347.8601029834899</v>
      </c>
      <c r="AD163" s="19">
        <v>9.6596989777251192E-3</v>
      </c>
      <c r="AE163" s="18">
        <v>7695.4001853541104</v>
      </c>
      <c r="AF163" s="19">
        <v>1.2566407199955399E-2</v>
      </c>
      <c r="AG163" s="18">
        <v>15126.420774480999</v>
      </c>
      <c r="AH163" s="19">
        <v>3.5876673622108599E-2</v>
      </c>
      <c r="AI163" s="18">
        <v>7217.0958019586897</v>
      </c>
      <c r="AJ163" s="19">
        <v>3.04059098993061E-2</v>
      </c>
      <c r="AK163" s="18">
        <v>5524.7536172521905</v>
      </c>
      <c r="AL163" s="19">
        <v>2.6889288050653298E-2</v>
      </c>
      <c r="AM163" s="18">
        <v>29930.429061629198</v>
      </c>
      <c r="AN163" s="19">
        <v>7.5874431090619003E-3</v>
      </c>
      <c r="AO163" s="18">
        <v>11450.002607194299</v>
      </c>
      <c r="AP163" s="19">
        <v>7.3738862598453601E-3</v>
      </c>
      <c r="AQ163" s="18">
        <v>7174.1821371587603</v>
      </c>
      <c r="AR163" s="19">
        <v>1.05711226624161E-2</v>
      </c>
      <c r="AS163" s="18">
        <v>12515.223343265499</v>
      </c>
      <c r="AT163" s="19">
        <v>4.5971249695111504E-3</v>
      </c>
      <c r="AU163" s="18">
        <v>1416.8636372046899</v>
      </c>
      <c r="AV163" s="19">
        <v>3.63843951125431E-3</v>
      </c>
      <c r="AW163" s="18">
        <v>2207.4694305246398</v>
      </c>
      <c r="AX163" s="19">
        <v>-9.5182555479533804E-4</v>
      </c>
      <c r="AY163" s="18">
        <v>585.04680892937301</v>
      </c>
      <c r="AZ163" s="19">
        <v>1.47515812718824E-2</v>
      </c>
      <c r="BA163" s="18">
        <v>5488.9740746266998</v>
      </c>
      <c r="BB163" s="19">
        <v>1.28169928509039E-2</v>
      </c>
      <c r="BC163" s="18">
        <v>9362.0106833491009</v>
      </c>
      <c r="BD163" s="19">
        <v>1.1990414206033599E-2</v>
      </c>
      <c r="BE163" s="18">
        <v>-3873.0366087224102</v>
      </c>
      <c r="BF163" s="19">
        <v>1.0821272502764301E-2</v>
      </c>
      <c r="BG163" s="18"/>
      <c r="BH163" s="19"/>
    </row>
    <row r="164" spans="1:60" x14ac:dyDescent="0.15">
      <c r="A164" s="17">
        <v>2018</v>
      </c>
      <c r="B164" s="17">
        <v>1</v>
      </c>
      <c r="C164" s="18">
        <v>178710.62865377401</v>
      </c>
      <c r="D164" s="19">
        <v>8.12355972599366E-3</v>
      </c>
      <c r="E164" s="18">
        <v>174217.82232818901</v>
      </c>
      <c r="F164" s="19">
        <v>1.4182170421234999E-2</v>
      </c>
      <c r="G164" s="18">
        <v>1138.9903193615301</v>
      </c>
      <c r="H164" s="19">
        <v>1.8595013754210798E-2</v>
      </c>
      <c r="I164" s="18">
        <v>191.64420229159899</v>
      </c>
      <c r="J164" s="19">
        <v>3.4390739184611697E-2</v>
      </c>
      <c r="K164" s="18">
        <v>33202.104803112299</v>
      </c>
      <c r="L164" s="19">
        <v>1.45202874141579E-2</v>
      </c>
      <c r="M164" s="18">
        <v>11638.482881056099</v>
      </c>
      <c r="N164" s="19">
        <v>3.9495896151634499E-2</v>
      </c>
      <c r="O164" s="18">
        <v>21563.6219220561</v>
      </c>
      <c r="P164" s="19">
        <v>1.532563711105E-3</v>
      </c>
      <c r="Q164" s="18">
        <v>2569.7771706344301</v>
      </c>
      <c r="R164" s="19">
        <v>0.100099757285733</v>
      </c>
      <c r="S164" s="18">
        <v>799.09572576845903</v>
      </c>
      <c r="T164" s="19">
        <v>3.6493535814772701E-2</v>
      </c>
      <c r="U164" s="18">
        <v>8254.2482524936695</v>
      </c>
      <c r="V164" s="19">
        <v>2.36466045333805E-3</v>
      </c>
      <c r="W164" s="18">
        <v>28903.223573752999</v>
      </c>
      <c r="X164" s="19">
        <v>1.5524088787076701E-2</v>
      </c>
      <c r="Y164" s="18">
        <v>6182.6071837998797</v>
      </c>
      <c r="Z164" s="19">
        <v>-2.6209534741715701E-3</v>
      </c>
      <c r="AA164" s="18">
        <v>6630.8706359251801</v>
      </c>
      <c r="AB164" s="19">
        <v>2.02523580746596E-2</v>
      </c>
      <c r="AC164" s="18">
        <v>3394.9128779644602</v>
      </c>
      <c r="AD164" s="19">
        <v>1.4054582190886801E-2</v>
      </c>
      <c r="AE164" s="18">
        <v>7827.5816271624599</v>
      </c>
      <c r="AF164" s="19">
        <v>1.7176681995033399E-2</v>
      </c>
      <c r="AG164" s="18">
        <v>15542.817706734601</v>
      </c>
      <c r="AH164" s="19">
        <v>2.7527789849405699E-2</v>
      </c>
      <c r="AI164" s="18">
        <v>7242.4458661033896</v>
      </c>
      <c r="AJ164" s="19">
        <v>3.5125020978410402E-3</v>
      </c>
      <c r="AK164" s="18">
        <v>5795.4600464552104</v>
      </c>
      <c r="AL164" s="19">
        <v>4.8998823831289701E-2</v>
      </c>
      <c r="AM164" s="18">
        <v>30382.550570841398</v>
      </c>
      <c r="AN164" s="19">
        <v>1.51057476750931E-2</v>
      </c>
      <c r="AO164" s="18">
        <v>11414.400733919399</v>
      </c>
      <c r="AP164" s="19">
        <v>-3.1093332024634299E-3</v>
      </c>
      <c r="AQ164" s="18">
        <v>7184.3518513771796</v>
      </c>
      <c r="AR164" s="19">
        <v>1.4175433553249601E-3</v>
      </c>
      <c r="AS164" s="18">
        <v>12598.7485001853</v>
      </c>
      <c r="AT164" s="19">
        <v>6.6738846466372096E-3</v>
      </c>
      <c r="AU164" s="18">
        <v>1381.40519802323</v>
      </c>
      <c r="AV164" s="19">
        <v>-2.5026006914408899E-2</v>
      </c>
      <c r="AW164" s="18">
        <v>2211.0332337497598</v>
      </c>
      <c r="AX164" s="19">
        <v>1.61442925362065E-3</v>
      </c>
      <c r="AY164" s="18">
        <v>590.06534489058504</v>
      </c>
      <c r="AZ164" s="19">
        <v>8.5780075792485401E-3</v>
      </c>
      <c r="BA164" s="18">
        <v>4492.8063255853103</v>
      </c>
      <c r="BB164" s="19">
        <v>-0.181485234854044</v>
      </c>
      <c r="BC164" s="18">
        <v>8372.7765470027207</v>
      </c>
      <c r="BD164" s="19">
        <v>-0.10566470919604901</v>
      </c>
      <c r="BE164" s="18">
        <v>-3879.9702214174099</v>
      </c>
      <c r="BF164" s="19">
        <v>1.7902264800135901E-3</v>
      </c>
      <c r="BG164" s="18"/>
      <c r="BH164" s="19"/>
    </row>
    <row r="165" spans="1:60" x14ac:dyDescent="0.15">
      <c r="A165" s="17">
        <v>2018</v>
      </c>
      <c r="B165" s="17">
        <v>2</v>
      </c>
      <c r="C165" s="18">
        <v>181356.767174212</v>
      </c>
      <c r="D165" s="19">
        <v>1.4806833484789301E-2</v>
      </c>
      <c r="E165" s="18">
        <v>175846.156704647</v>
      </c>
      <c r="F165" s="19">
        <v>9.3465430499464208E-3</v>
      </c>
      <c r="G165" s="18">
        <v>1146.1717282730399</v>
      </c>
      <c r="H165" s="19">
        <v>6.3050658020891203E-3</v>
      </c>
      <c r="I165" s="18">
        <v>194.88924586118199</v>
      </c>
      <c r="J165" s="19">
        <v>1.6932646700400299E-2</v>
      </c>
      <c r="K165" s="18">
        <v>33383.206501513501</v>
      </c>
      <c r="L165" s="19">
        <v>5.4545246295423198E-3</v>
      </c>
      <c r="M165" s="18">
        <v>11693.553499993601</v>
      </c>
      <c r="N165" s="19">
        <v>4.7317695528097401E-3</v>
      </c>
      <c r="O165" s="18">
        <v>21689.653001519899</v>
      </c>
      <c r="P165" s="19">
        <v>5.8446155251328201E-3</v>
      </c>
      <c r="Q165" s="18">
        <v>2747.9300515485002</v>
      </c>
      <c r="R165" s="19">
        <v>6.9326197987078106E-2</v>
      </c>
      <c r="S165" s="18">
        <v>805.66818775940999</v>
      </c>
      <c r="T165" s="19">
        <v>8.2248744161783592E-3</v>
      </c>
      <c r="U165" s="18">
        <v>8320.3312938873805</v>
      </c>
      <c r="V165" s="19">
        <v>8.0059430456000894E-3</v>
      </c>
      <c r="W165" s="18">
        <v>29022.855571059099</v>
      </c>
      <c r="X165" s="19">
        <v>4.1390537979550902E-3</v>
      </c>
      <c r="Y165" s="18">
        <v>6214.4301289293398</v>
      </c>
      <c r="Z165" s="19">
        <v>5.1471724118008497E-3</v>
      </c>
      <c r="AA165" s="18">
        <v>6563.2219101789697</v>
      </c>
      <c r="AB165" s="19">
        <v>-1.02020880002842E-2</v>
      </c>
      <c r="AC165" s="18">
        <v>3443.7293243617901</v>
      </c>
      <c r="AD165" s="19">
        <v>1.4379292827861E-2</v>
      </c>
      <c r="AE165" s="18">
        <v>7928.6566939337699</v>
      </c>
      <c r="AF165" s="19">
        <v>1.2912681283394799E-2</v>
      </c>
      <c r="AG165" s="18">
        <v>15996.580095563701</v>
      </c>
      <c r="AH165" s="19">
        <v>2.9194345413474401E-2</v>
      </c>
      <c r="AI165" s="18">
        <v>7475.7581776807901</v>
      </c>
      <c r="AJ165" s="19">
        <v>3.22145744532749E-2</v>
      </c>
      <c r="AK165" s="18">
        <v>5948.2489106780904</v>
      </c>
      <c r="AL165" s="19">
        <v>2.6363543704582399E-2</v>
      </c>
      <c r="AM165" s="18">
        <v>30797.6135848466</v>
      </c>
      <c r="AN165" s="19">
        <v>1.36612300878891E-2</v>
      </c>
      <c r="AO165" s="18">
        <v>11470.1124755488</v>
      </c>
      <c r="AP165" s="19">
        <v>4.8808293074726903E-3</v>
      </c>
      <c r="AQ165" s="18">
        <v>7240.0442528858002</v>
      </c>
      <c r="AR165" s="19">
        <v>7.7519033951456403E-3</v>
      </c>
      <c r="AS165" s="18">
        <v>12602.820330016801</v>
      </c>
      <c r="AT165" s="19">
        <v>3.2319319902507398E-4</v>
      </c>
      <c r="AU165" s="18">
        <v>1349.20997844163</v>
      </c>
      <c r="AV165" s="19">
        <v>-2.3306137567508298E-2</v>
      </c>
      <c r="AW165" s="18">
        <v>2245.88660789699</v>
      </c>
      <c r="AX165" s="19">
        <v>1.5763387729875102E-2</v>
      </c>
      <c r="AY165" s="18">
        <v>587.22887107013503</v>
      </c>
      <c r="AZ165" s="19">
        <v>-4.8070503462222004E-3</v>
      </c>
      <c r="BA165" s="18">
        <v>5510.6104695651402</v>
      </c>
      <c r="BB165" s="19">
        <v>0.22654084556988699</v>
      </c>
      <c r="BC165" s="18">
        <v>9414.2081671286305</v>
      </c>
      <c r="BD165" s="19">
        <v>0.12438306627193201</v>
      </c>
      <c r="BE165" s="18">
        <v>-3903.5976975634899</v>
      </c>
      <c r="BF165" s="19">
        <v>6.0896024447967302E-3</v>
      </c>
      <c r="BG165" s="18"/>
      <c r="BH165" s="19"/>
    </row>
    <row r="166" spans="1:60" x14ac:dyDescent="0.15">
      <c r="A166" s="17">
        <v>2018</v>
      </c>
      <c r="B166" s="17">
        <v>3</v>
      </c>
      <c r="C166" s="18">
        <v>181273.64879017699</v>
      </c>
      <c r="D166" s="19">
        <v>-4.5831421308473202E-4</v>
      </c>
      <c r="E166" s="18">
        <v>175946.57951639101</v>
      </c>
      <c r="F166" s="19">
        <v>5.7108334708888498E-4</v>
      </c>
      <c r="G166" s="18">
        <v>1137.0926821999401</v>
      </c>
      <c r="H166" s="19">
        <v>-7.9211917805563897E-3</v>
      </c>
      <c r="I166" s="18">
        <v>195.09332286682701</v>
      </c>
      <c r="J166" s="19">
        <v>1.0471434929251199E-3</v>
      </c>
      <c r="K166" s="18">
        <v>33388.116933561701</v>
      </c>
      <c r="L166" s="19">
        <v>1.4709288180525499E-4</v>
      </c>
      <c r="M166" s="18">
        <v>11730.550922923199</v>
      </c>
      <c r="N166" s="19">
        <v>3.1639161636842798E-3</v>
      </c>
      <c r="O166" s="18">
        <v>21657.5660106385</v>
      </c>
      <c r="P166" s="19">
        <v>-1.47936856708042E-3</v>
      </c>
      <c r="Q166" s="18">
        <v>2519.7744448471999</v>
      </c>
      <c r="R166" s="19">
        <v>-8.3028171176604507E-2</v>
      </c>
      <c r="S166" s="18">
        <v>778.28504930245197</v>
      </c>
      <c r="T166" s="19">
        <v>-3.3988109339542799E-2</v>
      </c>
      <c r="U166" s="18">
        <v>8323.3679243735005</v>
      </c>
      <c r="V166" s="19">
        <v>3.6496509319872101E-4</v>
      </c>
      <c r="W166" s="18">
        <v>28558.531480072899</v>
      </c>
      <c r="X166" s="19">
        <v>-1.5998566710618299E-2</v>
      </c>
      <c r="Y166" s="18">
        <v>6204.1189418323702</v>
      </c>
      <c r="Z166" s="19">
        <v>-1.6592329277262999E-3</v>
      </c>
      <c r="AA166" s="18">
        <v>6612.3043538094798</v>
      </c>
      <c r="AB166" s="19">
        <v>7.47840684076007E-3</v>
      </c>
      <c r="AC166" s="18">
        <v>3484.05413848333</v>
      </c>
      <c r="AD166" s="19">
        <v>1.1709635201662299E-2</v>
      </c>
      <c r="AE166" s="18">
        <v>7912.3428708260499</v>
      </c>
      <c r="AF166" s="19">
        <v>-2.0575771833080099E-3</v>
      </c>
      <c r="AG166" s="18">
        <v>16110.475065504001</v>
      </c>
      <c r="AH166" s="19">
        <v>7.1199574696509896E-3</v>
      </c>
      <c r="AI166" s="18">
        <v>7462.5287014061996</v>
      </c>
      <c r="AJ166" s="19">
        <v>-1.76965010908114E-3</v>
      </c>
      <c r="AK166" s="18">
        <v>5993.65791079882</v>
      </c>
      <c r="AL166" s="19">
        <v>7.6340114212793998E-3</v>
      </c>
      <c r="AM166" s="18">
        <v>31184.798977139799</v>
      </c>
      <c r="AN166" s="19">
        <v>1.25719283809624E-2</v>
      </c>
      <c r="AO166" s="18">
        <v>11511.139494921999</v>
      </c>
      <c r="AP166" s="19">
        <v>3.5768628651735601E-3</v>
      </c>
      <c r="AQ166" s="18">
        <v>7250.8206649469803</v>
      </c>
      <c r="AR166" s="19">
        <v>1.4884456067914E-3</v>
      </c>
      <c r="AS166" s="18">
        <v>12758.739745191901</v>
      </c>
      <c r="AT166" s="19">
        <v>1.2371787512019301E-2</v>
      </c>
      <c r="AU166" s="18">
        <v>1350.6453530941999</v>
      </c>
      <c r="AV166" s="19">
        <v>1.0638630572758999E-3</v>
      </c>
      <c r="AW166" s="18">
        <v>2277.1575097387899</v>
      </c>
      <c r="AX166" s="19">
        <v>1.39236334247002E-2</v>
      </c>
      <c r="AY166" s="18">
        <v>593.83950550970405</v>
      </c>
      <c r="AZ166" s="19">
        <v>1.1257338944391499E-2</v>
      </c>
      <c r="BA166" s="18">
        <v>5327.0692737864802</v>
      </c>
      <c r="BB166" s="19">
        <v>-3.3306871678256002E-2</v>
      </c>
      <c r="BC166" s="18">
        <v>9266.4841168032708</v>
      </c>
      <c r="BD166" s="19">
        <v>-1.5691606527372601E-2</v>
      </c>
      <c r="BE166" s="18">
        <v>-3939.4148430167902</v>
      </c>
      <c r="BF166" s="19">
        <v>9.1754192486732701E-3</v>
      </c>
      <c r="BG166" s="18"/>
      <c r="BH166" s="19"/>
    </row>
    <row r="167" spans="1:60" x14ac:dyDescent="0.15">
      <c r="A167" s="17">
        <v>2018</v>
      </c>
      <c r="B167" s="17">
        <v>4</v>
      </c>
      <c r="C167" s="18">
        <v>182055.29077120801</v>
      </c>
      <c r="D167" s="19">
        <v>4.3119448758686101E-3</v>
      </c>
      <c r="E167" s="18">
        <v>176847.91895859499</v>
      </c>
      <c r="F167" s="19">
        <v>5.12280173153479E-3</v>
      </c>
      <c r="G167" s="18">
        <v>1151.7816784736499</v>
      </c>
      <c r="H167" s="19">
        <v>1.2918029025818E-2</v>
      </c>
      <c r="I167" s="18">
        <v>198.01010858601799</v>
      </c>
      <c r="J167" s="19">
        <v>1.4950720385147101E-2</v>
      </c>
      <c r="K167" s="18">
        <v>34411.413540916699</v>
      </c>
      <c r="L167" s="19">
        <v>3.06485271209271E-2</v>
      </c>
      <c r="M167" s="18">
        <v>12219.431315751899</v>
      </c>
      <c r="N167" s="19">
        <v>4.16758254613048E-2</v>
      </c>
      <c r="O167" s="18">
        <v>22191.9822251648</v>
      </c>
      <c r="P167" s="19">
        <v>2.46757283003891E-2</v>
      </c>
      <c r="Q167" s="18">
        <v>2597.4132631329799</v>
      </c>
      <c r="R167" s="19">
        <v>3.0811812717819399E-2</v>
      </c>
      <c r="S167" s="18">
        <v>711.91659985366903</v>
      </c>
      <c r="T167" s="19">
        <v>-8.52752465285911E-2</v>
      </c>
      <c r="U167" s="18">
        <v>8240.9560706045504</v>
      </c>
      <c r="V167" s="19">
        <v>-9.9012628683186107E-3</v>
      </c>
      <c r="W167" s="18">
        <v>28329.861069427301</v>
      </c>
      <c r="X167" s="19">
        <v>-8.0070787535113704E-3</v>
      </c>
      <c r="Y167" s="18">
        <v>6250.6676394672304</v>
      </c>
      <c r="Z167" s="19">
        <v>7.5028699596657597E-3</v>
      </c>
      <c r="AA167" s="18">
        <v>6652.7836960352197</v>
      </c>
      <c r="AB167" s="19">
        <v>6.1218207843700698E-3</v>
      </c>
      <c r="AC167" s="18">
        <v>3384.2215509929601</v>
      </c>
      <c r="AD167" s="19">
        <v>-2.8654143570177901E-2</v>
      </c>
      <c r="AE167" s="18">
        <v>7902.68284749543</v>
      </c>
      <c r="AF167" s="19">
        <v>-1.22088027381007E-3</v>
      </c>
      <c r="AG167" s="18">
        <v>15755.206432872999</v>
      </c>
      <c r="AH167" s="19">
        <v>-2.2052027093331102E-2</v>
      </c>
      <c r="AI167" s="18">
        <v>7194.6268973955302</v>
      </c>
      <c r="AJ167" s="19">
        <v>-3.5899601158007603E-2</v>
      </c>
      <c r="AK167" s="18">
        <v>5934.8579566449398</v>
      </c>
      <c r="AL167" s="19">
        <v>-9.8103620575241707E-3</v>
      </c>
      <c r="AM167" s="18">
        <v>31448.511935131799</v>
      </c>
      <c r="AN167" s="19">
        <v>8.4564584875235198E-3</v>
      </c>
      <c r="AO167" s="18">
        <v>11575.4420485188</v>
      </c>
      <c r="AP167" s="19">
        <v>5.5861153993659301E-3</v>
      </c>
      <c r="AQ167" s="18">
        <v>7276.6920638377296</v>
      </c>
      <c r="AR167" s="19">
        <v>3.5680649248193098E-3</v>
      </c>
      <c r="AS167" s="18">
        <v>12920.4139662941</v>
      </c>
      <c r="AT167" s="19">
        <v>1.2671645031640401E-2</v>
      </c>
      <c r="AU167" s="18">
        <v>1390.7931953621901</v>
      </c>
      <c r="AV167" s="19">
        <v>2.9724932733831401E-2</v>
      </c>
      <c r="AW167" s="18">
        <v>2301.7197639257101</v>
      </c>
      <c r="AX167" s="19">
        <v>1.07863659329077E-2</v>
      </c>
      <c r="AY167" s="18">
        <v>598.09912713313201</v>
      </c>
      <c r="AZ167" s="19">
        <v>7.1730182716163203E-3</v>
      </c>
      <c r="BA167" s="18">
        <v>5207.3718126131398</v>
      </c>
      <c r="BB167" s="19">
        <v>-2.24696648422348E-2</v>
      </c>
      <c r="BC167" s="18">
        <v>9185.2396891054595</v>
      </c>
      <c r="BD167" s="19">
        <v>-8.7675570015267601E-3</v>
      </c>
      <c r="BE167" s="18">
        <v>-3977.8678764923202</v>
      </c>
      <c r="BF167" s="19">
        <v>9.7611028560999902E-3</v>
      </c>
      <c r="BG167" s="18"/>
      <c r="BH167" s="19"/>
    </row>
    <row r="168" spans="1:60" x14ac:dyDescent="0.15">
      <c r="A168" s="17">
        <v>2019</v>
      </c>
      <c r="B168" s="17">
        <v>1</v>
      </c>
      <c r="C168" s="18">
        <v>182456.58799949201</v>
      </c>
      <c r="D168" s="19">
        <v>2.20426018152819E-3</v>
      </c>
      <c r="E168" s="18">
        <v>177333.14536713</v>
      </c>
      <c r="F168" s="19">
        <v>2.7437496092279599E-3</v>
      </c>
      <c r="G168" s="18">
        <v>1166.6371609364301</v>
      </c>
      <c r="H168" s="19">
        <v>1.28978284169874E-2</v>
      </c>
      <c r="I168" s="18">
        <v>197.416769567421</v>
      </c>
      <c r="J168" s="19">
        <v>-2.9965087279350002E-3</v>
      </c>
      <c r="K168" s="18">
        <v>34413.6520034856</v>
      </c>
      <c r="L168" s="19">
        <v>6.5050003431821297E-5</v>
      </c>
      <c r="M168" s="18">
        <v>11855.3864025847</v>
      </c>
      <c r="N168" s="19">
        <v>-2.97922958736907E-2</v>
      </c>
      <c r="O168" s="18">
        <v>22558.265600900901</v>
      </c>
      <c r="P168" s="19">
        <v>1.6505212198696599E-2</v>
      </c>
      <c r="Q168" s="18">
        <v>2800.5572351402998</v>
      </c>
      <c r="R168" s="19">
        <v>7.8210108068167597E-2</v>
      </c>
      <c r="S168" s="18">
        <v>627.53279906792</v>
      </c>
      <c r="T168" s="19">
        <v>-0.11853045820689199</v>
      </c>
      <c r="U168" s="18">
        <v>8303.3623169926504</v>
      </c>
      <c r="V168" s="19">
        <v>7.5726949462466796E-3</v>
      </c>
      <c r="W168" s="18">
        <v>27859.7837699784</v>
      </c>
      <c r="X168" s="19">
        <v>-1.6592996989887698E-2</v>
      </c>
      <c r="Y168" s="18">
        <v>6270.4067374025299</v>
      </c>
      <c r="Z168" s="19">
        <v>3.1579183335006498E-3</v>
      </c>
      <c r="AA168" s="18">
        <v>6834.8033960298299</v>
      </c>
      <c r="AB168" s="19">
        <v>2.7359930566071701E-2</v>
      </c>
      <c r="AC168" s="18">
        <v>3412.8431300708398</v>
      </c>
      <c r="AD168" s="19">
        <v>8.4573597344685895E-3</v>
      </c>
      <c r="AE168" s="18">
        <v>7937.1120200146397</v>
      </c>
      <c r="AF168" s="19">
        <v>4.3566435834021498E-3</v>
      </c>
      <c r="AG168" s="18">
        <v>15670.7753924276</v>
      </c>
      <c r="AH168" s="19">
        <v>-5.3589294945250998E-3</v>
      </c>
      <c r="AI168" s="18">
        <v>7306.9893164022897</v>
      </c>
      <c r="AJ168" s="19">
        <v>1.56175463452364E-2</v>
      </c>
      <c r="AK168" s="18">
        <v>5767.7877589508898</v>
      </c>
      <c r="AL168" s="19">
        <v>-2.8150664921472598E-2</v>
      </c>
      <c r="AM168" s="18">
        <v>31642.794887698299</v>
      </c>
      <c r="AN168" s="19">
        <v>6.1778106693020102E-3</v>
      </c>
      <c r="AO168" s="18">
        <v>11649.275270996401</v>
      </c>
      <c r="AP168" s="19">
        <v>6.3784365355701303E-3</v>
      </c>
      <c r="AQ168" s="18">
        <v>7293.9714328986302</v>
      </c>
      <c r="AR168" s="19">
        <v>2.3746187016442399E-3</v>
      </c>
      <c r="AS168" s="18">
        <v>13172.647105325799</v>
      </c>
      <c r="AT168" s="19">
        <v>1.9522063278294002E-2</v>
      </c>
      <c r="AU168" s="18">
        <v>1422.4802566063599</v>
      </c>
      <c r="AV168" s="19">
        <v>2.2783445698350901E-2</v>
      </c>
      <c r="AW168" s="18">
        <v>2330.1940164492098</v>
      </c>
      <c r="AX168" s="19">
        <v>1.2370859810902499E-2</v>
      </c>
      <c r="AY168" s="18">
        <v>597.30640344398603</v>
      </c>
      <c r="AZ168" s="19">
        <v>-1.32540519319257E-3</v>
      </c>
      <c r="BA168" s="18">
        <v>5123.4426323612897</v>
      </c>
      <c r="BB168" s="19">
        <v>-1.6117378069404598E-2</v>
      </c>
      <c r="BC168" s="18">
        <v>9084.9554272620608</v>
      </c>
      <c r="BD168" s="19">
        <v>-1.0917979850034801E-2</v>
      </c>
      <c r="BE168" s="18">
        <v>-3961.5127949007801</v>
      </c>
      <c r="BF168" s="19">
        <v>-4.1115195625773798E-3</v>
      </c>
      <c r="BG168" s="18"/>
      <c r="BH168" s="19"/>
    </row>
    <row r="169" spans="1:60" x14ac:dyDescent="0.15">
      <c r="A169" s="17">
        <v>2019</v>
      </c>
      <c r="B169" s="17">
        <v>2</v>
      </c>
      <c r="C169" s="18">
        <v>183378.46584175</v>
      </c>
      <c r="D169" s="19">
        <v>5.05258731606295E-3</v>
      </c>
      <c r="E169" s="18">
        <v>178394.303447296</v>
      </c>
      <c r="F169" s="19">
        <v>5.9839804790486903E-3</v>
      </c>
      <c r="G169" s="18">
        <v>1157.33119696258</v>
      </c>
      <c r="H169" s="19">
        <v>-7.9767422858174602E-3</v>
      </c>
      <c r="I169" s="18">
        <v>194.842383331642</v>
      </c>
      <c r="J169" s="19">
        <v>-1.30403624850122E-2</v>
      </c>
      <c r="K169" s="18">
        <v>35205.083689771702</v>
      </c>
      <c r="L169" s="19">
        <v>2.2997608222630399E-2</v>
      </c>
      <c r="M169" s="18">
        <v>12282.1770249355</v>
      </c>
      <c r="N169" s="19">
        <v>3.5999722645711198E-2</v>
      </c>
      <c r="O169" s="18">
        <v>22922.906664836199</v>
      </c>
      <c r="P169" s="19">
        <v>1.6164410437686801E-2</v>
      </c>
      <c r="Q169" s="18">
        <v>2691.2366989862799</v>
      </c>
      <c r="R169" s="19">
        <v>-3.9035280115796503E-2</v>
      </c>
      <c r="S169" s="18">
        <v>581.79714643112402</v>
      </c>
      <c r="T169" s="19">
        <v>-7.2881692725427896E-2</v>
      </c>
      <c r="U169" s="18">
        <v>8313.5303974701001</v>
      </c>
      <c r="V169" s="19">
        <v>1.2245738640881401E-3</v>
      </c>
      <c r="W169" s="18">
        <v>27759.435776392598</v>
      </c>
      <c r="X169" s="19">
        <v>-3.60189420041213E-3</v>
      </c>
      <c r="Y169" s="18">
        <v>6296.6418380433997</v>
      </c>
      <c r="Z169" s="19">
        <v>4.1839551626503503E-3</v>
      </c>
      <c r="AA169" s="18">
        <v>6845.1977462978002</v>
      </c>
      <c r="AB169" s="19">
        <v>1.52079725863219E-3</v>
      </c>
      <c r="AC169" s="18">
        <v>3502.7086667980302</v>
      </c>
      <c r="AD169" s="19">
        <v>2.6331575552175399E-2</v>
      </c>
      <c r="AE169" s="18">
        <v>8011.2641235170304</v>
      </c>
      <c r="AF169" s="19">
        <v>9.3424539448865307E-3</v>
      </c>
      <c r="AG169" s="18">
        <v>15705.401327822001</v>
      </c>
      <c r="AH169" s="19">
        <v>2.20958660483217E-3</v>
      </c>
      <c r="AI169" s="18">
        <v>7433.7536682334203</v>
      </c>
      <c r="AJ169" s="19">
        <v>1.7348369669376799E-2</v>
      </c>
      <c r="AK169" s="18">
        <v>5644.2798382086203</v>
      </c>
      <c r="AL169" s="19">
        <v>-2.1413395551977198E-2</v>
      </c>
      <c r="AM169" s="18">
        <v>31678.185861201899</v>
      </c>
      <c r="AN169" s="19">
        <v>1.1184528303913601E-3</v>
      </c>
      <c r="AO169" s="18">
        <v>11721.497559097799</v>
      </c>
      <c r="AP169" s="19">
        <v>6.1997237099535897E-3</v>
      </c>
      <c r="AQ169" s="18">
        <v>7357.0117686924395</v>
      </c>
      <c r="AR169" s="19">
        <v>8.6427999305664898E-3</v>
      </c>
      <c r="AS169" s="18">
        <v>13226.5759269992</v>
      </c>
      <c r="AT169" s="19">
        <v>4.0940003358611596E-3</v>
      </c>
      <c r="AU169" s="18">
        <v>1483.07178027175</v>
      </c>
      <c r="AV169" s="19">
        <v>4.2595686923586E-2</v>
      </c>
      <c r="AW169" s="18">
        <v>2348.1667299857199</v>
      </c>
      <c r="AX169" s="19">
        <v>7.7129687097425804E-3</v>
      </c>
      <c r="AY169" s="18">
        <v>611.96466726583697</v>
      </c>
      <c r="AZ169" s="19">
        <v>2.4540610543153998E-2</v>
      </c>
      <c r="BA169" s="18">
        <v>4984.1623944542998</v>
      </c>
      <c r="BB169" s="19">
        <v>-2.7184892639813399E-2</v>
      </c>
      <c r="BC169" s="18">
        <v>8975.3326353939901</v>
      </c>
      <c r="BD169" s="19">
        <v>-1.20664094332398E-2</v>
      </c>
      <c r="BE169" s="18">
        <v>-3991.1702409396798</v>
      </c>
      <c r="BF169" s="19">
        <v>7.4863941060803203E-3</v>
      </c>
      <c r="BG169" s="18"/>
      <c r="BH169" s="19"/>
    </row>
    <row r="170" spans="1:60" x14ac:dyDescent="0.15">
      <c r="A170" s="17">
        <v>2019</v>
      </c>
      <c r="B170" s="17">
        <v>3</v>
      </c>
      <c r="C170" s="18">
        <v>183666.09377695099</v>
      </c>
      <c r="D170" s="19">
        <v>1.56849351902322E-3</v>
      </c>
      <c r="E170" s="18">
        <v>178726.77702333199</v>
      </c>
      <c r="F170" s="19">
        <v>1.8637006317565601E-3</v>
      </c>
      <c r="G170" s="18">
        <v>1169.5635446353299</v>
      </c>
      <c r="H170" s="19">
        <v>1.0569444343028599E-2</v>
      </c>
      <c r="I170" s="18">
        <v>193.09294986068801</v>
      </c>
      <c r="J170" s="19">
        <v>-8.9787111050472195E-3</v>
      </c>
      <c r="K170" s="18">
        <v>35770.024484376198</v>
      </c>
      <c r="L170" s="19">
        <v>1.60471368164554E-2</v>
      </c>
      <c r="M170" s="18">
        <v>12709.2962728402</v>
      </c>
      <c r="N170" s="19">
        <v>3.4775532630537703E-2</v>
      </c>
      <c r="O170" s="18">
        <v>23060.728211535999</v>
      </c>
      <c r="P170" s="19">
        <v>6.0123940089704701E-3</v>
      </c>
      <c r="Q170" s="18">
        <v>2988.63414567262</v>
      </c>
      <c r="R170" s="19">
        <v>0.110505867729274</v>
      </c>
      <c r="S170" s="18">
        <v>549.64949767518999</v>
      </c>
      <c r="T170" s="19">
        <v>-5.52557690479158E-2</v>
      </c>
      <c r="U170" s="18">
        <v>8339.0319059828798</v>
      </c>
      <c r="V170" s="19">
        <v>3.0674704119129101E-3</v>
      </c>
      <c r="W170" s="18">
        <v>27123.7538630702</v>
      </c>
      <c r="X170" s="19">
        <v>-2.28996698075156E-2</v>
      </c>
      <c r="Y170" s="18">
        <v>6311.7539482883103</v>
      </c>
      <c r="Z170" s="19">
        <v>2.40002697209207E-3</v>
      </c>
      <c r="AA170" s="18">
        <v>6805.8864469946702</v>
      </c>
      <c r="AB170" s="19">
        <v>-5.7429019233800104E-3</v>
      </c>
      <c r="AC170" s="18">
        <v>3548.2232995545901</v>
      </c>
      <c r="AD170" s="19">
        <v>1.29941245722192E-2</v>
      </c>
      <c r="AE170" s="18">
        <v>8142.6579048069598</v>
      </c>
      <c r="AF170" s="19">
        <v>1.6401129617512399E-2</v>
      </c>
      <c r="AG170" s="18">
        <v>15585.4344919917</v>
      </c>
      <c r="AH170" s="19">
        <v>-7.6385718089099202E-3</v>
      </c>
      <c r="AI170" s="18">
        <v>7361.6025758044998</v>
      </c>
      <c r="AJ170" s="19">
        <v>-9.7058761493866701E-3</v>
      </c>
      <c r="AK170" s="18">
        <v>5549.1102421232399</v>
      </c>
      <c r="AL170" s="19">
        <v>-1.6861246928464399E-2</v>
      </c>
      <c r="AM170" s="18">
        <v>31832.551133276502</v>
      </c>
      <c r="AN170" s="19">
        <v>4.8729202092228103E-3</v>
      </c>
      <c r="AO170" s="18">
        <v>11799.079282242001</v>
      </c>
      <c r="AP170" s="19">
        <v>6.6187552190393201E-3</v>
      </c>
      <c r="AQ170" s="18">
        <v>7348.3492682078104</v>
      </c>
      <c r="AR170" s="19">
        <v>-1.1774482299307101E-3</v>
      </c>
      <c r="AS170" s="18">
        <v>13106.547957000301</v>
      </c>
      <c r="AT170" s="19">
        <v>-9.0747575685047304E-3</v>
      </c>
      <c r="AU170" s="18">
        <v>1490.6772938019201</v>
      </c>
      <c r="AV170" s="19">
        <v>5.1282167399730998E-3</v>
      </c>
      <c r="AW170" s="18">
        <v>2316.6295454061101</v>
      </c>
      <c r="AX170" s="19">
        <v>-1.34305559212972E-2</v>
      </c>
      <c r="AY170" s="18">
        <v>616.99000877626497</v>
      </c>
      <c r="AZ170" s="19">
        <v>8.2118164319531194E-3</v>
      </c>
      <c r="BA170" s="18">
        <v>4939.3167536190604</v>
      </c>
      <c r="BB170" s="19">
        <v>-8.9976283447628091E-3</v>
      </c>
      <c r="BC170" s="18">
        <v>8969.7383310368896</v>
      </c>
      <c r="BD170" s="19">
        <v>-6.2329771879809904E-4</v>
      </c>
      <c r="BE170" s="18">
        <v>-4030.4215774178301</v>
      </c>
      <c r="BF170" s="19">
        <v>9.8345432814477309E-3</v>
      </c>
      <c r="BG170" s="18"/>
      <c r="BH170" s="19"/>
    </row>
    <row r="171" spans="1:60" x14ac:dyDescent="0.15">
      <c r="A171" s="17">
        <v>2019</v>
      </c>
      <c r="B171" s="17">
        <v>4</v>
      </c>
      <c r="C171" s="18">
        <v>183500.18356023601</v>
      </c>
      <c r="D171" s="19">
        <v>-9.0332523169078804E-4</v>
      </c>
      <c r="E171" s="18">
        <v>178478.79446693201</v>
      </c>
      <c r="F171" s="19">
        <v>-1.38749526249082E-3</v>
      </c>
      <c r="G171" s="18">
        <v>1211.52629597799</v>
      </c>
      <c r="H171" s="19">
        <v>3.5878983690233998E-2</v>
      </c>
      <c r="I171" s="18">
        <v>190.79002529812601</v>
      </c>
      <c r="J171" s="19">
        <v>-1.19265077478155E-2</v>
      </c>
      <c r="K171" s="18">
        <v>35209.032707576698</v>
      </c>
      <c r="L171" s="19">
        <v>-1.5683293061333502E-2</v>
      </c>
      <c r="M171" s="18">
        <v>12460.381537773699</v>
      </c>
      <c r="N171" s="19">
        <v>-1.9585249231972399E-2</v>
      </c>
      <c r="O171" s="18">
        <v>22748.651169803001</v>
      </c>
      <c r="P171" s="19">
        <v>-1.35328355145734E-2</v>
      </c>
      <c r="Q171" s="18">
        <v>2990.8148093917798</v>
      </c>
      <c r="R171" s="19">
        <v>7.2965228022980899E-4</v>
      </c>
      <c r="S171" s="18">
        <v>541.56079841466601</v>
      </c>
      <c r="T171" s="19">
        <v>-1.47161041622641E-2</v>
      </c>
      <c r="U171" s="18">
        <v>8449.2483433003708</v>
      </c>
      <c r="V171" s="19">
        <v>1.32169343588215E-2</v>
      </c>
      <c r="W171" s="18">
        <v>26748.659419273401</v>
      </c>
      <c r="X171" s="19">
        <v>-1.38290019032933E-2</v>
      </c>
      <c r="Y171" s="18">
        <v>6267.2807072312999</v>
      </c>
      <c r="Z171" s="19">
        <v>-7.0460986631255603E-3</v>
      </c>
      <c r="AA171" s="18">
        <v>6859.4485875706496</v>
      </c>
      <c r="AB171" s="19">
        <v>7.8699727057054397E-3</v>
      </c>
      <c r="AC171" s="18">
        <v>3577.9192496051101</v>
      </c>
      <c r="AD171" s="19">
        <v>8.3692449836074694E-3</v>
      </c>
      <c r="AE171" s="18">
        <v>8093.3044398587899</v>
      </c>
      <c r="AF171" s="19">
        <v>-6.0611001377126597E-3</v>
      </c>
      <c r="AG171" s="18">
        <v>15703.564740674899</v>
      </c>
      <c r="AH171" s="19">
        <v>7.5795287416486898E-3</v>
      </c>
      <c r="AI171" s="18">
        <v>7483.5865346505198</v>
      </c>
      <c r="AJ171" s="19">
        <v>1.6570299413736701E-2</v>
      </c>
      <c r="AK171" s="18">
        <v>5467.35489597377</v>
      </c>
      <c r="AL171" s="19">
        <v>-1.47330549551639E-2</v>
      </c>
      <c r="AM171" s="18">
        <v>32124.859488402501</v>
      </c>
      <c r="AN171" s="19">
        <v>9.1826870520728097E-3</v>
      </c>
      <c r="AO171" s="18">
        <v>11873.2873105241</v>
      </c>
      <c r="AP171" s="19">
        <v>6.2893066913876101E-3</v>
      </c>
      <c r="AQ171" s="18">
        <v>7389.8758579150299</v>
      </c>
      <c r="AR171" s="19">
        <v>5.6511453377530198E-3</v>
      </c>
      <c r="AS171" s="18">
        <v>13117.450159968899</v>
      </c>
      <c r="AT171" s="19">
        <v>8.31813457245145E-4</v>
      </c>
      <c r="AU171" s="18">
        <v>1460.2479582871299</v>
      </c>
      <c r="AV171" s="19">
        <v>-2.0413093860967499E-2</v>
      </c>
      <c r="AW171" s="18">
        <v>2322.2236263007098</v>
      </c>
      <c r="AX171" s="19">
        <v>2.4147498704274501E-3</v>
      </c>
      <c r="AY171" s="18">
        <v>614.98064859120404</v>
      </c>
      <c r="AZ171" s="19">
        <v>-3.2567143008466201E-3</v>
      </c>
      <c r="BA171" s="18">
        <v>5021.3890933044004</v>
      </c>
      <c r="BB171" s="19">
        <v>1.6616132104750402E-2</v>
      </c>
      <c r="BC171" s="18">
        <v>9090.7499720961205</v>
      </c>
      <c r="BD171" s="19">
        <v>1.34911004750833E-2</v>
      </c>
      <c r="BE171" s="18">
        <v>-4069.3608787917201</v>
      </c>
      <c r="BF171" s="19">
        <v>9.6613469896200694E-3</v>
      </c>
      <c r="BG171" s="18"/>
      <c r="BH171" s="19"/>
    </row>
    <row r="172" spans="1:60" x14ac:dyDescent="0.15">
      <c r="A172" s="17">
        <v>2020</v>
      </c>
      <c r="B172" s="17">
        <v>1</v>
      </c>
      <c r="C172" s="18">
        <v>180585.13558221899</v>
      </c>
      <c r="D172" s="19">
        <v>-1.58858041526725E-2</v>
      </c>
      <c r="E172" s="18">
        <v>175698.65417088001</v>
      </c>
      <c r="F172" s="19">
        <v>-1.5576866172565301E-2</v>
      </c>
      <c r="G172" s="18">
        <v>1236.4307718795201</v>
      </c>
      <c r="H172" s="19">
        <v>2.0556281761446901E-2</v>
      </c>
      <c r="I172" s="18">
        <v>189.78094270743799</v>
      </c>
      <c r="J172" s="19">
        <v>-5.2889693217003098E-3</v>
      </c>
      <c r="K172" s="18">
        <v>34537.975869301503</v>
      </c>
      <c r="L172" s="19">
        <v>-1.9059223917014902E-2</v>
      </c>
      <c r="M172" s="18">
        <v>12442.060271591699</v>
      </c>
      <c r="N172" s="19">
        <v>-1.4703615717048799E-3</v>
      </c>
      <c r="O172" s="18">
        <v>22095.9155977097</v>
      </c>
      <c r="P172" s="19">
        <v>-2.8693374706968599E-2</v>
      </c>
      <c r="Q172" s="18">
        <v>2877.2657854957602</v>
      </c>
      <c r="R172" s="19">
        <v>-3.7965916023774499E-2</v>
      </c>
      <c r="S172" s="18">
        <v>561.10830204193599</v>
      </c>
      <c r="T172" s="19">
        <v>3.6094753690614899E-2</v>
      </c>
      <c r="U172" s="18">
        <v>8476.7475955803802</v>
      </c>
      <c r="V172" s="19">
        <v>3.25463889362543E-3</v>
      </c>
      <c r="W172" s="18">
        <v>26203.980487798999</v>
      </c>
      <c r="X172" s="19">
        <v>-2.0362849701614699E-2</v>
      </c>
      <c r="Y172" s="18">
        <v>6108.7250270423101</v>
      </c>
      <c r="Z172" s="19">
        <v>-2.5298959404520802E-2</v>
      </c>
      <c r="AA172" s="18">
        <v>6423.4804829238201</v>
      </c>
      <c r="AB172" s="19">
        <v>-6.3557310632346403E-2</v>
      </c>
      <c r="AC172" s="18">
        <v>2906.3262185434501</v>
      </c>
      <c r="AD172" s="19">
        <v>-0.18770491568130801</v>
      </c>
      <c r="AE172" s="18">
        <v>8100.3502417502104</v>
      </c>
      <c r="AF172" s="19">
        <v>8.7057171070026296E-4</v>
      </c>
      <c r="AG172" s="18">
        <v>15639.955298032501</v>
      </c>
      <c r="AH172" s="19">
        <v>-4.0506371446702404E-3</v>
      </c>
      <c r="AI172" s="18">
        <v>7465.3502527611299</v>
      </c>
      <c r="AJ172" s="19">
        <v>-2.4368371775953502E-3</v>
      </c>
      <c r="AK172" s="18">
        <v>5382.0422743888403</v>
      </c>
      <c r="AL172" s="19">
        <v>-1.56040028877135E-2</v>
      </c>
      <c r="AM172" s="18">
        <v>32089.839891572399</v>
      </c>
      <c r="AN172" s="19">
        <v>-1.09010894951178E-3</v>
      </c>
      <c r="AO172" s="18">
        <v>11995.1507594795</v>
      </c>
      <c r="AP172" s="19">
        <v>1.02636654675581E-2</v>
      </c>
      <c r="AQ172" s="18">
        <v>7452.6890745344199</v>
      </c>
      <c r="AR172" s="19">
        <v>8.4999014634481503E-3</v>
      </c>
      <c r="AS172" s="18">
        <v>12928.323797987599</v>
      </c>
      <c r="AT172" s="19">
        <v>-1.44179211412975E-2</v>
      </c>
      <c r="AU172" s="18">
        <v>1333.64552844988</v>
      </c>
      <c r="AV172" s="19">
        <v>-8.6699268517211797E-2</v>
      </c>
      <c r="AW172" s="18">
        <v>2172.86514035963</v>
      </c>
      <c r="AX172" s="19">
        <v>-6.431701247438E-2</v>
      </c>
      <c r="AY172" s="18">
        <v>572.73798244087902</v>
      </c>
      <c r="AZ172" s="19">
        <v>-6.8689423394206306E-2</v>
      </c>
      <c r="BA172" s="18">
        <v>4886.4814113393104</v>
      </c>
      <c r="BB172" s="19">
        <v>-2.6866605924838902E-2</v>
      </c>
      <c r="BC172" s="18">
        <v>8999.2447676070005</v>
      </c>
      <c r="BD172" s="19">
        <v>-1.0065748675301101E-2</v>
      </c>
      <c r="BE172" s="18">
        <v>-4112.7633562676901</v>
      </c>
      <c r="BF172" s="19">
        <v>1.06656742345399E-2</v>
      </c>
      <c r="BG172" s="18"/>
      <c r="BH172" s="19"/>
    </row>
    <row r="173" spans="1:60" x14ac:dyDescent="0.15">
      <c r="A173" s="17">
        <v>2020</v>
      </c>
      <c r="B173" s="17">
        <v>2</v>
      </c>
      <c r="C173" s="18">
        <v>168808.06386898001</v>
      </c>
      <c r="D173" s="19">
        <v>-6.5216174494477003E-2</v>
      </c>
      <c r="E173" s="18">
        <v>164427.58682431001</v>
      </c>
      <c r="F173" s="19">
        <v>-6.4149992495721106E-2</v>
      </c>
      <c r="G173" s="18">
        <v>1227.84050945272</v>
      </c>
      <c r="H173" s="19">
        <v>-6.9476291128995902E-3</v>
      </c>
      <c r="I173" s="18">
        <v>189.05030901356801</v>
      </c>
      <c r="J173" s="19">
        <v>-3.8498791472220098E-3</v>
      </c>
      <c r="K173" s="18">
        <v>31340.041189836302</v>
      </c>
      <c r="L173" s="19">
        <v>-9.2591838374281393E-2</v>
      </c>
      <c r="M173" s="18">
        <v>12568.4738951811</v>
      </c>
      <c r="N173" s="19">
        <v>1.0160184151976099E-2</v>
      </c>
      <c r="O173" s="18">
        <v>18771.5672946552</v>
      </c>
      <c r="P173" s="19">
        <v>-0.15045080564116201</v>
      </c>
      <c r="Q173" s="18">
        <v>2982.9225344239899</v>
      </c>
      <c r="R173" s="19">
        <v>3.67212335616851E-2</v>
      </c>
      <c r="S173" s="18">
        <v>568.13374096248299</v>
      </c>
      <c r="T173" s="19">
        <v>1.2520646896474001E-2</v>
      </c>
      <c r="U173" s="18">
        <v>7935.4342714347804</v>
      </c>
      <c r="V173" s="19">
        <v>-6.3858610633615101E-2</v>
      </c>
      <c r="W173" s="18">
        <v>25303.937253091699</v>
      </c>
      <c r="X173" s="19">
        <v>-3.4347576892997701E-2</v>
      </c>
      <c r="Y173" s="18">
        <v>5938.6739119317599</v>
      </c>
      <c r="Z173" s="19">
        <v>-2.7837415231126501E-2</v>
      </c>
      <c r="AA173" s="18">
        <v>4976.4999925578904</v>
      </c>
      <c r="AB173" s="19">
        <v>-0.22526424641790099</v>
      </c>
      <c r="AC173" s="18">
        <v>976.84477841961098</v>
      </c>
      <c r="AD173" s="19">
        <v>-0.66389018129246002</v>
      </c>
      <c r="AE173" s="18">
        <v>8116.0783589330204</v>
      </c>
      <c r="AF173" s="19">
        <v>1.94165890528342E-3</v>
      </c>
      <c r="AG173" s="18">
        <v>15055.163498116701</v>
      </c>
      <c r="AH173" s="19">
        <v>-3.7390886915733799E-2</v>
      </c>
      <c r="AI173" s="18">
        <v>6991.5440256475504</v>
      </c>
      <c r="AJ173" s="19">
        <v>-6.3467380775381693E-2</v>
      </c>
      <c r="AK173" s="18">
        <v>5282.5458593515104</v>
      </c>
      <c r="AL173" s="19">
        <v>-1.8486739784784101E-2</v>
      </c>
      <c r="AM173" s="18">
        <v>30503.812444383399</v>
      </c>
      <c r="AN173" s="19">
        <v>-4.9424598332307702E-2</v>
      </c>
      <c r="AO173" s="18">
        <v>12029.3353257585</v>
      </c>
      <c r="AP173" s="19">
        <v>2.8498654968554002E-3</v>
      </c>
      <c r="AQ173" s="18">
        <v>7327.0753163012396</v>
      </c>
      <c r="AR173" s="19">
        <v>-1.68548234035951E-2</v>
      </c>
      <c r="AS173" s="18">
        <v>12553.751565842</v>
      </c>
      <c r="AT173" s="19">
        <v>-2.8972992786885698E-2</v>
      </c>
      <c r="AU173" s="18">
        <v>951.30815329053996</v>
      </c>
      <c r="AV173" s="19">
        <v>-0.28668590491488299</v>
      </c>
      <c r="AW173" s="18">
        <v>1972.6643001445</v>
      </c>
      <c r="AX173" s="19">
        <v>-9.2136799701243693E-2</v>
      </c>
      <c r="AY173" s="18">
        <v>417.69328234675203</v>
      </c>
      <c r="AZ173" s="19">
        <v>-0.27070790631583802</v>
      </c>
      <c r="BA173" s="18">
        <v>4380.4770446706198</v>
      </c>
      <c r="BB173" s="19">
        <v>-0.10355188612699499</v>
      </c>
      <c r="BC173" s="18">
        <v>8484.7006880781901</v>
      </c>
      <c r="BD173" s="19">
        <v>-5.7176362329972301E-2</v>
      </c>
      <c r="BE173" s="18">
        <v>-4104.2236434075703</v>
      </c>
      <c r="BF173" s="19">
        <v>-2.0763929553849802E-3</v>
      </c>
      <c r="BG173" s="18"/>
      <c r="BH173" s="19"/>
    </row>
    <row r="174" spans="1:60" x14ac:dyDescent="0.15">
      <c r="A174" s="17">
        <v>2020</v>
      </c>
      <c r="B174" s="17">
        <v>3</v>
      </c>
      <c r="C174" s="18">
        <v>179532.081153051</v>
      </c>
      <c r="D174" s="19">
        <v>6.3527873244221697E-2</v>
      </c>
      <c r="E174" s="18">
        <v>174691.98382707199</v>
      </c>
      <c r="F174" s="19">
        <v>6.24250297714928E-2</v>
      </c>
      <c r="G174" s="18">
        <v>1242.8856432666601</v>
      </c>
      <c r="H174" s="19">
        <v>1.22533290749995E-2</v>
      </c>
      <c r="I174" s="18">
        <v>189.42847380460299</v>
      </c>
      <c r="J174" s="19">
        <v>2.0003394493697301E-3</v>
      </c>
      <c r="K174" s="18">
        <v>34042.267393980699</v>
      </c>
      <c r="L174" s="19">
        <v>8.6222803211272805E-2</v>
      </c>
      <c r="M174" s="18">
        <v>12231.3084199801</v>
      </c>
      <c r="N174" s="19">
        <v>-2.6826285992465799E-2</v>
      </c>
      <c r="O174" s="18">
        <v>21810.958974000601</v>
      </c>
      <c r="P174" s="19">
        <v>0.16191464631782901</v>
      </c>
      <c r="Q174" s="18">
        <v>2822.5781127036998</v>
      </c>
      <c r="R174" s="19">
        <v>-5.3754135372224801E-2</v>
      </c>
      <c r="S174" s="18">
        <v>579.606667989995</v>
      </c>
      <c r="T174" s="19">
        <v>2.0194060307129998E-2</v>
      </c>
      <c r="U174" s="18">
        <v>8572.8514283172408</v>
      </c>
      <c r="V174" s="19">
        <v>8.0325428335658297E-2</v>
      </c>
      <c r="W174" s="18">
        <v>26676.603762999799</v>
      </c>
      <c r="X174" s="19">
        <v>5.42471511914739E-2</v>
      </c>
      <c r="Y174" s="18">
        <v>6252.09713951905</v>
      </c>
      <c r="Z174" s="19">
        <v>5.2776635362579101E-2</v>
      </c>
      <c r="AA174" s="18">
        <v>5904.2815801664301</v>
      </c>
      <c r="AB174" s="19">
        <v>0.186432550787903</v>
      </c>
      <c r="AC174" s="18">
        <v>2557.1128156628702</v>
      </c>
      <c r="AD174" s="19">
        <v>1.6177268611702</v>
      </c>
      <c r="AE174" s="18">
        <v>8203.5126178740793</v>
      </c>
      <c r="AF174" s="19">
        <v>1.07729688002358E-2</v>
      </c>
      <c r="AG174" s="18">
        <v>14938.7168901567</v>
      </c>
      <c r="AH174" s="19">
        <v>-7.7346624614571501E-3</v>
      </c>
      <c r="AI174" s="18">
        <v>6890.00693786171</v>
      </c>
      <c r="AJ174" s="19">
        <v>-1.4522841794796799E-2</v>
      </c>
      <c r="AK174" s="18">
        <v>5163.1153450593101</v>
      </c>
      <c r="AL174" s="19">
        <v>-2.2608514430741002E-2</v>
      </c>
      <c r="AM174" s="18">
        <v>32173.4133135679</v>
      </c>
      <c r="AN174" s="19">
        <v>5.4734170432913801E-2</v>
      </c>
      <c r="AO174" s="18">
        <v>12046.249145539899</v>
      </c>
      <c r="AP174" s="19">
        <v>1.40604774273778E-3</v>
      </c>
      <c r="AQ174" s="18">
        <v>7426.9595446821304</v>
      </c>
      <c r="AR174" s="19">
        <v>1.3632209861234699E-2</v>
      </c>
      <c r="AS174" s="18">
        <v>13219.592418014199</v>
      </c>
      <c r="AT174" s="19">
        <v>5.3039192999801102E-2</v>
      </c>
      <c r="AU174" s="18">
        <v>1295.97756262351</v>
      </c>
      <c r="AV174" s="19">
        <v>0.36231100105762298</v>
      </c>
      <c r="AW174" s="18">
        <v>2237.0400814322402</v>
      </c>
      <c r="AX174" s="19">
        <v>0.13401965112278399</v>
      </c>
      <c r="AY174" s="18">
        <v>562.90637428907098</v>
      </c>
      <c r="AZ174" s="19">
        <v>0.34765484167344002</v>
      </c>
      <c r="BA174" s="18">
        <v>4840.09732597947</v>
      </c>
      <c r="BB174" s="19">
        <v>0.10492470948296199</v>
      </c>
      <c r="BC174" s="18">
        <v>8974.8372061421996</v>
      </c>
      <c r="BD174" s="19">
        <v>5.7767095868531203E-2</v>
      </c>
      <c r="BE174" s="18">
        <v>-4134.7398801627296</v>
      </c>
      <c r="BF174" s="19">
        <v>7.4353250228398303E-3</v>
      </c>
      <c r="BG174" s="18"/>
      <c r="BH174" s="19"/>
    </row>
    <row r="175" spans="1:60" x14ac:dyDescent="0.15">
      <c r="A175" s="17">
        <v>2020</v>
      </c>
      <c r="B175" s="17">
        <v>4</v>
      </c>
      <c r="C175" s="18">
        <v>181969.607590981</v>
      </c>
      <c r="D175" s="19">
        <v>1.3577107903360201E-2</v>
      </c>
      <c r="E175" s="18">
        <v>177071.048222857</v>
      </c>
      <c r="F175" s="19">
        <v>1.36186237265494E-2</v>
      </c>
      <c r="G175" s="18">
        <v>1237.3770365051901</v>
      </c>
      <c r="H175" s="19">
        <v>-4.4321107024710704E-3</v>
      </c>
      <c r="I175" s="18">
        <v>187.41669205238301</v>
      </c>
      <c r="J175" s="19">
        <v>-1.06202711335529E-2</v>
      </c>
      <c r="K175" s="18">
        <v>35276.994795606202</v>
      </c>
      <c r="L175" s="19">
        <v>3.6270421923886999E-2</v>
      </c>
      <c r="M175" s="18">
        <v>12723.568492349599</v>
      </c>
      <c r="N175" s="19">
        <v>4.02459046462562E-2</v>
      </c>
      <c r="O175" s="18">
        <v>22553.426303256601</v>
      </c>
      <c r="P175" s="19">
        <v>3.4041021769883398E-2</v>
      </c>
      <c r="Q175" s="18">
        <v>2776.0195212311501</v>
      </c>
      <c r="R175" s="19">
        <v>-1.64950586355791E-2</v>
      </c>
      <c r="S175" s="18">
        <v>602.88122023450603</v>
      </c>
      <c r="T175" s="19">
        <v>4.0155770335122097E-2</v>
      </c>
      <c r="U175" s="18">
        <v>8585.6119843531196</v>
      </c>
      <c r="V175" s="19">
        <v>1.4884844491449599E-3</v>
      </c>
      <c r="W175" s="18">
        <v>27300.454662295499</v>
      </c>
      <c r="X175" s="19">
        <v>2.33856942524675E-2</v>
      </c>
      <c r="Y175" s="18">
        <v>6307.9002470850101</v>
      </c>
      <c r="Z175" s="19">
        <v>8.9255023267682497E-3</v>
      </c>
      <c r="AA175" s="18">
        <v>5979.5807960718303</v>
      </c>
      <c r="AB175" s="19">
        <v>1.27533239875171E-2</v>
      </c>
      <c r="AC175" s="18">
        <v>2027.5938125605801</v>
      </c>
      <c r="AD175" s="19">
        <v>-0.20707690323980901</v>
      </c>
      <c r="AE175" s="18">
        <v>8563.4677196461907</v>
      </c>
      <c r="AF175" s="19">
        <v>4.3878167626369799E-2</v>
      </c>
      <c r="AG175" s="18">
        <v>14898.202428733401</v>
      </c>
      <c r="AH175" s="19">
        <v>-2.7120442619773498E-3</v>
      </c>
      <c r="AI175" s="18">
        <v>6954.3861204695404</v>
      </c>
      <c r="AJ175" s="19">
        <v>9.3438487346153599E-3</v>
      </c>
      <c r="AK175" s="18">
        <v>5017.60970533004</v>
      </c>
      <c r="AL175" s="19">
        <v>-2.8181752683194401E-2</v>
      </c>
      <c r="AM175" s="18">
        <v>32511.297792464298</v>
      </c>
      <c r="AN175" s="19">
        <v>1.05019780028743E-2</v>
      </c>
      <c r="AO175" s="18">
        <v>12147.058602250399</v>
      </c>
      <c r="AP175" s="19">
        <v>8.3685349267212904E-3</v>
      </c>
      <c r="AQ175" s="18">
        <v>7511.8390246326198</v>
      </c>
      <c r="AR175" s="19">
        <v>1.1428563659171101E-2</v>
      </c>
      <c r="AS175" s="18">
        <v>13386.239069912799</v>
      </c>
      <c r="AT175" s="19">
        <v>1.26060355439948E-2</v>
      </c>
      <c r="AU175" s="18">
        <v>1263.22483099125</v>
      </c>
      <c r="AV175" s="19">
        <v>-2.52726070086868E-2</v>
      </c>
      <c r="AW175" s="18">
        <v>2258.264815775</v>
      </c>
      <c r="AX175" s="19">
        <v>9.4878650225933593E-3</v>
      </c>
      <c r="AY175" s="18">
        <v>557.52341754056999</v>
      </c>
      <c r="AZ175" s="19">
        <v>-9.56279231213031E-3</v>
      </c>
      <c r="BA175" s="18">
        <v>4898.5593681239798</v>
      </c>
      <c r="BB175" s="19">
        <v>1.20786914409159E-2</v>
      </c>
      <c r="BC175" s="18">
        <v>9044.9530152660009</v>
      </c>
      <c r="BD175" s="19">
        <v>7.8124881280092796E-3</v>
      </c>
      <c r="BE175" s="18">
        <v>-4146.3936471420202</v>
      </c>
      <c r="BF175" s="19">
        <v>2.8185006353616E-3</v>
      </c>
      <c r="BG175" s="18"/>
      <c r="BH175" s="19"/>
    </row>
    <row r="176" spans="1:60" x14ac:dyDescent="0.15">
      <c r="A176" s="17">
        <v>2021</v>
      </c>
      <c r="B176" s="17">
        <v>1</v>
      </c>
      <c r="C176" s="18">
        <v>183797.76984408399</v>
      </c>
      <c r="D176" s="19">
        <v>1.0046525226412801E-2</v>
      </c>
      <c r="E176" s="18">
        <v>178855.24701570399</v>
      </c>
      <c r="F176" s="19">
        <v>1.00761745680822E-2</v>
      </c>
      <c r="G176" s="18">
        <v>1155.4792888720599</v>
      </c>
      <c r="H176" s="19">
        <v>-6.6186574679326399E-2</v>
      </c>
      <c r="I176" s="18">
        <v>188.40061059345601</v>
      </c>
      <c r="J176" s="19">
        <v>5.2498981296589297E-3</v>
      </c>
      <c r="K176" s="18">
        <v>37590.358884265297</v>
      </c>
      <c r="L176" s="19">
        <v>6.5577130423457405E-2</v>
      </c>
      <c r="M176" s="18">
        <v>14175.4629215352</v>
      </c>
      <c r="N176" s="19">
        <v>0.114110630996215</v>
      </c>
      <c r="O176" s="18">
        <v>23414.895962730101</v>
      </c>
      <c r="P176" s="19">
        <v>3.8196841929473098E-2</v>
      </c>
      <c r="Q176" s="18">
        <v>2342.8541104139899</v>
      </c>
      <c r="R176" s="19">
        <v>-0.15603831583470101</v>
      </c>
      <c r="S176" s="18">
        <v>618.16443649815699</v>
      </c>
      <c r="T176" s="19">
        <v>2.5350294138712499E-2</v>
      </c>
      <c r="U176" s="18">
        <v>8608.5182681866409</v>
      </c>
      <c r="V176" s="19">
        <v>2.6679849817652398E-3</v>
      </c>
      <c r="W176" s="18">
        <v>27688.1011712781</v>
      </c>
      <c r="X176" s="19">
        <v>1.4199269344693699E-2</v>
      </c>
      <c r="Y176" s="18">
        <v>6246.9205956102196</v>
      </c>
      <c r="Z176" s="19">
        <v>-9.6671870331130894E-3</v>
      </c>
      <c r="AA176" s="18">
        <v>5804.5135247040998</v>
      </c>
      <c r="AB176" s="19">
        <v>-2.9277515822301599E-2</v>
      </c>
      <c r="AC176" s="18">
        <v>1056.64559554313</v>
      </c>
      <c r="AD176" s="19">
        <v>-0.47886722232164902</v>
      </c>
      <c r="AE176" s="18">
        <v>8593.7647717744603</v>
      </c>
      <c r="AF176" s="19">
        <v>3.5379420020180698E-3</v>
      </c>
      <c r="AG176" s="18">
        <v>15057.1765412924</v>
      </c>
      <c r="AH176" s="19">
        <v>1.0670690864846399E-2</v>
      </c>
      <c r="AI176" s="18">
        <v>7227.4122410915397</v>
      </c>
      <c r="AJ176" s="19">
        <v>3.9259557334381898E-2</v>
      </c>
      <c r="AK176" s="18">
        <v>4838.9252265308296</v>
      </c>
      <c r="AL176" s="19">
        <v>-3.5611474246273402E-2</v>
      </c>
      <c r="AM176" s="18">
        <v>32939.157979240597</v>
      </c>
      <c r="AN176" s="19">
        <v>1.31603539639498E-2</v>
      </c>
      <c r="AO176" s="18">
        <v>12298.829824664301</v>
      </c>
      <c r="AP176" s="19">
        <v>1.24944834287559E-2</v>
      </c>
      <c r="AQ176" s="18">
        <v>7588.0376334062903</v>
      </c>
      <c r="AR176" s="19">
        <v>1.01438021400362E-2</v>
      </c>
      <c r="AS176" s="18">
        <v>13439.9179881664</v>
      </c>
      <c r="AT176" s="19">
        <v>4.0100074392221997E-3</v>
      </c>
      <c r="AU176" s="18">
        <v>1114.1294418575501</v>
      </c>
      <c r="AV176" s="19">
        <v>-0.11802759530677701</v>
      </c>
      <c r="AW176" s="18">
        <v>2256.8938298244402</v>
      </c>
      <c r="AX176" s="19">
        <v>-6.0709706894546101E-4</v>
      </c>
      <c r="AY176" s="18">
        <v>514.30311512266201</v>
      </c>
      <c r="AZ176" s="19">
        <v>-7.75219498556102E-2</v>
      </c>
      <c r="BA176" s="18">
        <v>4942.5228283803999</v>
      </c>
      <c r="BB176" s="19">
        <v>8.9747733879685897E-3</v>
      </c>
      <c r="BC176" s="18">
        <v>9112.0741640895794</v>
      </c>
      <c r="BD176" s="19">
        <v>7.4208399657018599E-3</v>
      </c>
      <c r="BE176" s="18">
        <v>-4169.5513357091804</v>
      </c>
      <c r="BF176" s="19">
        <v>5.5850193054200999E-3</v>
      </c>
      <c r="BG176" s="18"/>
      <c r="BH176" s="19"/>
    </row>
    <row r="177" spans="1:60" x14ac:dyDescent="0.15">
      <c r="A177" s="17">
        <v>2021</v>
      </c>
      <c r="B177" s="17">
        <v>2</v>
      </c>
      <c r="C177" s="18">
        <v>190064.111534525</v>
      </c>
      <c r="D177" s="19">
        <v>3.4093676412705602E-2</v>
      </c>
      <c r="E177" s="18">
        <v>184803.23833689501</v>
      </c>
      <c r="F177" s="19">
        <v>3.3255895034877601E-2</v>
      </c>
      <c r="G177" s="18">
        <v>1178.3519120370599</v>
      </c>
      <c r="H177" s="19">
        <v>1.9794922665668801E-2</v>
      </c>
      <c r="I177" s="18">
        <v>186.50274212498701</v>
      </c>
      <c r="J177" s="19">
        <v>-1.0073579180506401E-2</v>
      </c>
      <c r="K177" s="18">
        <v>39161.755140524598</v>
      </c>
      <c r="L177" s="19">
        <v>4.1803172486259102E-2</v>
      </c>
      <c r="M177" s="18">
        <v>15356.7578549624</v>
      </c>
      <c r="N177" s="19">
        <v>8.3333781758377898E-2</v>
      </c>
      <c r="O177" s="18">
        <v>23804.9972855622</v>
      </c>
      <c r="P177" s="19">
        <v>1.66603910371017E-2</v>
      </c>
      <c r="Q177" s="18">
        <v>2081.0277750915502</v>
      </c>
      <c r="R177" s="19">
        <v>-0.111755287774269</v>
      </c>
      <c r="S177" s="18">
        <v>627.50762842669099</v>
      </c>
      <c r="T177" s="19">
        <v>1.51144119216284E-2</v>
      </c>
      <c r="U177" s="18">
        <v>8707.5985537675297</v>
      </c>
      <c r="V177" s="19">
        <v>1.1509563259806101E-2</v>
      </c>
      <c r="W177" s="18">
        <v>29247.2975773578</v>
      </c>
      <c r="X177" s="19">
        <v>5.6312868709722699E-2</v>
      </c>
      <c r="Y177" s="18">
        <v>6561.9734421799403</v>
      </c>
      <c r="Z177" s="19">
        <v>5.0433304177280203E-2</v>
      </c>
      <c r="AA177" s="18">
        <v>6135.7226648924598</v>
      </c>
      <c r="AB177" s="19">
        <v>5.7060619943208699E-2</v>
      </c>
      <c r="AC177" s="18">
        <v>1739.9656594140399</v>
      </c>
      <c r="AD177" s="19">
        <v>0.646688034997835</v>
      </c>
      <c r="AE177" s="18">
        <v>8550.8561181445202</v>
      </c>
      <c r="AF177" s="19">
        <v>-4.9929983853950199E-3</v>
      </c>
      <c r="AG177" s="18">
        <v>15385.5301039848</v>
      </c>
      <c r="AH177" s="19">
        <v>2.1807113823229599E-2</v>
      </c>
      <c r="AI177" s="18">
        <v>7496.04795768436</v>
      </c>
      <c r="AJ177" s="19">
        <v>3.7169004289734998E-2</v>
      </c>
      <c r="AK177" s="18">
        <v>4779.58715392663</v>
      </c>
      <c r="AL177" s="19">
        <v>-1.22626554092758E-2</v>
      </c>
      <c r="AM177" s="18">
        <v>33791.484236347998</v>
      </c>
      <c r="AN177" s="19">
        <v>2.58757755023542E-2</v>
      </c>
      <c r="AO177" s="18">
        <v>12373.901728335</v>
      </c>
      <c r="AP177" s="19">
        <v>6.1039875127115702E-3</v>
      </c>
      <c r="AQ177" s="18">
        <v>7665.4072918061902</v>
      </c>
      <c r="AR177" s="19">
        <v>1.01962670900948E-2</v>
      </c>
      <c r="AS177" s="18">
        <v>13739.4812688564</v>
      </c>
      <c r="AT177" s="19">
        <v>2.2289070584636601E-2</v>
      </c>
      <c r="AU177" s="18">
        <v>1296.3456101253601</v>
      </c>
      <c r="AV177" s="19">
        <v>0.163550267520093</v>
      </c>
      <c r="AW177" s="18">
        <v>2369.92762183792</v>
      </c>
      <c r="AX177" s="19">
        <v>5.0083787956600997E-2</v>
      </c>
      <c r="AY177" s="18">
        <v>564.57470382052099</v>
      </c>
      <c r="AZ177" s="19">
        <v>9.7747004090902798E-2</v>
      </c>
      <c r="BA177" s="18">
        <v>5260.8731976301397</v>
      </c>
      <c r="BB177" s="19">
        <v>6.4410500528543801E-2</v>
      </c>
      <c r="BC177" s="18">
        <v>9411.7055190021492</v>
      </c>
      <c r="BD177" s="19">
        <v>3.2882892469576999E-2</v>
      </c>
      <c r="BE177" s="18">
        <v>-4150.8323213720096</v>
      </c>
      <c r="BF177" s="19">
        <v>-4.4894552986680701E-3</v>
      </c>
      <c r="BG177" s="18"/>
      <c r="BH177" s="19"/>
    </row>
    <row r="178" spans="1:60" x14ac:dyDescent="0.15">
      <c r="A178" s="17">
        <v>2021</v>
      </c>
      <c r="B178" s="17">
        <v>3</v>
      </c>
      <c r="C178" s="18">
        <v>194972.262235551</v>
      </c>
      <c r="D178" s="19">
        <v>2.5823658456076901E-2</v>
      </c>
      <c r="E178" s="18">
        <v>189558.95634983201</v>
      </c>
      <c r="F178" s="19">
        <v>2.5733953883788602E-2</v>
      </c>
      <c r="G178" s="18">
        <v>1190.9482225194299</v>
      </c>
      <c r="H178" s="19">
        <v>1.06897696296819E-2</v>
      </c>
      <c r="I178" s="18">
        <v>183.857431083487</v>
      </c>
      <c r="J178" s="19">
        <v>-1.41837648677972E-2</v>
      </c>
      <c r="K178" s="18">
        <v>40760.681185240501</v>
      </c>
      <c r="L178" s="19">
        <v>4.0828763649087801E-2</v>
      </c>
      <c r="M178" s="18">
        <v>16150.8116906794</v>
      </c>
      <c r="N178" s="19">
        <v>5.1707127455973702E-2</v>
      </c>
      <c r="O178" s="18">
        <v>24609.869494561099</v>
      </c>
      <c r="P178" s="19">
        <v>3.3811060734168598E-2</v>
      </c>
      <c r="Q178" s="18">
        <v>2078.4621141893599</v>
      </c>
      <c r="R178" s="19">
        <v>-1.23288162363699E-3</v>
      </c>
      <c r="S178" s="18">
        <v>640.66700457770798</v>
      </c>
      <c r="T178" s="19">
        <v>2.09708624323981E-2</v>
      </c>
      <c r="U178" s="18">
        <v>8807.1431856835297</v>
      </c>
      <c r="V178" s="19">
        <v>1.1431927103820801E-2</v>
      </c>
      <c r="W178" s="18">
        <v>28989.0752708689</v>
      </c>
      <c r="X178" s="19">
        <v>-8.8289287516531995E-3</v>
      </c>
      <c r="Y178" s="18">
        <v>6308.72203951543</v>
      </c>
      <c r="Z178" s="19">
        <v>-3.8593786594232397E-2</v>
      </c>
      <c r="AA178" s="18">
        <v>6640.0812487324501</v>
      </c>
      <c r="AB178" s="19">
        <v>8.2200355424446994E-2</v>
      </c>
      <c r="AC178" s="18">
        <v>2719.2346138448702</v>
      </c>
      <c r="AD178" s="19">
        <v>0.56280935726088999</v>
      </c>
      <c r="AE178" s="18">
        <v>8609.6240859199897</v>
      </c>
      <c r="AF178" s="19">
        <v>6.8727583488123996E-3</v>
      </c>
      <c r="AG178" s="18">
        <v>15729.0342495939</v>
      </c>
      <c r="AH178" s="19">
        <v>2.2326442006708198E-2</v>
      </c>
      <c r="AI178" s="18">
        <v>7605.9224361445504</v>
      </c>
      <c r="AJ178" s="19">
        <v>1.46576541506191E-2</v>
      </c>
      <c r="AK178" s="18">
        <v>4846.7137395931804</v>
      </c>
      <c r="AL178" s="19">
        <v>1.40444317688415E-2</v>
      </c>
      <c r="AM178" s="18">
        <v>34727.768421141402</v>
      </c>
      <c r="AN178" s="19">
        <v>2.7707696360562702E-2</v>
      </c>
      <c r="AO178" s="18">
        <v>12485.346455962401</v>
      </c>
      <c r="AP178" s="19">
        <v>9.0064338697799506E-3</v>
      </c>
      <c r="AQ178" s="18">
        <v>7693.3768756168502</v>
      </c>
      <c r="AR178" s="19">
        <v>3.64880595980277E-3</v>
      </c>
      <c r="AS178" s="18">
        <v>13836.210522246</v>
      </c>
      <c r="AT178" s="19">
        <v>7.0402405663527699E-3</v>
      </c>
      <c r="AU178" s="18">
        <v>1441.7403384977899</v>
      </c>
      <c r="AV178" s="19">
        <v>0.112157380899657</v>
      </c>
      <c r="AW178" s="18">
        <v>2429.8101192549502</v>
      </c>
      <c r="AX178" s="19">
        <v>2.5267648203781901E-2</v>
      </c>
      <c r="AY178" s="18">
        <v>595.89500485819804</v>
      </c>
      <c r="AZ178" s="19">
        <v>5.5475919883995098E-2</v>
      </c>
      <c r="BA178" s="18">
        <v>5413.3058857190099</v>
      </c>
      <c r="BB178" s="19">
        <v>2.8974788473810999E-2</v>
      </c>
      <c r="BC178" s="18">
        <v>9583.2219233662199</v>
      </c>
      <c r="BD178" s="19">
        <v>1.8223732565557201E-2</v>
      </c>
      <c r="BE178" s="18">
        <v>-4169.91603764721</v>
      </c>
      <c r="BF178" s="19">
        <v>4.5975637649684504E-3</v>
      </c>
      <c r="BG178" s="18"/>
      <c r="BH178" s="19"/>
    </row>
    <row r="179" spans="1:60" x14ac:dyDescent="0.15">
      <c r="A179" s="17">
        <v>2021</v>
      </c>
      <c r="B179" s="17">
        <v>4</v>
      </c>
      <c r="C179" s="18">
        <v>198245.46794169201</v>
      </c>
      <c r="D179" s="19">
        <v>1.6788058304347601E-2</v>
      </c>
      <c r="E179" s="18">
        <v>192801.47696657901</v>
      </c>
      <c r="F179" s="19">
        <v>1.7105604922003099E-2</v>
      </c>
      <c r="G179" s="18">
        <v>1192.4066358975699</v>
      </c>
      <c r="H179" s="19">
        <v>1.2245816825327E-3</v>
      </c>
      <c r="I179" s="18">
        <v>177.05765927696501</v>
      </c>
      <c r="J179" s="19">
        <v>-3.6983937861255797E-2</v>
      </c>
      <c r="K179" s="18">
        <v>41459.208940302698</v>
      </c>
      <c r="L179" s="19">
        <v>1.7137293459047701E-2</v>
      </c>
      <c r="M179" s="18">
        <v>16807.4028981499</v>
      </c>
      <c r="N179" s="19">
        <v>4.0653759083165299E-2</v>
      </c>
      <c r="O179" s="18">
        <v>24651.806042152799</v>
      </c>
      <c r="P179" s="19">
        <v>1.70405404226015E-3</v>
      </c>
      <c r="Q179" s="18">
        <v>2013.99168840896</v>
      </c>
      <c r="R179" s="19">
        <v>-3.1018330976671601E-2</v>
      </c>
      <c r="S179" s="18">
        <v>640.45921934230398</v>
      </c>
      <c r="T179" s="19">
        <v>-3.2432641905855202E-4</v>
      </c>
      <c r="U179" s="18">
        <v>8812.5323627194102</v>
      </c>
      <c r="V179" s="19">
        <v>6.1190977848935002E-4</v>
      </c>
      <c r="W179" s="18">
        <v>30264.6599486669</v>
      </c>
      <c r="X179" s="19">
        <v>4.40022548452896E-2</v>
      </c>
      <c r="Y179" s="18">
        <v>6567.3898704612202</v>
      </c>
      <c r="Z179" s="19">
        <v>4.1001621140636102E-2</v>
      </c>
      <c r="AA179" s="18">
        <v>6821.8551102412603</v>
      </c>
      <c r="AB179" s="19">
        <v>2.73752465820358E-2</v>
      </c>
      <c r="AC179" s="18">
        <v>2807.7620829492298</v>
      </c>
      <c r="AD179" s="19">
        <v>3.2556024645178601E-2</v>
      </c>
      <c r="AE179" s="18">
        <v>8715.1744667474195</v>
      </c>
      <c r="AF179" s="19">
        <v>1.22595806476666E-2</v>
      </c>
      <c r="AG179" s="18">
        <v>15794.144948928901</v>
      </c>
      <c r="AH179" s="19">
        <v>4.1395230185024001E-3</v>
      </c>
      <c r="AI179" s="18">
        <v>7349.9699829439096</v>
      </c>
      <c r="AJ179" s="19">
        <v>-3.3651730654564498E-2</v>
      </c>
      <c r="AK179" s="18">
        <v>5045.6888581515504</v>
      </c>
      <c r="AL179" s="19">
        <v>4.1053614727215998E-2</v>
      </c>
      <c r="AM179" s="18">
        <v>35239.489834362197</v>
      </c>
      <c r="AN179" s="19">
        <v>1.4735223035789599E-2</v>
      </c>
      <c r="AO179" s="18">
        <v>12589.7588841039</v>
      </c>
      <c r="AP179" s="19">
        <v>8.3627978214120303E-3</v>
      </c>
      <c r="AQ179" s="18">
        <v>7734.85517099966</v>
      </c>
      <c r="AR179" s="19">
        <v>5.3914290243945997E-3</v>
      </c>
      <c r="AS179" s="18">
        <v>13991.549759903801</v>
      </c>
      <c r="AT179" s="19">
        <v>1.12270073809619E-2</v>
      </c>
      <c r="AU179" s="18">
        <v>1496.04582420068</v>
      </c>
      <c r="AV179" s="19">
        <v>3.7666620162316602E-2</v>
      </c>
      <c r="AW179" s="18">
        <v>2450.7588008886701</v>
      </c>
      <c r="AX179" s="19">
        <v>8.6215303277048499E-3</v>
      </c>
      <c r="AY179" s="18">
        <v>599.76562863870095</v>
      </c>
      <c r="AZ179" s="19">
        <v>6.4954794870681898E-3</v>
      </c>
      <c r="BA179" s="18">
        <v>5443.9909751124897</v>
      </c>
      <c r="BB179" s="19">
        <v>5.6684565848064104E-3</v>
      </c>
      <c r="BC179" s="18">
        <v>9662.7984746340808</v>
      </c>
      <c r="BD179" s="19">
        <v>8.3037366664577804E-3</v>
      </c>
      <c r="BE179" s="18">
        <v>-4218.8074995216002</v>
      </c>
      <c r="BF179" s="19">
        <v>1.1724807270213E-2</v>
      </c>
      <c r="BG179" s="18"/>
      <c r="BH179" s="19"/>
    </row>
    <row r="180" spans="1:60" x14ac:dyDescent="0.15">
      <c r="A180" s="17">
        <v>2022</v>
      </c>
      <c r="B180" s="17">
        <v>1</v>
      </c>
      <c r="C180" s="18">
        <v>201271.851010682</v>
      </c>
      <c r="D180" s="19">
        <v>1.5265837350092499E-2</v>
      </c>
      <c r="E180" s="18">
        <v>195802.15919392399</v>
      </c>
      <c r="F180" s="19">
        <v>1.5563585272039E-2</v>
      </c>
      <c r="G180" s="18">
        <v>1199.79339365238</v>
      </c>
      <c r="H180" s="19">
        <v>6.1948311359809596E-3</v>
      </c>
      <c r="I180" s="18">
        <v>170.03581695584401</v>
      </c>
      <c r="J180" s="19">
        <v>-3.9658506442453501E-2</v>
      </c>
      <c r="K180" s="18">
        <v>41159.492673238899</v>
      </c>
      <c r="L180" s="19">
        <v>-7.22918441341458E-3</v>
      </c>
      <c r="M180" s="18">
        <v>16088.194407110201</v>
      </c>
      <c r="N180" s="19">
        <v>-4.27911733536687E-2</v>
      </c>
      <c r="O180" s="18">
        <v>25071.298266128801</v>
      </c>
      <c r="P180" s="19">
        <v>1.7016693351337198E-2</v>
      </c>
      <c r="Q180" s="18">
        <v>2470.58979960037</v>
      </c>
      <c r="R180" s="19">
        <v>0.22671300672155201</v>
      </c>
      <c r="S180" s="18">
        <v>647.14880061190104</v>
      </c>
      <c r="T180" s="19">
        <v>1.0444976147687199E-2</v>
      </c>
      <c r="U180" s="18">
        <v>8891.1560425418702</v>
      </c>
      <c r="V180" s="19">
        <v>8.9218032441020795E-3</v>
      </c>
      <c r="W180" s="18">
        <v>31373.5560589866</v>
      </c>
      <c r="X180" s="19">
        <v>3.6639965960315803E-2</v>
      </c>
      <c r="Y180" s="18">
        <v>6443.1680011518902</v>
      </c>
      <c r="Z180" s="19">
        <v>-1.8914952783304899E-2</v>
      </c>
      <c r="AA180" s="18">
        <v>7057.9317423088096</v>
      </c>
      <c r="AB180" s="19">
        <v>3.4605928776344497E-2</v>
      </c>
      <c r="AC180" s="18">
        <v>2950.9794431475698</v>
      </c>
      <c r="AD180" s="19">
        <v>5.10076551955949E-2</v>
      </c>
      <c r="AE180" s="18">
        <v>8844.4118701033694</v>
      </c>
      <c r="AF180" s="19">
        <v>1.4829009315768599E-2</v>
      </c>
      <c r="AG180" s="18">
        <v>16297.920137179801</v>
      </c>
      <c r="AH180" s="19">
        <v>3.1896325497830801E-2</v>
      </c>
      <c r="AI180" s="18">
        <v>7444.0471678017802</v>
      </c>
      <c r="AJ180" s="19">
        <v>1.27996692607162E-2</v>
      </c>
      <c r="AK180" s="18">
        <v>5381.7842214989596</v>
      </c>
      <c r="AL180" s="19">
        <v>6.6610402027552904E-2</v>
      </c>
      <c r="AM180" s="18">
        <v>35387.839461073003</v>
      </c>
      <c r="AN180" s="19">
        <v>4.2097552322144498E-3</v>
      </c>
      <c r="AO180" s="18">
        <v>12729.615691418299</v>
      </c>
      <c r="AP180" s="19">
        <v>1.1108775680446201E-2</v>
      </c>
      <c r="AQ180" s="18">
        <v>7805.9115311915602</v>
      </c>
      <c r="AR180" s="19">
        <v>9.18651463033404E-3</v>
      </c>
      <c r="AS180" s="18">
        <v>14176.1440062324</v>
      </c>
      <c r="AT180" s="19">
        <v>1.3193266614226E-2</v>
      </c>
      <c r="AU180" s="18">
        <v>1583.45333867983</v>
      </c>
      <c r="AV180" s="19">
        <v>5.8425693294426699E-2</v>
      </c>
      <c r="AW180" s="18">
        <v>2460.3015003002602</v>
      </c>
      <c r="AX180" s="19">
        <v>3.89377339301245E-3</v>
      </c>
      <c r="AY180" s="18">
        <v>595.877886700673</v>
      </c>
      <c r="AZ180" s="19">
        <v>-6.4821019284677702E-3</v>
      </c>
      <c r="BA180" s="18">
        <v>5469.6918167590902</v>
      </c>
      <c r="BB180" s="19">
        <v>4.7209559611864904E-3</v>
      </c>
      <c r="BC180" s="18">
        <v>9753.5621775603395</v>
      </c>
      <c r="BD180" s="19">
        <v>9.3931073036988E-3</v>
      </c>
      <c r="BE180" s="18">
        <v>-4283.8703608012502</v>
      </c>
      <c r="BF180" s="19">
        <v>1.54220976631501E-2</v>
      </c>
      <c r="BG180" s="18"/>
      <c r="BH180" s="19"/>
    </row>
    <row r="181" spans="1:60" x14ac:dyDescent="0.15">
      <c r="A181" s="17">
        <v>2022</v>
      </c>
      <c r="B181" s="17">
        <v>2</v>
      </c>
      <c r="C181" s="18">
        <v>203597.62726433601</v>
      </c>
      <c r="D181" s="19">
        <v>1.1555397548016299E-2</v>
      </c>
      <c r="E181" s="18">
        <v>198139.32749009799</v>
      </c>
      <c r="F181" s="19">
        <v>1.19363765230995E-2</v>
      </c>
      <c r="G181" s="18">
        <v>1209.8324777991199</v>
      </c>
      <c r="H181" s="19">
        <v>8.3673440776148595E-3</v>
      </c>
      <c r="I181" s="18">
        <v>165.252698137679</v>
      </c>
      <c r="J181" s="19">
        <v>-2.81300663812925E-2</v>
      </c>
      <c r="K181" s="18">
        <v>40932.397812639298</v>
      </c>
      <c r="L181" s="19">
        <v>-5.5174358538032696E-3</v>
      </c>
      <c r="M181" s="18">
        <v>15489.0556830066</v>
      </c>
      <c r="N181" s="19">
        <v>-3.7240892852387297E-2</v>
      </c>
      <c r="O181" s="18">
        <v>25443.342129632601</v>
      </c>
      <c r="P181" s="19">
        <v>1.48394335049857E-2</v>
      </c>
      <c r="Q181" s="18">
        <v>2434.53111677785</v>
      </c>
      <c r="R181" s="19">
        <v>-1.45951719011996E-2</v>
      </c>
      <c r="S181" s="18">
        <v>657.94856435285396</v>
      </c>
      <c r="T181" s="19">
        <v>1.6688223374193401E-2</v>
      </c>
      <c r="U181" s="18">
        <v>8931.3033888765895</v>
      </c>
      <c r="V181" s="19">
        <v>4.5154247819545502E-3</v>
      </c>
      <c r="W181" s="18">
        <v>31979.475155696899</v>
      </c>
      <c r="X181" s="19">
        <v>1.93130512706647E-2</v>
      </c>
      <c r="Y181" s="18">
        <v>6489.9772913143697</v>
      </c>
      <c r="Z181" s="19">
        <v>7.2649495021872602E-3</v>
      </c>
      <c r="AA181" s="18">
        <v>7294.1716371352804</v>
      </c>
      <c r="AB181" s="19">
        <v>3.3471547112071003E-2</v>
      </c>
      <c r="AC181" s="18">
        <v>3320.7053908722601</v>
      </c>
      <c r="AD181" s="19">
        <v>0.12528923187968399</v>
      </c>
      <c r="AE181" s="18">
        <v>9089.6990104055403</v>
      </c>
      <c r="AF181" s="19">
        <v>2.7733572780719799E-2</v>
      </c>
      <c r="AG181" s="18">
        <v>16692.932422918999</v>
      </c>
      <c r="AH181" s="19">
        <v>2.4236975173173199E-2</v>
      </c>
      <c r="AI181" s="18">
        <v>7563.1908538368398</v>
      </c>
      <c r="AJ181" s="19">
        <v>1.6005229863453901E-2</v>
      </c>
      <c r="AK181" s="18">
        <v>5642.9162200848496</v>
      </c>
      <c r="AL181" s="19">
        <v>4.8521454565703601E-2</v>
      </c>
      <c r="AM181" s="18">
        <v>35652.538428045402</v>
      </c>
      <c r="AN181" s="19">
        <v>7.4799414432633604E-3</v>
      </c>
      <c r="AO181" s="18">
        <v>12829.1970378444</v>
      </c>
      <c r="AP181" s="19">
        <v>7.8228085466265397E-3</v>
      </c>
      <c r="AQ181" s="18">
        <v>7891.5182146077896</v>
      </c>
      <c r="AR181" s="19">
        <v>1.09669041308189E-2</v>
      </c>
      <c r="AS181" s="18">
        <v>14301.3708618373</v>
      </c>
      <c r="AT181" s="19">
        <v>8.8336331480398707E-3</v>
      </c>
      <c r="AU181" s="18">
        <v>1645.38075323506</v>
      </c>
      <c r="AV181" s="19">
        <v>3.9109087108851699E-2</v>
      </c>
      <c r="AW181" s="18">
        <v>2497.8004335835499</v>
      </c>
      <c r="AX181" s="19">
        <v>1.5241600787023701E-2</v>
      </c>
      <c r="AY181" s="18">
        <v>613.27208533224803</v>
      </c>
      <c r="AZ181" s="19">
        <v>2.9190877895948E-2</v>
      </c>
      <c r="BA181" s="18">
        <v>5458.2997742379603</v>
      </c>
      <c r="BB181" s="19">
        <v>-2.0827576585252801E-3</v>
      </c>
      <c r="BC181" s="18">
        <v>9776.8940995652902</v>
      </c>
      <c r="BD181" s="19">
        <v>2.3921436681495498E-3</v>
      </c>
      <c r="BE181" s="18">
        <v>-4318.5943253273299</v>
      </c>
      <c r="BF181" s="19">
        <v>8.1057458796647292E-3</v>
      </c>
      <c r="BG181" s="18"/>
      <c r="BH181" s="19"/>
    </row>
    <row r="182" spans="1:60" x14ac:dyDescent="0.15">
      <c r="A182" s="17">
        <v>2022</v>
      </c>
      <c r="B182" s="17">
        <v>3</v>
      </c>
      <c r="C182" s="18">
        <v>205808.18487913001</v>
      </c>
      <c r="D182" s="19">
        <v>1.08574822039733E-2</v>
      </c>
      <c r="E182" s="18">
        <v>200409.02965897199</v>
      </c>
      <c r="F182" s="19">
        <v>1.14550816217287E-2</v>
      </c>
      <c r="G182" s="18">
        <v>1232.8656910371899</v>
      </c>
      <c r="H182" s="19">
        <v>1.9038349243166101E-2</v>
      </c>
      <c r="I182" s="18">
        <v>160.780481468988</v>
      </c>
      <c r="J182" s="19">
        <v>-2.7062896516007399E-2</v>
      </c>
      <c r="K182" s="18">
        <v>40738.110660479797</v>
      </c>
      <c r="L182" s="19">
        <v>-4.74653727956054E-3</v>
      </c>
      <c r="M182" s="18">
        <v>15154.5935951224</v>
      </c>
      <c r="N182" s="19">
        <v>-2.1593446025967002E-2</v>
      </c>
      <c r="O182" s="18">
        <v>25583.517065357399</v>
      </c>
      <c r="P182" s="19">
        <v>5.5092972853381097E-3</v>
      </c>
      <c r="Q182" s="18">
        <v>2480.4195345622402</v>
      </c>
      <c r="R182" s="19">
        <v>1.8848975668514598E-2</v>
      </c>
      <c r="S182" s="18">
        <v>649.99965962189503</v>
      </c>
      <c r="T182" s="19">
        <v>-1.20813467216494E-2</v>
      </c>
      <c r="U182" s="18">
        <v>8950.5412933191601</v>
      </c>
      <c r="V182" s="19">
        <v>2.1539862218240601E-3</v>
      </c>
      <c r="W182" s="18">
        <v>32549.455295671101</v>
      </c>
      <c r="X182" s="19">
        <v>1.78233112707189E-2</v>
      </c>
      <c r="Y182" s="18">
        <v>6570.8219949599497</v>
      </c>
      <c r="Z182" s="19">
        <v>1.2456854626252199E-2</v>
      </c>
      <c r="AA182" s="18">
        <v>7317.4376320028396</v>
      </c>
      <c r="AB182" s="19">
        <v>3.1896692352440001E-3</v>
      </c>
      <c r="AC182" s="18">
        <v>3560.3864695280599</v>
      </c>
      <c r="AD182" s="19">
        <v>7.2177760579006794E-2</v>
      </c>
      <c r="AE182" s="18">
        <v>9340.4712619455804</v>
      </c>
      <c r="AF182" s="19">
        <v>2.7588619959028299E-2</v>
      </c>
      <c r="AG182" s="18">
        <v>17192.017514526</v>
      </c>
      <c r="AH182" s="19">
        <v>2.98979879006607E-2</v>
      </c>
      <c r="AI182" s="18">
        <v>7862.5781642994298</v>
      </c>
      <c r="AJ182" s="19">
        <v>3.9584788516967298E-2</v>
      </c>
      <c r="AK182" s="18">
        <v>5839.4599629227896</v>
      </c>
      <c r="AL182" s="19">
        <v>3.48301720550774E-2</v>
      </c>
      <c r="AM182" s="18">
        <v>36074.563028045799</v>
      </c>
      <c r="AN182" s="19">
        <v>1.18371543404174E-2</v>
      </c>
      <c r="AO182" s="18">
        <v>12983.174118982201</v>
      </c>
      <c r="AP182" s="19">
        <v>1.20020824907072E-2</v>
      </c>
      <c r="AQ182" s="18">
        <v>7978.7793827114601</v>
      </c>
      <c r="AR182" s="19">
        <v>1.1057589392893301E-2</v>
      </c>
      <c r="AS182" s="18">
        <v>14460.9349658908</v>
      </c>
      <c r="AT182" s="19">
        <v>1.1157259370099299E-2</v>
      </c>
      <c r="AU182" s="18">
        <v>1624.6034567945101</v>
      </c>
      <c r="AV182" s="19">
        <v>-1.2627652535564299E-2</v>
      </c>
      <c r="AW182" s="18">
        <v>2495.70931809387</v>
      </c>
      <c r="AX182" s="19">
        <v>-8.3718277151700903E-4</v>
      </c>
      <c r="AY182" s="18">
        <v>618.77989429026195</v>
      </c>
      <c r="AZ182" s="19">
        <v>8.9810201536069095E-3</v>
      </c>
      <c r="BA182" s="18">
        <v>5399.1552201580598</v>
      </c>
      <c r="BB182" s="19">
        <v>-1.08357101160055E-2</v>
      </c>
      <c r="BC182" s="18">
        <v>9719.5012930367993</v>
      </c>
      <c r="BD182" s="19">
        <v>-5.8702493802247303E-3</v>
      </c>
      <c r="BE182" s="18">
        <v>-4320.3460728787304</v>
      </c>
      <c r="BF182" s="19">
        <v>4.0562910508423798E-4</v>
      </c>
      <c r="BG182" s="18"/>
      <c r="BH182" s="19"/>
    </row>
    <row r="183" spans="1:60" x14ac:dyDescent="0.15">
      <c r="A183" s="17">
        <v>2022</v>
      </c>
      <c r="B183" s="17">
        <v>4</v>
      </c>
      <c r="C183" s="18">
        <v>207101.318072625</v>
      </c>
      <c r="D183" s="19">
        <v>6.2831961433154103E-3</v>
      </c>
      <c r="E183" s="18">
        <v>201826.88098936001</v>
      </c>
      <c r="F183" s="19">
        <v>7.0747876620171901E-3</v>
      </c>
      <c r="G183" s="18">
        <v>1259.1205947563601</v>
      </c>
      <c r="H183" s="19">
        <v>2.1295834501719301E-2</v>
      </c>
      <c r="I183" s="18">
        <v>158.16206426032801</v>
      </c>
      <c r="J183" s="19">
        <v>-1.62856659262169E-2</v>
      </c>
      <c r="K183" s="18">
        <v>40482.860102712199</v>
      </c>
      <c r="L183" s="19">
        <v>-6.2656454516236701E-3</v>
      </c>
      <c r="M183" s="18">
        <v>15203.768904862</v>
      </c>
      <c r="N183" s="19">
        <v>3.2449111505945499E-3</v>
      </c>
      <c r="O183" s="18">
        <v>25279.091197850201</v>
      </c>
      <c r="P183" s="19">
        <v>-1.18992969860016E-2</v>
      </c>
      <c r="Q183" s="18">
        <v>3042.9787178332599</v>
      </c>
      <c r="R183" s="19">
        <v>0.22680001323659199</v>
      </c>
      <c r="S183" s="18">
        <v>659.17470756527996</v>
      </c>
      <c r="T183" s="19">
        <v>1.41154657661238E-2</v>
      </c>
      <c r="U183" s="18">
        <v>9128.80327102089</v>
      </c>
      <c r="V183" s="19">
        <v>1.9916334874046801E-2</v>
      </c>
      <c r="W183" s="18">
        <v>32088.401404910899</v>
      </c>
      <c r="X183" s="19">
        <v>-1.41647190889083E-2</v>
      </c>
      <c r="Y183" s="18">
        <v>6587.2496381577203</v>
      </c>
      <c r="Z183" s="19">
        <v>2.5000895185363099E-3</v>
      </c>
      <c r="AA183" s="18">
        <v>7469.2809264252901</v>
      </c>
      <c r="AB183" s="19">
        <v>2.0750883308983101E-2</v>
      </c>
      <c r="AC183" s="18">
        <v>3578.9047145366699</v>
      </c>
      <c r="AD183" s="19">
        <v>5.2011895807111399E-3</v>
      </c>
      <c r="AE183" s="18">
        <v>9271.5780175566197</v>
      </c>
      <c r="AF183" s="19">
        <v>-7.37577820828339E-3</v>
      </c>
      <c r="AG183" s="18">
        <v>17789.4501777033</v>
      </c>
      <c r="AH183" s="19">
        <v>3.4750584838136603E-2</v>
      </c>
      <c r="AI183" s="18">
        <v>8269.8660405582705</v>
      </c>
      <c r="AJ183" s="19">
        <v>5.1800804742158098E-2</v>
      </c>
      <c r="AK183" s="18">
        <v>5980.6551778991397</v>
      </c>
      <c r="AL183" s="19">
        <v>2.4179498767498801E-2</v>
      </c>
      <c r="AM183" s="18">
        <v>36280.225894409901</v>
      </c>
      <c r="AN183" s="19">
        <v>5.70104941268879E-3</v>
      </c>
      <c r="AO183" s="18">
        <v>13105.6723451945</v>
      </c>
      <c r="AP183" s="19">
        <v>9.43515238182502E-3</v>
      </c>
      <c r="AQ183" s="18">
        <v>8105.2404230524799</v>
      </c>
      <c r="AR183" s="19">
        <v>1.58496725219694E-2</v>
      </c>
      <c r="AS183" s="18">
        <v>14556.9525546351</v>
      </c>
      <c r="AT183" s="19">
        <v>6.6397912009672497E-3</v>
      </c>
      <c r="AU183" s="18">
        <v>1698.33095521418</v>
      </c>
      <c r="AV183" s="19">
        <v>4.5381842634476102E-2</v>
      </c>
      <c r="AW183" s="18">
        <v>2522.6121397202</v>
      </c>
      <c r="AX183" s="19">
        <v>1.0779629434921599E-2</v>
      </c>
      <c r="AY183" s="18">
        <v>629.13197785241596</v>
      </c>
      <c r="AZ183" s="19">
        <v>1.67298318152822E-2</v>
      </c>
      <c r="BA183" s="18">
        <v>5274.4370832651903</v>
      </c>
      <c r="BB183" s="19">
        <v>-2.30995649888384E-2</v>
      </c>
      <c r="BC183" s="18">
        <v>9656.0390249178799</v>
      </c>
      <c r="BD183" s="19">
        <v>-6.5293749345326502E-3</v>
      </c>
      <c r="BE183" s="18">
        <v>-4381.6019416526897</v>
      </c>
      <c r="BF183" s="19">
        <v>1.4178463424144E-2</v>
      </c>
      <c r="BG183" s="18"/>
      <c r="BH183" s="19"/>
    </row>
    <row r="184" spans="1:60" x14ac:dyDescent="0.15">
      <c r="A184" s="17">
        <v>2023</v>
      </c>
      <c r="B184" s="17">
        <v>1</v>
      </c>
      <c r="C184" s="18">
        <v>209556.881353723</v>
      </c>
      <c r="D184" s="19">
        <v>1.18568211151477E-2</v>
      </c>
      <c r="E184" s="18">
        <v>204334.87205444</v>
      </c>
      <c r="F184" s="19">
        <v>1.24264471253077E-2</v>
      </c>
      <c r="G184" s="18">
        <v>1268.8519945523799</v>
      </c>
      <c r="H184" s="19">
        <v>7.7287273645940697E-3</v>
      </c>
      <c r="I184" s="18">
        <v>166.18506255752999</v>
      </c>
      <c r="J184" s="19">
        <v>5.0726438951866203E-2</v>
      </c>
      <c r="K184" s="18">
        <v>41181.732089679499</v>
      </c>
      <c r="L184" s="19">
        <v>1.72634044431186E-2</v>
      </c>
      <c r="M184" s="18">
        <v>14903.560603820801</v>
      </c>
      <c r="N184" s="19">
        <v>-1.9745650102928902E-2</v>
      </c>
      <c r="O184" s="18">
        <v>26278.1714858587</v>
      </c>
      <c r="P184" s="19">
        <v>3.9522001807306598E-2</v>
      </c>
      <c r="Q184" s="18">
        <v>3281.6941168272001</v>
      </c>
      <c r="R184" s="19">
        <v>7.8447935766017704E-2</v>
      </c>
      <c r="S184" s="18">
        <v>657.51501843508197</v>
      </c>
      <c r="T184" s="19">
        <v>-2.5178289020356698E-3</v>
      </c>
      <c r="U184" s="18">
        <v>9225.6535698420194</v>
      </c>
      <c r="V184" s="19">
        <v>1.06093094511714E-2</v>
      </c>
      <c r="W184" s="18">
        <v>32237.540651432901</v>
      </c>
      <c r="X184" s="19">
        <v>4.6477618077640503E-3</v>
      </c>
      <c r="Y184" s="18">
        <v>6595.8516312758002</v>
      </c>
      <c r="Z184" s="19">
        <v>1.30585503671399E-3</v>
      </c>
      <c r="AA184" s="18">
        <v>7603.1233952361399</v>
      </c>
      <c r="AB184" s="19">
        <v>1.7919056751144E-2</v>
      </c>
      <c r="AC184" s="18">
        <v>3719.2860816154698</v>
      </c>
      <c r="AD184" s="19">
        <v>3.9224672986848799E-2</v>
      </c>
      <c r="AE184" s="18">
        <v>9466.8361457736391</v>
      </c>
      <c r="AF184" s="19">
        <v>2.1059859265302398E-2</v>
      </c>
      <c r="AG184" s="18">
        <v>17865.430991683399</v>
      </c>
      <c r="AH184" s="19">
        <v>4.2711164887687704E-3</v>
      </c>
      <c r="AI184" s="18">
        <v>8136.4621821627998</v>
      </c>
      <c r="AJ184" s="19">
        <v>-1.6131320355276799E-2</v>
      </c>
      <c r="AK184" s="18">
        <v>6122.1282893345397</v>
      </c>
      <c r="AL184" s="19">
        <v>2.36551192515169E-2</v>
      </c>
      <c r="AM184" s="18">
        <v>36615.119981180404</v>
      </c>
      <c r="AN184" s="19">
        <v>9.2307607936403802E-3</v>
      </c>
      <c r="AO184" s="18">
        <v>13182.805599462199</v>
      </c>
      <c r="AP184" s="19">
        <v>5.8854862410762099E-3</v>
      </c>
      <c r="AQ184" s="18">
        <v>8248.3413137863699</v>
      </c>
      <c r="AR184" s="19">
        <v>1.76553542232856E-2</v>
      </c>
      <c r="AS184" s="18">
        <v>14666.5627912405</v>
      </c>
      <c r="AT184" s="19">
        <v>7.5297515873629104E-3</v>
      </c>
      <c r="AU184" s="18">
        <v>1736.5981786024599</v>
      </c>
      <c r="AV184" s="19">
        <v>2.25322533695782E-2</v>
      </c>
      <c r="AW184" s="18">
        <v>2571.5177526072398</v>
      </c>
      <c r="AX184" s="19">
        <v>1.9386893497018502E-2</v>
      </c>
      <c r="AY184" s="18">
        <v>640.07731992535105</v>
      </c>
      <c r="AZ184" s="19">
        <v>1.73975293869142E-2</v>
      </c>
      <c r="BA184" s="18">
        <v>5222.0092992836298</v>
      </c>
      <c r="BB184" s="19">
        <v>-9.9399771300533492E-3</v>
      </c>
      <c r="BC184" s="18">
        <v>9667.0905500195895</v>
      </c>
      <c r="BD184" s="19">
        <v>1.14451951500882E-3</v>
      </c>
      <c r="BE184" s="18">
        <v>-4445.0812507359597</v>
      </c>
      <c r="BF184" s="19">
        <v>1.44876942106074E-2</v>
      </c>
      <c r="BG184" s="18"/>
      <c r="BH184" s="19"/>
    </row>
    <row r="185" spans="1:60" x14ac:dyDescent="0.15">
      <c r="A185" s="17">
        <v>2023</v>
      </c>
      <c r="B185" s="17">
        <v>2</v>
      </c>
      <c r="C185" s="18">
        <v>208758.422108164</v>
      </c>
      <c r="D185" s="19">
        <v>-3.8102268004802701E-3</v>
      </c>
      <c r="E185" s="18">
        <v>203612.75348361599</v>
      </c>
      <c r="F185" s="19">
        <v>-3.5339957568841802E-3</v>
      </c>
      <c r="G185" s="18">
        <v>1260.8976490433299</v>
      </c>
      <c r="H185" s="19">
        <v>-6.2689309259067504E-3</v>
      </c>
      <c r="I185" s="18">
        <v>168.430941597833</v>
      </c>
      <c r="J185" s="19">
        <v>1.3514325570176599E-2</v>
      </c>
      <c r="K185" s="18">
        <v>39924.779729149799</v>
      </c>
      <c r="L185" s="19">
        <v>-3.0522085807184102E-2</v>
      </c>
      <c r="M185" s="18">
        <v>14280.7273693351</v>
      </c>
      <c r="N185" s="19">
        <v>-4.17909015866956E-2</v>
      </c>
      <c r="O185" s="18">
        <v>25644.052359814701</v>
      </c>
      <c r="P185" s="19">
        <v>-2.4131021687916102E-2</v>
      </c>
      <c r="Q185" s="18">
        <v>3341.0136930640501</v>
      </c>
      <c r="R185" s="19">
        <v>1.8075900472468698E-2</v>
      </c>
      <c r="S185" s="18">
        <v>660.58667061192705</v>
      </c>
      <c r="T185" s="19">
        <v>4.6716076298241004E-3</v>
      </c>
      <c r="U185" s="18">
        <v>9230.6580008850506</v>
      </c>
      <c r="V185" s="19">
        <v>5.4244731878894104E-4</v>
      </c>
      <c r="W185" s="18">
        <v>32038.558253907599</v>
      </c>
      <c r="X185" s="19">
        <v>-6.1723814380509898E-3</v>
      </c>
      <c r="Y185" s="18">
        <v>6666.6070249640297</v>
      </c>
      <c r="Z185" s="19">
        <v>1.07272567127996E-2</v>
      </c>
      <c r="AA185" s="18">
        <v>7493.7283458067004</v>
      </c>
      <c r="AB185" s="19">
        <v>-1.4388172300082601E-2</v>
      </c>
      <c r="AC185" s="18">
        <v>3766.1753761494801</v>
      </c>
      <c r="AD185" s="19">
        <v>1.26070685354871E-2</v>
      </c>
      <c r="AE185" s="18">
        <v>9481.4289955457698</v>
      </c>
      <c r="AF185" s="19">
        <v>1.5414706188452401E-3</v>
      </c>
      <c r="AG185" s="18">
        <v>17997.146892386001</v>
      </c>
      <c r="AH185" s="19">
        <v>7.3726685219026597E-3</v>
      </c>
      <c r="AI185" s="18">
        <v>8122.0208895272699</v>
      </c>
      <c r="AJ185" s="19">
        <v>-1.7748859777389999E-3</v>
      </c>
      <c r="AK185" s="18">
        <v>6221.2221113415098</v>
      </c>
      <c r="AL185" s="19">
        <v>1.6186172083261001E-2</v>
      </c>
      <c r="AM185" s="18">
        <v>36961.300648911601</v>
      </c>
      <c r="AN185" s="19">
        <v>9.4545823667682195E-3</v>
      </c>
      <c r="AO185" s="18">
        <v>13225.5705550771</v>
      </c>
      <c r="AP185" s="19">
        <v>3.2439950124583099E-3</v>
      </c>
      <c r="AQ185" s="18">
        <v>8314.6881394361208</v>
      </c>
      <c r="AR185" s="19">
        <v>8.0436566729915598E-3</v>
      </c>
      <c r="AS185" s="18">
        <v>14740.4138771096</v>
      </c>
      <c r="AT185" s="19">
        <v>5.0353369716045204E-3</v>
      </c>
      <c r="AU185" s="18">
        <v>1747.1781274926</v>
      </c>
      <c r="AV185" s="19">
        <v>6.0923413490225897E-3</v>
      </c>
      <c r="AW185" s="18">
        <v>2611.66236303699</v>
      </c>
      <c r="AX185" s="19">
        <v>1.56112515221949E-2</v>
      </c>
      <c r="AY185" s="18">
        <v>648.53522440451798</v>
      </c>
      <c r="AZ185" s="19">
        <v>1.3213879348441799E-2</v>
      </c>
      <c r="BA185" s="18">
        <v>5145.6686245484298</v>
      </c>
      <c r="BB185" s="19">
        <v>-1.46190231307478E-2</v>
      </c>
      <c r="BC185" s="18">
        <v>9644.9808720559395</v>
      </c>
      <c r="BD185" s="19">
        <v>-2.28710777552421E-3</v>
      </c>
      <c r="BE185" s="18">
        <v>-4499.3122475075197</v>
      </c>
      <c r="BF185" s="19">
        <v>1.22002262079197E-2</v>
      </c>
      <c r="BG185" s="18"/>
      <c r="BH185" s="19"/>
    </row>
    <row r="186" spans="1:60" x14ac:dyDescent="0.15">
      <c r="A186" s="17">
        <v>2023</v>
      </c>
      <c r="B186" s="17">
        <v>3</v>
      </c>
      <c r="C186" s="18">
        <v>209443.17544302801</v>
      </c>
      <c r="D186" s="19">
        <v>3.28012315837722E-3</v>
      </c>
      <c r="E186" s="18">
        <v>204318.99914780399</v>
      </c>
      <c r="F186" s="19">
        <v>3.46857282810276E-3</v>
      </c>
      <c r="G186" s="18">
        <v>1275.8638526099101</v>
      </c>
      <c r="H186" s="19">
        <v>1.1869483282748601E-2</v>
      </c>
      <c r="I186" s="18">
        <v>170.29724686337599</v>
      </c>
      <c r="J186" s="19">
        <v>1.1080536912267701E-2</v>
      </c>
      <c r="K186" s="18">
        <v>39980.7305931714</v>
      </c>
      <c r="L186" s="19">
        <v>1.40140695580904E-3</v>
      </c>
      <c r="M186" s="18">
        <v>14487.644579670399</v>
      </c>
      <c r="N186" s="19">
        <v>1.44892626953694E-2</v>
      </c>
      <c r="O186" s="18">
        <v>25493.086013501001</v>
      </c>
      <c r="P186" s="19">
        <v>-5.8869925936607696E-3</v>
      </c>
      <c r="Q186" s="18">
        <v>3397.9065185504501</v>
      </c>
      <c r="R186" s="19">
        <v>1.70286118864174E-2</v>
      </c>
      <c r="S186" s="18">
        <v>665.26929556415701</v>
      </c>
      <c r="T186" s="19">
        <v>7.0885852841877702E-3</v>
      </c>
      <c r="U186" s="18">
        <v>9290.4165696016898</v>
      </c>
      <c r="V186" s="19">
        <v>6.4739229544537001E-3</v>
      </c>
      <c r="W186" s="18">
        <v>31770.505801221101</v>
      </c>
      <c r="X186" s="19">
        <v>-8.3665579007057306E-3</v>
      </c>
      <c r="Y186" s="18">
        <v>6632.3179108739596</v>
      </c>
      <c r="Z186" s="19">
        <v>-5.1434131277985403E-3</v>
      </c>
      <c r="AA186" s="18">
        <v>7432.8889234778999</v>
      </c>
      <c r="AB186" s="19">
        <v>-8.11871201106951E-3</v>
      </c>
      <c r="AC186" s="18">
        <v>3810.0442668806299</v>
      </c>
      <c r="AD186" s="19">
        <v>1.16481274369138E-2</v>
      </c>
      <c r="AE186" s="18">
        <v>9585.8767814101793</v>
      </c>
      <c r="AF186" s="19">
        <v>1.10160383960567E-2</v>
      </c>
      <c r="AG186" s="18">
        <v>17984.688345626</v>
      </c>
      <c r="AH186" s="19">
        <v>-6.9225121262384004E-4</v>
      </c>
      <c r="AI186" s="18">
        <v>8061.9496826078503</v>
      </c>
      <c r="AJ186" s="19">
        <v>-7.3960911620994897E-3</v>
      </c>
      <c r="AK186" s="18">
        <v>6303.6080074199599</v>
      </c>
      <c r="AL186" s="19">
        <v>1.32427189712854E-2</v>
      </c>
      <c r="AM186" s="18">
        <v>37206.671220691198</v>
      </c>
      <c r="AN186" s="19">
        <v>6.6385805551136797E-3</v>
      </c>
      <c r="AO186" s="18">
        <v>13364.0310353481</v>
      </c>
      <c r="AP186" s="19">
        <v>1.04691498710325E-2</v>
      </c>
      <c r="AQ186" s="18">
        <v>8454.3435294648498</v>
      </c>
      <c r="AR186" s="19">
        <v>1.67962270727098E-2</v>
      </c>
      <c r="AS186" s="18">
        <v>14897.4109891999</v>
      </c>
      <c r="AT186" s="19">
        <v>1.06507940278469E-2</v>
      </c>
      <c r="AU186" s="18">
        <v>1755.3492288699099</v>
      </c>
      <c r="AV186" s="19">
        <v>4.6767420268913904E-3</v>
      </c>
      <c r="AW186" s="18">
        <v>2621.58246826185</v>
      </c>
      <c r="AX186" s="19">
        <v>3.79838732803384E-3</v>
      </c>
      <c r="AY186" s="18">
        <v>655.12248099187104</v>
      </c>
      <c r="AZ186" s="19">
        <v>1.01571300053918E-2</v>
      </c>
      <c r="BA186" s="18">
        <v>5124.1762952232502</v>
      </c>
      <c r="BB186" s="19">
        <v>-4.1767806855352897E-3</v>
      </c>
      <c r="BC186" s="18">
        <v>9676.5545901761598</v>
      </c>
      <c r="BD186" s="19">
        <v>3.2735905378198401E-3</v>
      </c>
      <c r="BE186" s="18">
        <v>-4552.3782949529104</v>
      </c>
      <c r="BF186" s="19">
        <v>1.1794257550093799E-2</v>
      </c>
      <c r="BG186" s="18"/>
      <c r="BH186" s="19"/>
    </row>
    <row r="187" spans="1:60" x14ac:dyDescent="0.15">
      <c r="A187" s="17">
        <v>2023</v>
      </c>
      <c r="B187" s="17">
        <v>4</v>
      </c>
      <c r="C187" s="18">
        <v>210958.62679167301</v>
      </c>
      <c r="D187" s="19">
        <v>7.2356205707795303E-3</v>
      </c>
      <c r="E187" s="18">
        <v>205760.82159318399</v>
      </c>
      <c r="F187" s="19">
        <v>7.0567223380750797E-3</v>
      </c>
      <c r="G187" s="18">
        <v>1274.77161126894</v>
      </c>
      <c r="H187" s="19">
        <v>-8.5607985423397104E-4</v>
      </c>
      <c r="I187" s="18">
        <v>175.30077852949199</v>
      </c>
      <c r="J187" s="19">
        <v>2.93811659217873E-2</v>
      </c>
      <c r="K187" s="18">
        <v>39889.512071619502</v>
      </c>
      <c r="L187" s="19">
        <v>-2.28156214752828E-3</v>
      </c>
      <c r="M187" s="18">
        <v>14440.4018579561</v>
      </c>
      <c r="N187" s="19">
        <v>-3.2608973428675E-3</v>
      </c>
      <c r="O187" s="18">
        <v>25449.1102136634</v>
      </c>
      <c r="P187" s="19">
        <v>-1.7250088833640201E-3</v>
      </c>
      <c r="Q187" s="18">
        <v>3372.8460321091702</v>
      </c>
      <c r="R187" s="19">
        <v>-7.3752724815901996E-3</v>
      </c>
      <c r="S187" s="18">
        <v>677.40820413852498</v>
      </c>
      <c r="T187" s="19">
        <v>1.8246608787309E-2</v>
      </c>
      <c r="U187" s="18">
        <v>9361.9332320642297</v>
      </c>
      <c r="V187" s="19">
        <v>7.6978962059179902E-3</v>
      </c>
      <c r="W187" s="18">
        <v>31972.0627607112</v>
      </c>
      <c r="X187" s="19">
        <v>6.3441533084527303E-3</v>
      </c>
      <c r="Y187" s="18">
        <v>6658.3843920413901</v>
      </c>
      <c r="Z187" s="19">
        <v>3.9302219100043603E-3</v>
      </c>
      <c r="AA187" s="18">
        <v>7539.6534060287804</v>
      </c>
      <c r="AB187" s="19">
        <v>1.43637936272187E-2</v>
      </c>
      <c r="AC187" s="18">
        <v>3795.8482136859202</v>
      </c>
      <c r="AD187" s="19">
        <v>-3.7259549234415199E-3</v>
      </c>
      <c r="AE187" s="18">
        <v>9847.7703794723202</v>
      </c>
      <c r="AF187" s="19">
        <v>2.7320776600219001E-2</v>
      </c>
      <c r="AG187" s="18">
        <v>17755.269956288099</v>
      </c>
      <c r="AH187" s="19">
        <v>-1.27563172032221E-2</v>
      </c>
      <c r="AI187" s="18">
        <v>7817.2144301491298</v>
      </c>
      <c r="AJ187" s="19">
        <v>-3.03568320435804E-2</v>
      </c>
      <c r="AK187" s="18">
        <v>6374.1163325664402</v>
      </c>
      <c r="AL187" s="19">
        <v>1.11853917730116E-2</v>
      </c>
      <c r="AM187" s="18">
        <v>37722.630413857099</v>
      </c>
      <c r="AN187" s="19">
        <v>1.3867383892139901E-2</v>
      </c>
      <c r="AO187" s="18">
        <v>13514.8646726928</v>
      </c>
      <c r="AP187" s="19">
        <v>1.1286537493498099E-2</v>
      </c>
      <c r="AQ187" s="18">
        <v>8655.1524912975692</v>
      </c>
      <c r="AR187" s="19">
        <v>2.3752164923611201E-2</v>
      </c>
      <c r="AS187" s="18">
        <v>15141.3723617451</v>
      </c>
      <c r="AT187" s="19">
        <v>1.6376091974775301E-2</v>
      </c>
      <c r="AU187" s="18">
        <v>1768.9337717501501</v>
      </c>
      <c r="AV187" s="19">
        <v>7.7389402956504804E-3</v>
      </c>
      <c r="AW187" s="18">
        <v>2645.3787344177899</v>
      </c>
      <c r="AX187" s="19">
        <v>9.0770618296507292E-3</v>
      </c>
      <c r="AY187" s="18">
        <v>650.11250150737703</v>
      </c>
      <c r="AZ187" s="19">
        <v>-7.6473936246369599E-3</v>
      </c>
      <c r="BA187" s="18">
        <v>5197.8051984886397</v>
      </c>
      <c r="BB187" s="19">
        <v>1.43689246863012E-2</v>
      </c>
      <c r="BC187" s="18">
        <v>9789.0279159722595</v>
      </c>
      <c r="BD187" s="19">
        <v>1.16232823106566E-2</v>
      </c>
      <c r="BE187" s="18">
        <v>-4591.2227174836198</v>
      </c>
      <c r="BF187" s="19">
        <v>8.5327756205517708E-3</v>
      </c>
      <c r="BG187" s="18"/>
      <c r="BH187" s="19"/>
    </row>
    <row r="188" spans="1:60" x14ac:dyDescent="0.15">
      <c r="A188" s="17">
        <v>2024</v>
      </c>
      <c r="B188" s="17">
        <v>1</v>
      </c>
      <c r="C188" s="18">
        <v>212020.972478221</v>
      </c>
      <c r="D188" s="19">
        <v>5.0358011080404701E-3</v>
      </c>
      <c r="E188" s="18">
        <v>206679.42673269301</v>
      </c>
      <c r="F188" s="19">
        <v>4.4644317241584498E-3</v>
      </c>
      <c r="G188" s="18">
        <v>1255.9488822866199</v>
      </c>
      <c r="H188" s="19">
        <v>-1.47655696251254E-2</v>
      </c>
      <c r="I188" s="18">
        <v>190.36781168821199</v>
      </c>
      <c r="J188" s="19">
        <v>8.5949607783318005E-2</v>
      </c>
      <c r="K188" s="18">
        <v>39952.626009701999</v>
      </c>
      <c r="L188" s="19">
        <v>1.58221885414722E-3</v>
      </c>
      <c r="M188" s="18">
        <v>14569.7010185453</v>
      </c>
      <c r="N188" s="19">
        <v>8.9539863129197705E-3</v>
      </c>
      <c r="O188" s="18">
        <v>25382.9249911566</v>
      </c>
      <c r="P188" s="19">
        <v>-2.6006890595022801E-3</v>
      </c>
      <c r="Q188" s="18">
        <v>3460.7653309287398</v>
      </c>
      <c r="R188" s="19">
        <v>2.6066798775451899E-2</v>
      </c>
      <c r="S188" s="18">
        <v>689.09224751361205</v>
      </c>
      <c r="T188" s="19">
        <v>1.72481574679859E-2</v>
      </c>
      <c r="U188" s="18">
        <v>9432.8167919574207</v>
      </c>
      <c r="V188" s="19">
        <v>7.5714660782264503E-3</v>
      </c>
      <c r="W188" s="18">
        <v>31646.142052444098</v>
      </c>
      <c r="X188" s="19">
        <v>-1.01939218218835E-2</v>
      </c>
      <c r="Y188" s="18">
        <v>6702.8635207920397</v>
      </c>
      <c r="Z188" s="19">
        <v>6.6801683609329903E-3</v>
      </c>
      <c r="AA188" s="18">
        <v>7591.7995653476601</v>
      </c>
      <c r="AB188" s="19">
        <v>6.9162541712048898E-3</v>
      </c>
      <c r="AC188" s="18">
        <v>3833.4357852385301</v>
      </c>
      <c r="AD188" s="19">
        <v>9.9022851907215603E-3</v>
      </c>
      <c r="AE188" s="18">
        <v>9984.3016733620007</v>
      </c>
      <c r="AF188" s="19">
        <v>1.38641833256268E-2</v>
      </c>
      <c r="AG188" s="18">
        <v>17783.223188468699</v>
      </c>
      <c r="AH188" s="19">
        <v>1.57436255542209E-3</v>
      </c>
      <c r="AI188" s="18">
        <v>7772.06574466862</v>
      </c>
      <c r="AJ188" s="19">
        <v>-5.7755465049519304E-3</v>
      </c>
      <c r="AK188" s="18">
        <v>6436.4720347708399</v>
      </c>
      <c r="AL188" s="19">
        <v>9.7826426364091609E-3</v>
      </c>
      <c r="AM188" s="18">
        <v>38125.2437049988</v>
      </c>
      <c r="AN188" s="19">
        <v>1.06729909002794E-2</v>
      </c>
      <c r="AO188" s="18">
        <v>13600.995872322599</v>
      </c>
      <c r="AP188" s="19">
        <v>6.3730715560781402E-3</v>
      </c>
      <c r="AQ188" s="18">
        <v>8748.9472753969494</v>
      </c>
      <c r="AR188" s="19">
        <v>1.0836872509605701E-2</v>
      </c>
      <c r="AS188" s="18">
        <v>15292.973120050599</v>
      </c>
      <c r="AT188" s="19">
        <v>1.00123525585136E-2</v>
      </c>
      <c r="AU188" s="18">
        <v>1780.1608564365999</v>
      </c>
      <c r="AV188" s="19">
        <v>6.3468089454490296E-3</v>
      </c>
      <c r="AW188" s="18">
        <v>2666.9958551018599</v>
      </c>
      <c r="AX188" s="19">
        <v>8.1716543657135397E-3</v>
      </c>
      <c r="AY188" s="18">
        <v>643.59070944848804</v>
      </c>
      <c r="AZ188" s="19">
        <v>-1.00317899498437E-2</v>
      </c>
      <c r="BA188" s="18">
        <v>5341.54574552741</v>
      </c>
      <c r="BB188" s="19">
        <v>2.76540850512377E-2</v>
      </c>
      <c r="BC188" s="18">
        <v>9983.7389290207393</v>
      </c>
      <c r="BD188" s="19">
        <v>1.9890740400360499E-2</v>
      </c>
      <c r="BE188" s="18">
        <v>-4642.1931834933303</v>
      </c>
      <c r="BF188" s="19">
        <v>1.11017193340717E-2</v>
      </c>
      <c r="BG188" s="18"/>
      <c r="BH188" s="19"/>
    </row>
    <row r="189" spans="1:60" x14ac:dyDescent="0.15">
      <c r="A189" s="17">
        <v>2024</v>
      </c>
      <c r="B189" s="17">
        <v>2</v>
      </c>
      <c r="C189" s="18">
        <v>214155.14478347899</v>
      </c>
      <c r="D189" s="19">
        <v>1.0065854713865501E-2</v>
      </c>
      <c r="E189" s="18">
        <v>208773.38220148801</v>
      </c>
      <c r="F189" s="19">
        <v>1.01314170544051E-2</v>
      </c>
      <c r="G189" s="18">
        <v>1233.2251144450099</v>
      </c>
      <c r="H189" s="19">
        <v>-1.8092908208363401E-2</v>
      </c>
      <c r="I189" s="18">
        <v>186.34529632497799</v>
      </c>
      <c r="J189" s="19">
        <v>-2.11302285169018E-2</v>
      </c>
      <c r="K189" s="18">
        <v>40750.675416283397</v>
      </c>
      <c r="L189" s="19">
        <v>1.9974892423531902E-2</v>
      </c>
      <c r="M189" s="18">
        <v>15480.137151978</v>
      </c>
      <c r="N189" s="19">
        <v>6.2488319580051403E-2</v>
      </c>
      <c r="O189" s="18">
        <v>25270.5382643054</v>
      </c>
      <c r="P189" s="19">
        <v>-4.4276507490930202E-3</v>
      </c>
      <c r="Q189" s="18">
        <v>3337.4027517517602</v>
      </c>
      <c r="R189" s="19">
        <v>-3.5646039930672703E-2</v>
      </c>
      <c r="S189" s="18">
        <v>698.737334379961</v>
      </c>
      <c r="T189" s="19">
        <v>1.39968007202966E-2</v>
      </c>
      <c r="U189" s="18">
        <v>9569.8198547632292</v>
      </c>
      <c r="V189" s="19">
        <v>1.45240881729645E-2</v>
      </c>
      <c r="W189" s="18">
        <v>31310.449846756499</v>
      </c>
      <c r="X189" s="19">
        <v>-1.0607681818885901E-2</v>
      </c>
      <c r="Y189" s="18">
        <v>6673.4524081745903</v>
      </c>
      <c r="Z189" s="19">
        <v>-4.3878429757987503E-3</v>
      </c>
      <c r="AA189" s="18">
        <v>7639.0031105964499</v>
      </c>
      <c r="AB189" s="19">
        <v>6.2177017244029499E-3</v>
      </c>
      <c r="AC189" s="18">
        <v>3845.9225652468099</v>
      </c>
      <c r="AD189" s="19">
        <v>3.25733381432092E-3</v>
      </c>
      <c r="AE189" s="18">
        <v>10116.2298722122</v>
      </c>
      <c r="AF189" s="19">
        <v>1.3213562967775601E-2</v>
      </c>
      <c r="AG189" s="18">
        <v>18117.153338332198</v>
      </c>
      <c r="AH189" s="19">
        <v>1.8777819202093801E-2</v>
      </c>
      <c r="AI189" s="18">
        <v>7976.7751175467602</v>
      </c>
      <c r="AJ189" s="19">
        <v>2.63391200748091E-2</v>
      </c>
      <c r="AK189" s="18">
        <v>6544.9461314412802</v>
      </c>
      <c r="AL189" s="19">
        <v>1.68530362727362E-2</v>
      </c>
      <c r="AM189" s="18">
        <v>38690.916675703898</v>
      </c>
      <c r="AN189" s="19">
        <v>1.48372289783134E-2</v>
      </c>
      <c r="AO189" s="18">
        <v>13676.9176960195</v>
      </c>
      <c r="AP189" s="19">
        <v>5.5820782837967499E-3</v>
      </c>
      <c r="AQ189" s="18">
        <v>8843.5871019441493</v>
      </c>
      <c r="AR189" s="19">
        <v>1.0817281618936201E-2</v>
      </c>
      <c r="AS189" s="18">
        <v>15610.7969313802</v>
      </c>
      <c r="AT189" s="19">
        <v>2.0782342899231102E-2</v>
      </c>
      <c r="AU189" s="18">
        <v>1823.7592679785</v>
      </c>
      <c r="AV189" s="19">
        <v>2.4491276383401501E-2</v>
      </c>
      <c r="AW189" s="18">
        <v>2681.97411939821</v>
      </c>
      <c r="AX189" s="19">
        <v>5.6161558210499098E-3</v>
      </c>
      <c r="AY189" s="18">
        <v>640.46590797062595</v>
      </c>
      <c r="AZ189" s="19">
        <v>-4.8552619420812997E-3</v>
      </c>
      <c r="BA189" s="18">
        <v>5381.7625819914801</v>
      </c>
      <c r="BB189" s="19">
        <v>7.5290633797806504E-3</v>
      </c>
      <c r="BC189" s="18">
        <v>10078.181071147101</v>
      </c>
      <c r="BD189" s="19">
        <v>9.4595965296939699E-3</v>
      </c>
      <c r="BE189" s="18">
        <v>-4696.4184891555897</v>
      </c>
      <c r="BF189" s="19">
        <v>1.1680967059939601E-2</v>
      </c>
      <c r="BG189" s="18"/>
      <c r="BH189" s="19"/>
    </row>
    <row r="190" spans="1:60" x14ac:dyDescent="0.15">
      <c r="A190" s="17">
        <v>2024</v>
      </c>
      <c r="B190" s="17">
        <v>3</v>
      </c>
      <c r="C190" s="18">
        <v>216087.04245977401</v>
      </c>
      <c r="D190" s="19">
        <v>9.0210192159905205E-3</v>
      </c>
      <c r="E190" s="18">
        <v>210691.10819094401</v>
      </c>
      <c r="F190" s="19">
        <v>9.1856824334335396E-3</v>
      </c>
      <c r="G190" s="18">
        <v>1260.8990309483499</v>
      </c>
      <c r="H190" s="19">
        <v>2.2440279701726198E-2</v>
      </c>
      <c r="I190" s="18">
        <v>191.67409780366299</v>
      </c>
      <c r="J190" s="19">
        <v>2.8596383079032801E-2</v>
      </c>
      <c r="K190" s="18">
        <v>40886.5204220382</v>
      </c>
      <c r="L190" s="19">
        <v>3.3335645205172502E-3</v>
      </c>
      <c r="M190" s="18">
        <v>15841.7633016897</v>
      </c>
      <c r="N190" s="19">
        <v>2.33606554103136E-2</v>
      </c>
      <c r="O190" s="18">
        <v>25044.7571203484</v>
      </c>
      <c r="P190" s="19">
        <v>-8.9345601425447896E-3</v>
      </c>
      <c r="Q190" s="18">
        <v>3806.33070758145</v>
      </c>
      <c r="R190" s="19">
        <v>0.14050685239698901</v>
      </c>
      <c r="S190" s="18">
        <v>704.93625209832305</v>
      </c>
      <c r="T190" s="19">
        <v>8.8715994027461793E-3</v>
      </c>
      <c r="U190" s="18">
        <v>9718.24300642444</v>
      </c>
      <c r="V190" s="19">
        <v>1.5509503200035199E-2</v>
      </c>
      <c r="W190" s="18">
        <v>31444.954385197299</v>
      </c>
      <c r="X190" s="19">
        <v>4.2958353871984699E-3</v>
      </c>
      <c r="Y190" s="18">
        <v>6743.8610913174398</v>
      </c>
      <c r="Z190" s="19">
        <v>1.0550563461965401E-2</v>
      </c>
      <c r="AA190" s="18">
        <v>7766.7674136539999</v>
      </c>
      <c r="AB190" s="19">
        <v>1.6725258676792299E-2</v>
      </c>
      <c r="AC190" s="18">
        <v>3776.8218982366602</v>
      </c>
      <c r="AD190" s="19">
        <v>-1.79672538481584E-2</v>
      </c>
      <c r="AE190" s="18">
        <v>10175.506635719201</v>
      </c>
      <c r="AF190" s="19">
        <v>5.8595706360664596E-3</v>
      </c>
      <c r="AG190" s="18">
        <v>18216.192908454701</v>
      </c>
      <c r="AH190" s="19">
        <v>5.4666187492544696E-3</v>
      </c>
      <c r="AI190" s="18">
        <v>7873.7601045542497</v>
      </c>
      <c r="AJ190" s="19">
        <v>-1.29143684602446E-2</v>
      </c>
      <c r="AK190" s="18">
        <v>6706.7486939343798</v>
      </c>
      <c r="AL190" s="19">
        <v>2.4721756183113001E-2</v>
      </c>
      <c r="AM190" s="18">
        <v>39110.012618964603</v>
      </c>
      <c r="AN190" s="19">
        <v>1.0831894906328601E-2</v>
      </c>
      <c r="AO190" s="18">
        <v>13796.3893513003</v>
      </c>
      <c r="AP190" s="19">
        <v>8.7352763200088095E-3</v>
      </c>
      <c r="AQ190" s="18">
        <v>8939.1673776478092</v>
      </c>
      <c r="AR190" s="19">
        <v>1.0807862759971301E-2</v>
      </c>
      <c r="AS190" s="18">
        <v>15761.109075117</v>
      </c>
      <c r="AT190" s="19">
        <v>9.6287296796933007E-3</v>
      </c>
      <c r="AU190" s="18">
        <v>1788.18732577131</v>
      </c>
      <c r="AV190" s="19">
        <v>-1.9504735538163599E-2</v>
      </c>
      <c r="AW190" s="18">
        <v>2713.9313898945702</v>
      </c>
      <c r="AX190" s="19">
        <v>1.1915577508830001E-2</v>
      </c>
      <c r="AY190" s="18">
        <v>633.46429409252096</v>
      </c>
      <c r="AZ190" s="19">
        <v>-1.09320633478995E-2</v>
      </c>
      <c r="BA190" s="18">
        <v>5395.9342688297802</v>
      </c>
      <c r="BB190" s="19">
        <v>2.6332798265240598E-3</v>
      </c>
      <c r="BC190" s="18">
        <v>10150.276119533</v>
      </c>
      <c r="BD190" s="19">
        <v>7.1535774041962003E-3</v>
      </c>
      <c r="BE190" s="18">
        <v>-4754.3418507032502</v>
      </c>
      <c r="BF190" s="19">
        <v>1.23335179097446E-2</v>
      </c>
      <c r="BG190" s="18"/>
      <c r="BH190" s="19"/>
    </row>
    <row r="191" spans="1:60" x14ac:dyDescent="0.15">
      <c r="A191" s="17">
        <v>2024</v>
      </c>
      <c r="B191" s="17">
        <v>4</v>
      </c>
      <c r="C191" s="18">
        <v>218247.873121426</v>
      </c>
      <c r="D191" s="19">
        <v>9.9998159864393994E-3</v>
      </c>
      <c r="E191" s="18">
        <v>212749.083141398</v>
      </c>
      <c r="F191" s="19">
        <v>9.7677351841005695E-3</v>
      </c>
      <c r="G191" s="18">
        <v>1303.69107737223</v>
      </c>
      <c r="H191" s="19">
        <v>3.3937726474177102E-2</v>
      </c>
      <c r="I191" s="18">
        <v>195.089630185875</v>
      </c>
      <c r="J191" s="19">
        <v>1.7819478069026E-2</v>
      </c>
      <c r="K191" s="18">
        <v>42137.578297433902</v>
      </c>
      <c r="L191" s="19">
        <v>3.0598296516358699E-2</v>
      </c>
      <c r="M191" s="18">
        <v>17027.290361217601</v>
      </c>
      <c r="N191" s="19">
        <v>7.4835549360933604E-2</v>
      </c>
      <c r="O191" s="18">
        <v>25110.2879362163</v>
      </c>
      <c r="P191" s="19">
        <v>2.6165482680844399E-3</v>
      </c>
      <c r="Q191" s="18">
        <v>3428.87462442487</v>
      </c>
      <c r="R191" s="19">
        <v>-9.9165341152507205E-2</v>
      </c>
      <c r="S191" s="18">
        <v>704.31164284827503</v>
      </c>
      <c r="T191" s="19">
        <v>-8.86050686410345E-4</v>
      </c>
      <c r="U191" s="18">
        <v>9744.7615082986104</v>
      </c>
      <c r="V191" s="19">
        <v>2.7287341813364602E-3</v>
      </c>
      <c r="W191" s="18">
        <v>31561.797524760401</v>
      </c>
      <c r="X191" s="19">
        <v>3.71579930222854E-3</v>
      </c>
      <c r="Y191" s="18">
        <v>6782.0500185648598</v>
      </c>
      <c r="Z191" s="19">
        <v>5.6627689583619301E-3</v>
      </c>
      <c r="AA191" s="18">
        <v>7817.8930733687503</v>
      </c>
      <c r="AB191" s="19">
        <v>6.5826175797247801E-3</v>
      </c>
      <c r="AC191" s="18">
        <v>3883.87718630273</v>
      </c>
      <c r="AD191" s="19">
        <v>2.8345336621789799E-2</v>
      </c>
      <c r="AE191" s="18">
        <v>10223.217055446399</v>
      </c>
      <c r="AF191" s="19">
        <v>4.6887512764990404E-3</v>
      </c>
      <c r="AG191" s="18">
        <v>18524.7191502766</v>
      </c>
      <c r="AH191" s="19">
        <v>1.6936922186346699E-2</v>
      </c>
      <c r="AI191" s="18">
        <v>7978.6949242945902</v>
      </c>
      <c r="AJ191" s="19">
        <v>1.33271547960485E-2</v>
      </c>
      <c r="AK191" s="18">
        <v>6933.5754812428204</v>
      </c>
      <c r="AL191" s="19">
        <v>3.3820677896218003E-2</v>
      </c>
      <c r="AM191" s="18">
        <v>39209.408833759298</v>
      </c>
      <c r="AN191" s="19">
        <v>2.5414518722624E-3</v>
      </c>
      <c r="AO191" s="18">
        <v>13929.2256960789</v>
      </c>
      <c r="AP191" s="19">
        <v>9.62834125626277E-3</v>
      </c>
      <c r="AQ191" s="18">
        <v>9083.0513066958902</v>
      </c>
      <c r="AR191" s="19">
        <v>1.6095898305680499E-2</v>
      </c>
      <c r="AS191" s="18">
        <v>15956.525049178401</v>
      </c>
      <c r="AT191" s="19">
        <v>1.23986182146198E-2</v>
      </c>
      <c r="AU191" s="18">
        <v>1688.9919776231</v>
      </c>
      <c r="AV191" s="19">
        <v>-5.5472570864703599E-2</v>
      </c>
      <c r="AW191" s="18">
        <v>2724.5371377304</v>
      </c>
      <c r="AX191" s="19">
        <v>3.9078909199101704E-3</v>
      </c>
      <c r="AY191" s="18">
        <v>631.53236961357402</v>
      </c>
      <c r="AZ191" s="19">
        <v>-3.0497764388035501E-3</v>
      </c>
      <c r="BA191" s="18">
        <v>5498.78998002754</v>
      </c>
      <c r="BB191" s="19">
        <v>1.90617057349858E-2</v>
      </c>
      <c r="BC191" s="18">
        <v>10302.7185832454</v>
      </c>
      <c r="BD191" s="19">
        <v>1.5018553378953499E-2</v>
      </c>
      <c r="BE191" s="18">
        <v>-4803.9286032178197</v>
      </c>
      <c r="BF191" s="19">
        <v>1.04297827273887E-2</v>
      </c>
      <c r="BG191" s="18"/>
      <c r="BH191" s="19"/>
    </row>
    <row r="192" spans="1:60" x14ac:dyDescent="0.15">
      <c r="A192" s="17">
        <v>2025</v>
      </c>
      <c r="B192" s="17">
        <v>1</v>
      </c>
      <c r="C192" s="18">
        <v>221376.07967647701</v>
      </c>
      <c r="D192" s="19">
        <v>1.4333273952735299E-2</v>
      </c>
      <c r="E192" s="18">
        <v>215852.23164906501</v>
      </c>
      <c r="F192" s="19">
        <v>1.45859547869571E-2</v>
      </c>
      <c r="G192" s="18">
        <v>1357.40049365045</v>
      </c>
      <c r="H192" s="19">
        <v>4.1197962623536401E-2</v>
      </c>
      <c r="I192" s="18">
        <v>195.650524456608</v>
      </c>
      <c r="J192" s="19">
        <v>2.8750593775701502E-3</v>
      </c>
      <c r="K192" s="18">
        <v>43696.581836455698</v>
      </c>
      <c r="L192" s="19">
        <v>3.6997938704910201E-2</v>
      </c>
      <c r="M192" s="18">
        <v>18282.86186624</v>
      </c>
      <c r="N192" s="19">
        <v>7.3738773368322602E-2</v>
      </c>
      <c r="O192" s="18">
        <v>25413.719970215701</v>
      </c>
      <c r="P192" s="19">
        <v>1.20839727035438E-2</v>
      </c>
      <c r="Q192" s="18">
        <v>3112.5277300103298</v>
      </c>
      <c r="R192" s="19">
        <v>-9.2259685484302703E-2</v>
      </c>
      <c r="S192" s="18">
        <v>703.27209402674998</v>
      </c>
      <c r="T192" s="19">
        <v>-1.47597847072523E-3</v>
      </c>
      <c r="U192" s="18">
        <v>9881.2894576508297</v>
      </c>
      <c r="V192" s="19">
        <v>1.40103941215961E-2</v>
      </c>
      <c r="W192" s="18">
        <v>32321.531420826501</v>
      </c>
      <c r="X192" s="19">
        <v>2.4071312651632801E-2</v>
      </c>
      <c r="Y192" s="18">
        <v>6792.5030290323002</v>
      </c>
      <c r="Z192" s="19">
        <v>1.5412759326203201E-3</v>
      </c>
      <c r="AA192" s="18">
        <v>7821.9243438332196</v>
      </c>
      <c r="AB192" s="19">
        <v>5.1564666165671003E-4</v>
      </c>
      <c r="AC192" s="18">
        <v>3853.5958912384699</v>
      </c>
      <c r="AD192" s="19">
        <v>-7.7966664782939104E-3</v>
      </c>
      <c r="AE192" s="18">
        <v>10235.653700439199</v>
      </c>
      <c r="AF192" s="19">
        <v>1.2165099229817201E-3</v>
      </c>
      <c r="AG192" s="18">
        <v>19090.075669398499</v>
      </c>
      <c r="AH192" s="19">
        <v>3.0519033219103701E-2</v>
      </c>
      <c r="AI192" s="18">
        <v>8137.23248494167</v>
      </c>
      <c r="AJ192" s="19">
        <v>1.9870111860568401E-2</v>
      </c>
      <c r="AK192" s="18">
        <v>7243.1879174736096</v>
      </c>
      <c r="AL192" s="19">
        <v>4.4654080289220098E-2</v>
      </c>
      <c r="AM192" s="18">
        <v>39292.214757457703</v>
      </c>
      <c r="AN192" s="19">
        <v>2.1118891144069601E-3</v>
      </c>
      <c r="AO192" s="18">
        <v>13940.4056772853</v>
      </c>
      <c r="AP192" s="19">
        <v>8.0262761551663797E-4</v>
      </c>
      <c r="AQ192" s="18">
        <v>9107.0723196810395</v>
      </c>
      <c r="AR192" s="19">
        <v>2.6445973026103498E-3</v>
      </c>
      <c r="AS192" s="18">
        <v>16296.651636439799</v>
      </c>
      <c r="AT192" s="19">
        <v>2.1315830747176599E-2</v>
      </c>
      <c r="AU192" s="18">
        <v>1612.0184826294301</v>
      </c>
      <c r="AV192" s="19">
        <v>-4.5573629723211898E-2</v>
      </c>
      <c r="AW192" s="18">
        <v>2706.1907472012299</v>
      </c>
      <c r="AX192" s="19">
        <v>-6.7337641594609199E-3</v>
      </c>
      <c r="AY192" s="18">
        <v>628.17486638427999</v>
      </c>
      <c r="AZ192" s="19">
        <v>-5.3164388570436901E-3</v>
      </c>
      <c r="BA192" s="18">
        <v>5523.8480274118301</v>
      </c>
      <c r="BB192" s="19">
        <v>4.5570111743320502E-3</v>
      </c>
      <c r="BC192" s="18">
        <v>10393.4477587564</v>
      </c>
      <c r="BD192" s="19">
        <v>8.8063334718855302E-3</v>
      </c>
      <c r="BE192" s="18">
        <v>-4869.5997313445796</v>
      </c>
      <c r="BF192" s="19">
        <v>1.36702964491962E-2</v>
      </c>
      <c r="BG192" s="18"/>
      <c r="BH192" s="19"/>
    </row>
    <row r="193" spans="1:60" x14ac:dyDescent="0.15">
      <c r="A193" s="17">
        <v>2025</v>
      </c>
      <c r="B193" s="17">
        <v>2</v>
      </c>
      <c r="C193" s="18">
        <v>221359.575260057</v>
      </c>
      <c r="D193" s="19">
        <v>-7.4553747830718997E-5</v>
      </c>
      <c r="E193" s="18">
        <v>215841.76615675399</v>
      </c>
      <c r="F193" s="19">
        <v>-4.8484522170433302E-5</v>
      </c>
      <c r="G193" s="18">
        <v>1375.0296704713901</v>
      </c>
      <c r="H193" s="19">
        <v>1.29874542578996E-2</v>
      </c>
      <c r="I193" s="18">
        <v>197.648009938809</v>
      </c>
      <c r="J193" s="19">
        <v>1.0209456313746E-2</v>
      </c>
      <c r="K193" s="18">
        <v>42896.259363157696</v>
      </c>
      <c r="L193" s="19">
        <v>-1.8315448020472601E-2</v>
      </c>
      <c r="M193" s="18">
        <v>17268.422143033</v>
      </c>
      <c r="N193" s="19">
        <v>-5.5485827690917901E-2</v>
      </c>
      <c r="O193" s="18">
        <v>25627.837220124798</v>
      </c>
      <c r="P193" s="19">
        <v>8.4252620301184002E-3</v>
      </c>
      <c r="Q193" s="18">
        <v>3198.6406636234101</v>
      </c>
      <c r="R193" s="19">
        <v>2.7666559492081501E-2</v>
      </c>
      <c r="S193" s="18">
        <v>703.59861916192403</v>
      </c>
      <c r="T193" s="19">
        <v>4.6429417283389002E-4</v>
      </c>
      <c r="U193" s="18">
        <v>9931.0425545546095</v>
      </c>
      <c r="V193" s="19">
        <v>5.0350814149313604E-3</v>
      </c>
      <c r="W193" s="18">
        <v>32458.892207533201</v>
      </c>
      <c r="X193" s="19">
        <v>4.2498229715124403E-3</v>
      </c>
      <c r="Y193" s="18">
        <v>6795.9742756238502</v>
      </c>
      <c r="Z193" s="19">
        <v>5.1104086030040496E-4</v>
      </c>
      <c r="AA193" s="18">
        <v>7911.4283227475898</v>
      </c>
      <c r="AB193" s="19">
        <v>1.14427057818494E-2</v>
      </c>
      <c r="AC193" s="18">
        <v>3892.7478095680099</v>
      </c>
      <c r="AD193" s="19">
        <v>1.0159840168648E-2</v>
      </c>
      <c r="AE193" s="18">
        <v>10288.0948962006</v>
      </c>
      <c r="AF193" s="19">
        <v>5.1233851101484297E-3</v>
      </c>
      <c r="AG193" s="18">
        <v>19239.033824304799</v>
      </c>
      <c r="AH193" s="19">
        <v>7.80291065818317E-3</v>
      </c>
      <c r="AI193" s="18">
        <v>8171.3379467303002</v>
      </c>
      <c r="AJ193" s="19">
        <v>4.19128516381262E-3</v>
      </c>
      <c r="AK193" s="18">
        <v>7423.7012576117704</v>
      </c>
      <c r="AL193" s="19">
        <v>2.4921808214128299E-2</v>
      </c>
      <c r="AM193" s="18">
        <v>39177.616346326999</v>
      </c>
      <c r="AN193" s="19">
        <v>-2.9165678707101499E-3</v>
      </c>
      <c r="AO193" s="18">
        <v>14084.8671834131</v>
      </c>
      <c r="AP193" s="19">
        <v>1.0362790687160801E-2</v>
      </c>
      <c r="AQ193" s="18">
        <v>9185.8237345148409</v>
      </c>
      <c r="AR193" s="19">
        <v>8.6472811535285299E-3</v>
      </c>
      <c r="AS193" s="18">
        <v>16444.064788079799</v>
      </c>
      <c r="AT193" s="19">
        <v>9.0456097932696301E-3</v>
      </c>
      <c r="AU193" s="18">
        <v>1538.17198221339</v>
      </c>
      <c r="AV193" s="19">
        <v>-4.5809958888055897E-2</v>
      </c>
      <c r="AW193" s="18">
        <v>2690.21212133053</v>
      </c>
      <c r="AX193" s="19">
        <v>-5.9044714003344502E-3</v>
      </c>
      <c r="AY193" s="18">
        <v>628.59405961350797</v>
      </c>
      <c r="AZ193" s="19">
        <v>6.67319327245952E-4</v>
      </c>
      <c r="BA193" s="18">
        <v>5517.8091033027304</v>
      </c>
      <c r="BB193" s="19">
        <v>-1.0932458820613899E-3</v>
      </c>
      <c r="BC193" s="18">
        <v>10436.568170099201</v>
      </c>
      <c r="BD193" s="19">
        <v>4.1488072431481397E-3</v>
      </c>
      <c r="BE193" s="18">
        <v>-4918.7590667964896</v>
      </c>
      <c r="BF193" s="19">
        <v>1.00951491219048E-2</v>
      </c>
      <c r="BG193" s="18"/>
      <c r="BH193" s="19"/>
    </row>
    <row r="194" spans="1:60" x14ac:dyDescent="0.15">
      <c r="A194" s="17">
        <v>2025</v>
      </c>
      <c r="B194" s="17">
        <v>3</v>
      </c>
      <c r="C194" s="18">
        <v>219757.98108960301</v>
      </c>
      <c r="D194" s="19">
        <v>-7.2352604063901102E-3</v>
      </c>
      <c r="E194" s="18">
        <v>214309.23235570101</v>
      </c>
      <c r="F194" s="19">
        <v>-7.1002652931424501E-3</v>
      </c>
      <c r="G194" s="18">
        <v>1393.2212512914</v>
      </c>
      <c r="H194" s="19">
        <v>1.32299551134598E-2</v>
      </c>
      <c r="I194" s="18">
        <v>197.750649769853</v>
      </c>
      <c r="J194" s="19">
        <v>5.1930616997086798E-4</v>
      </c>
      <c r="K194" s="18">
        <v>41007.280608426998</v>
      </c>
      <c r="L194" s="19">
        <v>-4.4035978492640598E-2</v>
      </c>
      <c r="M194" s="18">
        <v>15596.5714139179</v>
      </c>
      <c r="N194" s="19">
        <v>-9.6815488715022102E-2</v>
      </c>
      <c r="O194" s="18">
        <v>25410.709194509102</v>
      </c>
      <c r="P194" s="19">
        <v>-8.4723507391874005E-3</v>
      </c>
      <c r="Q194" s="18">
        <v>2830.6789894785102</v>
      </c>
      <c r="R194" s="19">
        <v>-0.115036889991912</v>
      </c>
      <c r="S194" s="18">
        <v>700.54046335381395</v>
      </c>
      <c r="T194" s="19">
        <v>-4.3464494170727397E-3</v>
      </c>
      <c r="U194" s="18">
        <v>9991.1415209257902</v>
      </c>
      <c r="V194" s="19">
        <v>6.0516271117601102E-3</v>
      </c>
      <c r="W194" s="18">
        <v>32660.141268126201</v>
      </c>
      <c r="X194" s="19">
        <v>6.2001210425255398E-3</v>
      </c>
      <c r="Y194" s="18">
        <v>6804.6878881289404</v>
      </c>
      <c r="Z194" s="19">
        <v>1.2821726733640601E-3</v>
      </c>
      <c r="AA194" s="18">
        <v>7959.1289567948697</v>
      </c>
      <c r="AB194" s="19">
        <v>6.0293327704339398E-3</v>
      </c>
      <c r="AC194" s="18">
        <v>3944.77938242749</v>
      </c>
      <c r="AD194" s="19">
        <v>1.3366284024766801E-2</v>
      </c>
      <c r="AE194" s="18">
        <v>10350.3253514477</v>
      </c>
      <c r="AF194" s="19">
        <v>6.0487831687952003E-3</v>
      </c>
      <c r="AG194" s="18">
        <v>19593.832447650399</v>
      </c>
      <c r="AH194" s="19">
        <v>1.84416029716339E-2</v>
      </c>
      <c r="AI194" s="18">
        <v>8420.0932417183594</v>
      </c>
      <c r="AJ194" s="19">
        <v>3.0442419174156101E-2</v>
      </c>
      <c r="AK194" s="18">
        <v>7481.9705011588203</v>
      </c>
      <c r="AL194" s="19">
        <v>7.8490824893171496E-3</v>
      </c>
      <c r="AM194" s="18">
        <v>39061.553535906503</v>
      </c>
      <c r="AN194" s="19">
        <v>-2.96247758910306E-3</v>
      </c>
      <c r="AO194" s="18">
        <v>14042.9804298421</v>
      </c>
      <c r="AP194" s="19">
        <v>-2.9738834612761402E-3</v>
      </c>
      <c r="AQ194" s="18">
        <v>9064.4140771194798</v>
      </c>
      <c r="AR194" s="19">
        <v>-1.32170680501066E-2</v>
      </c>
      <c r="AS194" s="18">
        <v>16626.169901466099</v>
      </c>
      <c r="AT194" s="19">
        <v>1.1074215270559899E-2</v>
      </c>
      <c r="AU194" s="18">
        <v>1566.6542821861301</v>
      </c>
      <c r="AV194" s="19">
        <v>1.8516980092017701E-2</v>
      </c>
      <c r="AW194" s="18">
        <v>2690.58652068538</v>
      </c>
      <c r="AX194" s="19">
        <v>1.39170941903188E-4</v>
      </c>
      <c r="AY194" s="18">
        <v>628.05271880216696</v>
      </c>
      <c r="AZ194" s="19">
        <v>-8.6119301170839403E-4</v>
      </c>
      <c r="BA194" s="18">
        <v>5448.7487339017998</v>
      </c>
      <c r="BB194" s="19">
        <v>-1.2515904067721E-2</v>
      </c>
      <c r="BC194" s="18">
        <v>10398.9399573177</v>
      </c>
      <c r="BD194" s="19">
        <v>-3.6054201120800898E-3</v>
      </c>
      <c r="BE194" s="18">
        <v>-4950.1912234158499</v>
      </c>
      <c r="BF194" s="19">
        <v>6.39026148516675E-3</v>
      </c>
      <c r="BG194" s="18"/>
      <c r="BH194" s="19"/>
    </row>
    <row r="195" spans="1:60" x14ac:dyDescent="0.15">
      <c r="A195" s="17">
        <v>2025</v>
      </c>
      <c r="B195" s="17">
        <v>4</v>
      </c>
      <c r="C195" s="18">
        <v>220024.915181616</v>
      </c>
      <c r="D195" s="19">
        <v>1.2146730266153799E-3</v>
      </c>
      <c r="E195" s="18">
        <v>214689.93998893601</v>
      </c>
      <c r="F195" s="19">
        <v>1.7764406556364199E-3</v>
      </c>
      <c r="G195" s="18">
        <v>1380.01489530249</v>
      </c>
      <c r="H195" s="19">
        <v>-9.4790084321967304E-3</v>
      </c>
      <c r="I195" s="18">
        <v>200.37679908128399</v>
      </c>
      <c r="J195" s="19">
        <v>1.3280104588720301E-2</v>
      </c>
      <c r="K195" s="18">
        <v>40850.018204935397</v>
      </c>
      <c r="L195" s="19">
        <v>-3.83498737683363E-3</v>
      </c>
      <c r="M195" s="18">
        <v>15826.819841923099</v>
      </c>
      <c r="N195" s="19">
        <v>1.47627591920407E-2</v>
      </c>
      <c r="O195" s="18">
        <v>25023.1983630123</v>
      </c>
      <c r="P195" s="19">
        <v>-1.5249902256977199E-2</v>
      </c>
      <c r="Q195" s="18">
        <v>2756.3575132113301</v>
      </c>
      <c r="R195" s="19">
        <v>-2.6255706331743001E-2</v>
      </c>
      <c r="S195" s="18">
        <v>693.23488827145195</v>
      </c>
      <c r="T195" s="19">
        <v>-1.04284840983873E-2</v>
      </c>
      <c r="U195" s="18">
        <v>10123.4140086807</v>
      </c>
      <c r="V195" s="19">
        <v>1.3238976495111699E-2</v>
      </c>
      <c r="W195" s="18">
        <v>32800.671434271702</v>
      </c>
      <c r="X195" s="19">
        <v>4.3028033771148602E-3</v>
      </c>
      <c r="Y195" s="18">
        <v>6907.9527848342505</v>
      </c>
      <c r="Z195" s="19">
        <v>1.51755522667629E-2</v>
      </c>
      <c r="AA195" s="18">
        <v>7912.31961145685</v>
      </c>
      <c r="AB195" s="19">
        <v>-5.8812145891985503E-3</v>
      </c>
      <c r="AC195" s="18">
        <v>4019.54003509826</v>
      </c>
      <c r="AD195" s="19">
        <v>1.89517956324259E-2</v>
      </c>
      <c r="AE195" s="18">
        <v>10301.847354932601</v>
      </c>
      <c r="AF195" s="19">
        <v>-4.6837171653106901E-3</v>
      </c>
      <c r="AG195" s="18">
        <v>19667.642390844099</v>
      </c>
      <c r="AH195" s="19">
        <v>3.7669987936721498E-3</v>
      </c>
      <c r="AI195" s="18">
        <v>8445.9929278642794</v>
      </c>
      <c r="AJ195" s="19">
        <v>3.0759381639149401E-3</v>
      </c>
      <c r="AK195" s="18">
        <v>7420.3197565842502</v>
      </c>
      <c r="AL195" s="19">
        <v>-8.2399074635514102E-3</v>
      </c>
      <c r="AM195" s="18">
        <v>39128.277153553601</v>
      </c>
      <c r="AN195" s="19">
        <v>1.7081659997391101E-3</v>
      </c>
      <c r="AO195" s="18">
        <v>14129.198249074199</v>
      </c>
      <c r="AP195" s="19">
        <v>6.1395670002437602E-3</v>
      </c>
      <c r="AQ195" s="18">
        <v>9144.1508079427203</v>
      </c>
      <c r="AR195" s="19">
        <v>8.7966778817520908E-3</v>
      </c>
      <c r="AS195" s="18">
        <v>16655.032344193602</v>
      </c>
      <c r="AT195" s="19">
        <v>1.73596462075265E-3</v>
      </c>
      <c r="AU195" s="18">
        <v>1637.7469328745699</v>
      </c>
      <c r="AV195" s="19">
        <v>4.5378646391106801E-2</v>
      </c>
      <c r="AW195" s="18">
        <v>2664.1161456708301</v>
      </c>
      <c r="AX195" s="19">
        <v>-9.8381430260818803E-3</v>
      </c>
      <c r="AY195" s="18">
        <v>625.98121954010605</v>
      </c>
      <c r="AZ195" s="19">
        <v>-3.2982888220148801E-3</v>
      </c>
      <c r="BA195" s="18">
        <v>5334.9751926799599</v>
      </c>
      <c r="BB195" s="19">
        <v>-2.08806731193075E-2</v>
      </c>
      <c r="BC195" s="18">
        <v>10289.716348972999</v>
      </c>
      <c r="BD195" s="19">
        <v>-1.0503340609034999E-2</v>
      </c>
      <c r="BE195" s="18">
        <v>-4954.7411562930802</v>
      </c>
      <c r="BF195" s="19">
        <v>9.1914285163574604E-4</v>
      </c>
      <c r="BG195" s="18"/>
      <c r="BH195" s="19"/>
    </row>
    <row r="196" spans="1:60" x14ac:dyDescent="0.15">
      <c r="A196" s="17">
        <v>2026</v>
      </c>
      <c r="B196" s="17">
        <v>1</v>
      </c>
      <c r="C196" s="18">
        <v>222079.93569524999</v>
      </c>
      <c r="D196" s="19">
        <v>9.3399445782666995E-3</v>
      </c>
      <c r="E196" s="18">
        <v>216157.662472678</v>
      </c>
      <c r="F196" s="19">
        <v>6.83647535519039E-3</v>
      </c>
      <c r="G196" s="18">
        <v>1303.82744856707</v>
      </c>
      <c r="H196" s="19">
        <v>-5.5207698840609699E-2</v>
      </c>
      <c r="I196" s="18">
        <v>197.59202090201001</v>
      </c>
      <c r="J196" s="19">
        <v>-1.38977076789442E-2</v>
      </c>
      <c r="K196" s="18">
        <v>40767.093179381904</v>
      </c>
      <c r="L196" s="19">
        <v>-2.0299874809728302E-3</v>
      </c>
      <c r="M196" s="18">
        <v>15303.5074360163</v>
      </c>
      <c r="N196" s="19">
        <v>-3.30649120375133E-2</v>
      </c>
      <c r="O196" s="18">
        <v>25463.585743365598</v>
      </c>
      <c r="P196" s="19">
        <v>1.7599164342004599E-2</v>
      </c>
      <c r="Q196" s="18">
        <v>2682.9889228130601</v>
      </c>
      <c r="R196" s="19">
        <v>-2.6617951425609299E-2</v>
      </c>
      <c r="S196" s="18">
        <v>688.43612180534399</v>
      </c>
      <c r="T196" s="19">
        <v>-6.9222806689284199E-3</v>
      </c>
      <c r="U196" s="18">
        <v>10204.705896387901</v>
      </c>
      <c r="V196" s="19">
        <v>8.0300862572213506E-3</v>
      </c>
      <c r="W196" s="18">
        <v>33477.057569343102</v>
      </c>
      <c r="X196" s="19">
        <v>2.0621106382740801E-2</v>
      </c>
      <c r="Y196" s="18">
        <v>6821.9644081667902</v>
      </c>
      <c r="Z196" s="19">
        <v>-1.24477365937179E-2</v>
      </c>
      <c r="AA196" s="18">
        <v>8016.4853690150503</v>
      </c>
      <c r="AB196" s="19">
        <v>1.31650088309581E-2</v>
      </c>
      <c r="AC196" s="18">
        <v>4015.51089407265</v>
      </c>
      <c r="AD196" s="19">
        <v>-1.0023885793974999E-3</v>
      </c>
      <c r="AE196" s="18">
        <v>10283.05591005</v>
      </c>
      <c r="AF196" s="19">
        <v>-1.82408496603881E-3</v>
      </c>
      <c r="AG196" s="18">
        <v>19652.122366771</v>
      </c>
      <c r="AH196" s="19">
        <v>-7.8911461601460797E-4</v>
      </c>
      <c r="AI196" s="18">
        <v>8528.2472801740605</v>
      </c>
      <c r="AJ196" s="19">
        <v>9.7388611395130605E-3</v>
      </c>
      <c r="AK196" s="18">
        <v>7236.3261644946097</v>
      </c>
      <c r="AL196" s="19">
        <v>-2.4795911513971002E-2</v>
      </c>
      <c r="AM196" s="18">
        <v>39521.349246131897</v>
      </c>
      <c r="AN196" s="19">
        <v>1.00457296148206E-2</v>
      </c>
      <c r="AO196" s="18">
        <v>14296.911388074201</v>
      </c>
      <c r="AP196" s="19">
        <v>1.1869968560385601E-2</v>
      </c>
      <c r="AQ196" s="18">
        <v>9232.1707688712704</v>
      </c>
      <c r="AR196" s="19">
        <v>9.6258212246562707E-3</v>
      </c>
      <c r="AS196" s="18">
        <v>16768.476281254902</v>
      </c>
      <c r="AT196" s="19">
        <v>6.8113909788243302E-3</v>
      </c>
      <c r="AU196" s="18">
        <v>1715.0123120965</v>
      </c>
      <c r="AV196" s="19">
        <v>4.7177850051787401E-2</v>
      </c>
      <c r="AW196" s="18">
        <v>2703.1374214508901</v>
      </c>
      <c r="AX196" s="19">
        <v>1.46469874609163E-2</v>
      </c>
      <c r="AY196" s="18">
        <v>631.72935568864796</v>
      </c>
      <c r="AZ196" s="19">
        <v>9.1826016006757404E-3</v>
      </c>
      <c r="BA196" s="18">
        <v>5922.2732225724103</v>
      </c>
      <c r="BB196" s="19">
        <v>0.110084491245297</v>
      </c>
      <c r="BC196" s="18">
        <v>10875.079473178501</v>
      </c>
      <c r="BD196" s="19">
        <v>5.68881691538465E-2</v>
      </c>
      <c r="BE196" s="18">
        <v>-4952.8062506061096</v>
      </c>
      <c r="BF196" s="19">
        <v>-3.9051599789763402E-4</v>
      </c>
      <c r="BG196" s="18"/>
      <c r="BH196" s="19"/>
    </row>
    <row r="197" spans="1:60" x14ac:dyDescent="0.15">
      <c r="A197" s="17">
        <v>2026</v>
      </c>
      <c r="B197" s="17">
        <v>2</v>
      </c>
      <c r="C197" s="18">
        <v>225390.73583533501</v>
      </c>
      <c r="D197" s="19">
        <v>1.4908146157917501E-2</v>
      </c>
      <c r="E197" s="18">
        <v>219235.116176474</v>
      </c>
      <c r="F197" s="19">
        <v>1.4237078938551299E-2</v>
      </c>
      <c r="G197" s="18">
        <v>1273.5744074899001</v>
      </c>
      <c r="H197" s="19">
        <v>-2.3203255239349199E-2</v>
      </c>
      <c r="I197" s="18">
        <v>187.416197928223</v>
      </c>
      <c r="J197" s="19">
        <v>-5.1499159365512297E-2</v>
      </c>
      <c r="K197" s="18">
        <v>41989.663432478701</v>
      </c>
      <c r="L197" s="19">
        <v>2.9989144620081301E-2</v>
      </c>
      <c r="M197" s="18">
        <v>16980.8524278285</v>
      </c>
      <c r="N197" s="19">
        <v>0.10960526525211201</v>
      </c>
      <c r="O197" s="18">
        <v>25008.811004650099</v>
      </c>
      <c r="P197" s="19">
        <v>-1.7859807463838001E-2</v>
      </c>
      <c r="Q197" s="18">
        <v>2772.6831806294999</v>
      </c>
      <c r="R197" s="19">
        <v>3.3430722375999297E-2</v>
      </c>
      <c r="S197" s="18">
        <v>684.50571942025203</v>
      </c>
      <c r="T197" s="19">
        <v>-5.7091751298354899E-3</v>
      </c>
      <c r="U197" s="18">
        <v>10242.0292881103</v>
      </c>
      <c r="V197" s="19">
        <v>3.6574686327417402E-3</v>
      </c>
      <c r="W197" s="18">
        <v>34230.109629325998</v>
      </c>
      <c r="X197" s="19">
        <v>2.2494571347047899E-2</v>
      </c>
      <c r="Y197" s="18">
        <v>6862.77665407721</v>
      </c>
      <c r="Z197" s="19">
        <v>5.9824771090219997E-3</v>
      </c>
      <c r="AA197" s="18">
        <v>8175.0022188817702</v>
      </c>
      <c r="AB197" s="19">
        <v>1.9773858813416201E-2</v>
      </c>
      <c r="AC197" s="18">
        <v>4073.7504443110302</v>
      </c>
      <c r="AD197" s="19">
        <v>1.4503646428738699E-2</v>
      </c>
      <c r="AE197" s="18">
        <v>10390.909960792</v>
      </c>
      <c r="AF197" s="19">
        <v>1.0488521280583901E-2</v>
      </c>
      <c r="AG197" s="18">
        <v>19687.002634123</v>
      </c>
      <c r="AH197" s="19">
        <v>1.7748855162353901E-3</v>
      </c>
      <c r="AI197" s="18">
        <v>8663.4954455413408</v>
      </c>
      <c r="AJ197" s="19">
        <v>1.5858846598139301E-2</v>
      </c>
      <c r="AK197" s="18">
        <v>7094.0991609753401</v>
      </c>
      <c r="AL197" s="19">
        <v>-1.96545871877792E-2</v>
      </c>
      <c r="AM197" s="18">
        <v>39900.947191210398</v>
      </c>
      <c r="AN197" s="19">
        <v>9.6048832420787492E-3</v>
      </c>
      <c r="AO197" s="18">
        <v>14365.7630312704</v>
      </c>
      <c r="AP197" s="19">
        <v>4.8158403816964696E-3</v>
      </c>
      <c r="AQ197" s="18">
        <v>9240.4383384970097</v>
      </c>
      <c r="AR197" s="19">
        <v>8.9551740676352398E-4</v>
      </c>
      <c r="AS197" s="18">
        <v>16913.234057403799</v>
      </c>
      <c r="AT197" s="19">
        <v>8.6327328566333499E-3</v>
      </c>
      <c r="AU197" s="18">
        <v>1781.9428661726299</v>
      </c>
      <c r="AV197" s="19">
        <v>3.9026281971301903E-2</v>
      </c>
      <c r="AW197" s="18">
        <v>2692.28385640954</v>
      </c>
      <c r="AX197" s="19">
        <v>-4.0151732409977603E-3</v>
      </c>
      <c r="AY197" s="18">
        <v>633.859722019223</v>
      </c>
      <c r="AZ197" s="19">
        <v>3.3722769274393502E-3</v>
      </c>
      <c r="BA197" s="18">
        <v>6155.6196588619296</v>
      </c>
      <c r="BB197" s="19">
        <v>3.9401497958611302E-2</v>
      </c>
      <c r="BC197" s="18">
        <v>11114.238420559701</v>
      </c>
      <c r="BD197" s="19">
        <v>2.19914666344347E-2</v>
      </c>
      <c r="BE197" s="18">
        <v>-4958.6187616978204</v>
      </c>
      <c r="BF197" s="19">
        <v>1.1735793401963499E-3</v>
      </c>
      <c r="BG197" s="18"/>
      <c r="BH197" s="19"/>
    </row>
    <row r="198" spans="1:60" x14ac:dyDescent="0.15">
      <c r="A198" s="17"/>
      <c r="B198" s="17"/>
      <c r="C198" s="18"/>
      <c r="D198" s="19"/>
      <c r="E198" s="18"/>
      <c r="F198" s="19"/>
      <c r="G198" s="18"/>
      <c r="H198" s="19"/>
      <c r="I198" s="18"/>
      <c r="J198" s="19"/>
      <c r="K198" s="18"/>
      <c r="L198" s="19"/>
      <c r="M198" s="18"/>
      <c r="N198" s="19"/>
      <c r="O198" s="18"/>
      <c r="P198" s="19"/>
      <c r="Q198" s="18"/>
      <c r="R198" s="19"/>
      <c r="S198" s="18"/>
      <c r="T198" s="19"/>
      <c r="U198" s="18"/>
      <c r="V198" s="19"/>
      <c r="W198" s="18"/>
      <c r="X198" s="19"/>
      <c r="Y198" s="18"/>
      <c r="Z198" s="19"/>
      <c r="AA198" s="18"/>
      <c r="AB198" s="19"/>
      <c r="AC198" s="18"/>
      <c r="AD198" s="19"/>
      <c r="AE198" s="18"/>
      <c r="AF198" s="19"/>
      <c r="AG198" s="18"/>
      <c r="AH198" s="19"/>
      <c r="AI198" s="18"/>
      <c r="AJ198" s="19"/>
      <c r="AK198" s="18"/>
      <c r="AL198" s="19"/>
      <c r="AM198" s="18"/>
      <c r="AN198" s="19"/>
      <c r="AO198" s="18"/>
      <c r="AP198" s="19"/>
      <c r="AQ198" s="18"/>
      <c r="AR198" s="19"/>
      <c r="AS198" s="18"/>
      <c r="AT198" s="19"/>
      <c r="AU198" s="18"/>
      <c r="AV198" s="19"/>
      <c r="AW198" s="18"/>
      <c r="AX198" s="19"/>
      <c r="AY198" s="18"/>
      <c r="AZ198" s="19"/>
      <c r="BA198" s="18"/>
      <c r="BB198" s="19"/>
      <c r="BC198" s="18"/>
      <c r="BD198" s="19"/>
      <c r="BE198" s="18"/>
      <c r="BF198" s="19"/>
      <c r="BG198" s="18"/>
      <c r="BH198" s="19"/>
    </row>
  </sheetData>
  <sheetProtection password="DD0B" sheet="1"/>
  <mergeCells count="66">
    <mergeCell ref="AC6:AD10"/>
    <mergeCell ref="AC11:AD11"/>
    <mergeCell ref="E11:F11"/>
    <mergeCell ref="C11:D11"/>
    <mergeCell ref="E6:F10"/>
    <mergeCell ref="C5:D10"/>
    <mergeCell ref="M8:N10"/>
    <mergeCell ref="Y8:Z10"/>
    <mergeCell ref="AA6:AB10"/>
    <mergeCell ref="G11:H11"/>
    <mergeCell ref="I11:J11"/>
    <mergeCell ref="K11:L11"/>
    <mergeCell ref="M11:N11"/>
    <mergeCell ref="C4:BF4"/>
    <mergeCell ref="E5:AZ5"/>
    <mergeCell ref="BA5:BF5"/>
    <mergeCell ref="G6:H10"/>
    <mergeCell ref="I6:J10"/>
    <mergeCell ref="K6:L10"/>
    <mergeCell ref="M6:N7"/>
    <mergeCell ref="Q6:R10"/>
    <mergeCell ref="S6:T10"/>
    <mergeCell ref="U6:V10"/>
    <mergeCell ref="W6:X10"/>
    <mergeCell ref="Y6:Z7"/>
    <mergeCell ref="AY6:AZ10"/>
    <mergeCell ref="BA6:BB10"/>
    <mergeCell ref="BC6:BD10"/>
    <mergeCell ref="BE6:BF10"/>
    <mergeCell ref="AO6:AP10"/>
    <mergeCell ref="AQ6:AR10"/>
    <mergeCell ref="AS6:AT10"/>
    <mergeCell ref="AU6:AV10"/>
    <mergeCell ref="AW6:AX10"/>
    <mergeCell ref="AG6:AH10"/>
    <mergeCell ref="AM6:AN10"/>
    <mergeCell ref="O6:P6"/>
    <mergeCell ref="U11:V11"/>
    <mergeCell ref="W11:X11"/>
    <mergeCell ref="Y11:Z11"/>
    <mergeCell ref="AA11:AB11"/>
    <mergeCell ref="Q11:R11"/>
    <mergeCell ref="O11:P11"/>
    <mergeCell ref="O7:P7"/>
    <mergeCell ref="O8:P10"/>
    <mergeCell ref="AG11:AH11"/>
    <mergeCell ref="AI11:AJ11"/>
    <mergeCell ref="S11:T11"/>
    <mergeCell ref="AE11:AF11"/>
    <mergeCell ref="AE6:AF10"/>
    <mergeCell ref="BC11:BD11"/>
    <mergeCell ref="BE11:BF11"/>
    <mergeCell ref="AM11:AN11"/>
    <mergeCell ref="AO11:AP11"/>
    <mergeCell ref="AQ11:AR11"/>
    <mergeCell ref="AS11:AT11"/>
    <mergeCell ref="AU11:AV11"/>
    <mergeCell ref="AW11:AX11"/>
    <mergeCell ref="AY11:AZ11"/>
    <mergeCell ref="AK6:AL6"/>
    <mergeCell ref="AK7:AL7"/>
    <mergeCell ref="AK11:AL11"/>
    <mergeCell ref="AI6:AJ6"/>
    <mergeCell ref="AI7:AJ7"/>
    <mergeCell ref="AI8:AJ10"/>
    <mergeCell ref="AK8:AL10"/>
  </mergeCell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le04"/>
  <dimension ref="A1:BH198"/>
  <sheetViews>
    <sheetView showGridLines="0" zoomScaleNormal="100" workbookViewId="0">
      <pane xSplit="2" ySplit="11" topLeftCell="C12" activePane="bottomRight" state="frozen"/>
      <selection activeCell="AG1" sqref="AG1:AH1048576"/>
      <selection pane="topRight" activeCell="AG1" sqref="AG1:AH1048576"/>
      <selection pane="bottomLeft" activeCell="AG1" sqref="AG1:AH1048576"/>
      <selection pane="bottomRight" activeCell="AG1" sqref="AG1:AH1048576"/>
    </sheetView>
  </sheetViews>
  <sheetFormatPr baseColWidth="10" defaultRowHeight="11" x14ac:dyDescent="0.15"/>
  <cols>
    <col min="1" max="1" width="9.75" customWidth="1"/>
    <col min="2" max="2" width="2.75" customWidth="1"/>
    <col min="3" max="60" width="9.75" customWidth="1"/>
  </cols>
  <sheetData>
    <row r="1" spans="1:60" ht="11.25" customHeight="1" x14ac:dyDescent="0.15">
      <c r="A1" s="6" t="str">
        <f ca="1">INDIRECT("beschriftung!"&amp;ADDRESS(beschriftung!$C$1*12+ROW(beschriftung!$A1)-1,COLUMN(beschriftung!A$1)))</f>
        <v xml:space="preserve">ESA 2010, Quarterly aggregates of Gross Domestic Product, production approach, seasonally, calendar and sport event adjusted data. Background information on sport event adjustment can be found in the publication “Konjunkturtendenzen” (“Economic Trends”) from autumn 2022 and in the technical note from 5 September 2022 on the website www.seco.admin.ch. </v>
      </c>
      <c r="C1" s="9"/>
      <c r="E1" s="9"/>
    </row>
    <row r="2" spans="1:60" ht="11.25" customHeight="1" x14ac:dyDescent="0.15">
      <c r="A2" s="7" t="str">
        <f ca="1">INDIRECT("beschriftung!"&amp;ADDRESS(beschriftung!$C$1*12+ROW(beschriftung!$A3)-1,COLUMN(beschriftung!A$1)))</f>
        <v>In Mio. Swiss Francs, at prices of the preceding year, chained values ("annual overlap"), reference year 2020, percentage change to previous quarter</v>
      </c>
      <c r="C2" s="9"/>
      <c r="E2" s="9"/>
    </row>
    <row r="3" spans="1:60" ht="11.25" customHeight="1" x14ac:dyDescent="0.15">
      <c r="C3" s="9"/>
      <c r="E3" s="9"/>
    </row>
    <row r="4" spans="1:60" ht="11.25" customHeight="1" x14ac:dyDescent="0.15">
      <c r="A4" s="5"/>
      <c r="C4" s="46" t="str">
        <f ca="1">INDIRECT("beschriftung!"&amp;ADDRESS(beschriftung!$C$1*12+ROW(beschriftung!$A5)-1,COLUMN(beschriftung!C$1)))</f>
        <v>Gross domestic product</v>
      </c>
      <c r="D4" s="47" t="e">
        <f ca="1">IF(INDIRECT("beschriftung.!"&amp;ADDRESS(#REF!*12+ROW($A5)-1,COLUMN(D$1)))="","",INDIRECT("beschriftung.!"&amp;ADDRESS(#REF!*12+ROW($A5)-1,COLUMN(D$1))))</f>
        <v>#REF!</v>
      </c>
      <c r="E4" s="47" t="e">
        <f ca="1">IF(INDIRECT("beschriftung.!"&amp;ADDRESS(#REF!*12+ROW($A5)-1,COLUMN(E$1)))="","",INDIRECT("beschriftung.!"&amp;ADDRESS(#REF!*12+ROW($A5)-1,COLUMN(E$1))))</f>
        <v>#REF!</v>
      </c>
      <c r="F4" s="47" t="e">
        <f ca="1">IF(INDIRECT("beschriftung.!"&amp;ADDRESS(#REF!*12+ROW($A5)-1,COLUMN(F$1)))="","",INDIRECT("beschriftung.!"&amp;ADDRESS(#REF!*12+ROW($A5)-1,COLUMN(F$1))))</f>
        <v>#REF!</v>
      </c>
      <c r="G4" s="47" t="e">
        <f ca="1">IF(INDIRECT("beschriftung.!"&amp;ADDRESS(#REF!*12+ROW($A5)-1,COLUMN(G$1)))="","",INDIRECT("beschriftung.!"&amp;ADDRESS(#REF!*12+ROW($A5)-1,COLUMN(G$1))))</f>
        <v>#REF!</v>
      </c>
      <c r="H4" s="47" t="e">
        <f ca="1">IF(INDIRECT("beschriftung.!"&amp;ADDRESS(#REF!*12+ROW($A5)-1,COLUMN(H$1)))="","",INDIRECT("beschriftung.!"&amp;ADDRESS(#REF!*12+ROW($A5)-1,COLUMN(H$1))))</f>
        <v>#REF!</v>
      </c>
      <c r="I4" s="47" t="e">
        <f ca="1">IF(INDIRECT("beschriftung.!"&amp;ADDRESS(#REF!*12+ROW($A5)-1,COLUMN(I$1)))="","",INDIRECT("beschriftung.!"&amp;ADDRESS(#REF!*12+ROW($A5)-1,COLUMN(I$1))))</f>
        <v>#REF!</v>
      </c>
      <c r="J4" s="47" t="e">
        <f ca="1">IF(INDIRECT("beschriftung.!"&amp;ADDRESS(#REF!*12+ROW($A5)-1,COLUMN(J$1)))="","",INDIRECT("beschriftung.!"&amp;ADDRESS(#REF!*12+ROW($A5)-1,COLUMN(J$1))))</f>
        <v>#REF!</v>
      </c>
      <c r="K4" s="47" t="e">
        <f ca="1">IF(INDIRECT("beschriftung.!"&amp;ADDRESS(#REF!*12+ROW($A5)-1,COLUMN(K$1)))="","",INDIRECT("beschriftung.!"&amp;ADDRESS(#REF!*12+ROW($A5)-1,COLUMN(K$1))))</f>
        <v>#REF!</v>
      </c>
      <c r="L4" s="47" t="e">
        <f ca="1">IF(INDIRECT("beschriftung.!"&amp;ADDRESS(#REF!*12+ROW($A5)-1,COLUMN(L$1)))="","",INDIRECT("beschriftung.!"&amp;ADDRESS(#REF!*12+ROW($A5)-1,COLUMN(L$1))))</f>
        <v>#REF!</v>
      </c>
      <c r="M4" s="47"/>
      <c r="N4" s="47"/>
      <c r="O4" s="47"/>
      <c r="P4" s="47"/>
      <c r="Q4" s="47" t="e">
        <f ca="1">IF(INDIRECT("beschriftung.!"&amp;ADDRESS(#REF!*12+ROW($A5)-1,COLUMN(Q$1)))="","",INDIRECT("beschriftung.!"&amp;ADDRESS(#REF!*12+ROW($A5)-1,COLUMN(Q$1))))</f>
        <v>#REF!</v>
      </c>
      <c r="R4" s="47" t="e">
        <f ca="1">IF(INDIRECT("beschriftung.!"&amp;ADDRESS(#REF!*12+ROW($A5)-1,COLUMN(R$1)))="","",INDIRECT("beschriftung.!"&amp;ADDRESS(#REF!*12+ROW($A5)-1,COLUMN(R$1))))</f>
        <v>#REF!</v>
      </c>
      <c r="S4" s="47"/>
      <c r="T4" s="47"/>
      <c r="U4" s="47" t="e">
        <f ca="1">IF(INDIRECT("beschriftung.!"&amp;ADDRESS(#REF!*12+ROW($A5)-1,COLUMN(U$1)))="","",INDIRECT("beschriftung.!"&amp;ADDRESS(#REF!*12+ROW($A5)-1,COLUMN(U$1))))</f>
        <v>#REF!</v>
      </c>
      <c r="V4" s="47" t="e">
        <f ca="1">IF(INDIRECT("beschriftung.!"&amp;ADDRESS(#REF!*12+ROW($A5)-1,COLUMN(V$1)))="","",INDIRECT("beschriftung.!"&amp;ADDRESS(#REF!*12+ROW($A5)-1,COLUMN(V$1))))</f>
        <v>#REF!</v>
      </c>
      <c r="W4" s="47" t="e">
        <f ca="1">IF(INDIRECT("beschriftung.!"&amp;ADDRESS(#REF!*12+ROW($A5)-1,COLUMN(W$1)))="","",INDIRECT("beschriftung.!"&amp;ADDRESS(#REF!*12+ROW($A5)-1,COLUMN(W$1))))</f>
        <v>#REF!</v>
      </c>
      <c r="X4" s="47" t="e">
        <f ca="1">IF(INDIRECT("beschriftung.!"&amp;ADDRESS(#REF!*12+ROW($A5)-1,COLUMN(X$1)))="","",INDIRECT("beschriftung.!"&amp;ADDRESS(#REF!*12+ROW($A5)-1,COLUMN(X$1))))</f>
        <v>#REF!</v>
      </c>
      <c r="Y4" s="47"/>
      <c r="Z4" s="47"/>
      <c r="AA4" s="47" t="e">
        <f ca="1">IF(INDIRECT("beschriftung.!"&amp;ADDRESS(#REF!*12+ROW($A5)-1,COLUMN(AA$1)))="","",INDIRECT("beschriftung.!"&amp;ADDRESS(#REF!*12+ROW($A5)-1,COLUMN(AA$1))))</f>
        <v>#REF!</v>
      </c>
      <c r="AB4" s="47" t="e">
        <f ca="1">IF(INDIRECT("beschriftung.!"&amp;ADDRESS(#REF!*12+ROW($A5)-1,COLUMN(AB$1)))="","",INDIRECT("beschriftung.!"&amp;ADDRESS(#REF!*12+ROW($A5)-1,COLUMN(AB$1))))</f>
        <v>#REF!</v>
      </c>
      <c r="AC4" s="47"/>
      <c r="AD4" s="47"/>
      <c r="AE4" s="47"/>
      <c r="AF4" s="47"/>
      <c r="AG4" s="47" t="e">
        <f ca="1">IF(INDIRECT("beschriftung.!"&amp;ADDRESS(#REF!*12+ROW($A5)-1,COLUMN(AG$1)))="","",INDIRECT("beschriftung.!"&amp;ADDRESS(#REF!*12+ROW($A5)-1,COLUMN(AG$1))))</f>
        <v>#REF!</v>
      </c>
      <c r="AH4" s="47" t="e">
        <f ca="1">IF(INDIRECT("beschriftung.!"&amp;ADDRESS(#REF!*12+ROW($A5)-1,COLUMN(AH$1)))="","",INDIRECT("beschriftung.!"&amp;ADDRESS(#REF!*12+ROW($A5)-1,COLUMN(AH$1))))</f>
        <v>#REF!</v>
      </c>
      <c r="AI4" s="47" t="e">
        <f ca="1">IF(INDIRECT("beschriftung.!"&amp;ADDRESS(#REF!*12+ROW($A5)-1,COLUMN(AI$1)))="","",INDIRECT("beschriftung.!"&amp;ADDRESS(#REF!*12+ROW($A5)-1,COLUMN(AI$1))))</f>
        <v>#REF!</v>
      </c>
      <c r="AJ4" s="47" t="e">
        <f ca="1">IF(INDIRECT("beschriftung.!"&amp;ADDRESS(#REF!*12+ROW($A5)-1,COLUMN(AJ$1)))="","",INDIRECT("beschriftung.!"&amp;ADDRESS(#REF!*12+ROW($A5)-1,COLUMN(AJ$1))))</f>
        <v>#REF!</v>
      </c>
      <c r="AK4" s="47"/>
      <c r="AL4" s="47"/>
      <c r="AM4" s="47" t="e">
        <f ca="1">IF(INDIRECT("beschriftung.!"&amp;ADDRESS(#REF!*12+ROW($A5)-1,COLUMN(AM$1)))="","",INDIRECT("beschriftung.!"&amp;ADDRESS(#REF!*12+ROW($A5)-1,COLUMN(AM$1))))</f>
        <v>#REF!</v>
      </c>
      <c r="AN4" s="47" t="e">
        <f ca="1">IF(INDIRECT("beschriftung.!"&amp;ADDRESS(#REF!*12+ROW($A5)-1,COLUMN(AN$1)))="","",INDIRECT("beschriftung.!"&amp;ADDRESS(#REF!*12+ROW($A5)-1,COLUMN(AN$1))))</f>
        <v>#REF!</v>
      </c>
      <c r="AO4" s="47" t="e">
        <f ca="1">IF(INDIRECT("beschriftung.!"&amp;ADDRESS(#REF!*12+ROW($A5)-1,COLUMN(AO$1)))="","",INDIRECT("beschriftung.!"&amp;ADDRESS(#REF!*12+ROW($A5)-1,COLUMN(AO$1))))</f>
        <v>#REF!</v>
      </c>
      <c r="AP4" s="47" t="e">
        <f ca="1">IF(INDIRECT("beschriftung.!"&amp;ADDRESS(#REF!*12+ROW($A5)-1,COLUMN(AP$1)))="","",INDIRECT("beschriftung.!"&amp;ADDRESS(#REF!*12+ROW($A5)-1,COLUMN(AP$1))))</f>
        <v>#REF!</v>
      </c>
      <c r="AQ4" s="47" t="e">
        <f ca="1">IF(INDIRECT("beschriftung.!"&amp;ADDRESS(#REF!*12+ROW($A5)-1,COLUMN(AQ$1)))="","",INDIRECT("beschriftung.!"&amp;ADDRESS(#REF!*12+ROW($A5)-1,COLUMN(AQ$1))))</f>
        <v>#REF!</v>
      </c>
      <c r="AR4" s="47" t="e">
        <f ca="1">IF(INDIRECT("beschriftung.!"&amp;ADDRESS(#REF!*12+ROW($A5)-1,COLUMN(AR$1)))="","",INDIRECT("beschriftung.!"&amp;ADDRESS(#REF!*12+ROW($A5)-1,COLUMN(AR$1))))</f>
        <v>#REF!</v>
      </c>
      <c r="AS4" s="47" t="e">
        <f ca="1">IF(INDIRECT("beschriftung.!"&amp;ADDRESS(#REF!*12+ROW($A5)-1,COLUMN(AS$1)))="","",INDIRECT("beschriftung.!"&amp;ADDRESS(#REF!*12+ROW($A5)-1,COLUMN(AS$1))))</f>
        <v>#REF!</v>
      </c>
      <c r="AT4" s="47" t="e">
        <f ca="1">IF(INDIRECT("beschriftung.!"&amp;ADDRESS(#REF!*12+ROW($A5)-1,COLUMN(AT$1)))="","",INDIRECT("beschriftung.!"&amp;ADDRESS(#REF!*12+ROW($A5)-1,COLUMN(AT$1))))</f>
        <v>#REF!</v>
      </c>
      <c r="AU4" s="47" t="e">
        <f ca="1">IF(INDIRECT("beschriftung.!"&amp;ADDRESS(#REF!*12+ROW($A5)-1,COLUMN(AU$1)))="","",INDIRECT("beschriftung.!"&amp;ADDRESS(#REF!*12+ROW($A5)-1,COLUMN(AU$1))))</f>
        <v>#REF!</v>
      </c>
      <c r="AV4" s="47" t="e">
        <f ca="1">IF(INDIRECT("beschriftung.!"&amp;ADDRESS(#REF!*12+ROW($A5)-1,COLUMN(AV$1)))="","",INDIRECT("beschriftung.!"&amp;ADDRESS(#REF!*12+ROW($A5)-1,COLUMN(AV$1))))</f>
        <v>#REF!</v>
      </c>
      <c r="AW4" s="47"/>
      <c r="AX4" s="47"/>
      <c r="AY4" s="47" t="e">
        <f ca="1">IF(INDIRECT("beschriftung.!"&amp;ADDRESS(#REF!*12+ROW($A5)-1,COLUMN(AY$1)))="","",INDIRECT("beschriftung.!"&amp;ADDRESS(#REF!*12+ROW($A5)-1,COLUMN(AY$1))))</f>
        <v>#REF!</v>
      </c>
      <c r="AZ4" s="47" t="e">
        <f ca="1">IF(INDIRECT("beschriftung.!"&amp;ADDRESS(#REF!*12+ROW($A5)-1,COLUMN(AZ$1)))="","",INDIRECT("beschriftung.!"&amp;ADDRESS(#REF!*12+ROW($A5)-1,COLUMN(AZ$1))))</f>
        <v>#REF!</v>
      </c>
      <c r="BA4" s="47" t="e">
        <f ca="1">IF(INDIRECT("beschriftung.!"&amp;ADDRESS(#REF!*12+ROW($A5)-1,COLUMN(BA$1)))="","",INDIRECT("beschriftung.!"&amp;ADDRESS(#REF!*12+ROW($A5)-1,COLUMN(BA$1))))</f>
        <v>#REF!</v>
      </c>
      <c r="BB4" s="47" t="e">
        <f ca="1">IF(INDIRECT("beschriftung.!"&amp;ADDRESS(#REF!*12+ROW($A5)-1,COLUMN(BB$1)))="","",INDIRECT("beschriftung.!"&amp;ADDRESS(#REF!*12+ROW($A5)-1,COLUMN(BB$1))))</f>
        <v>#REF!</v>
      </c>
      <c r="BC4" s="47" t="e">
        <f ca="1">IF(INDIRECT("beschriftung.!"&amp;ADDRESS(#REF!*12+ROW($A5)-1,COLUMN(BC$1)))="","",INDIRECT("beschriftung.!"&amp;ADDRESS(#REF!*12+ROW($A5)-1,COLUMN(BC$1))))</f>
        <v>#REF!</v>
      </c>
      <c r="BD4" s="47" t="e">
        <f ca="1">IF(INDIRECT("beschriftung.!"&amp;ADDRESS(#REF!*12+ROW($A5)-1,COLUMN(BD$1)))="","",INDIRECT("beschriftung.!"&amp;ADDRESS(#REF!*12+ROW($A5)-1,COLUMN(BD$1))))</f>
        <v>#REF!</v>
      </c>
      <c r="BE4" s="47" t="e">
        <f ca="1">IF(INDIRECT("beschriftung.!"&amp;ADDRESS(#REF!*12+ROW($A5)-1,COLUMN(BE$1)))="","",INDIRECT("beschriftung.!"&amp;ADDRESS(#REF!*12+ROW($A5)-1,COLUMN(BE$1))))</f>
        <v>#REF!</v>
      </c>
      <c r="BF4" s="48" t="e">
        <f ca="1">IF(INDIRECT("beschriftung.!"&amp;ADDRESS(#REF!*12+ROW($A5)-1,COLUMN(BF$1)))="","",INDIRECT("beschriftung.!"&amp;ADDRESS(#REF!*12+ROW($A5)-1,COLUMN(BF$1))))</f>
        <v>#REF!</v>
      </c>
    </row>
    <row r="5" spans="1:60" ht="11.25" customHeight="1" x14ac:dyDescent="0.15">
      <c r="A5" s="5"/>
      <c r="C5" s="65"/>
      <c r="D5" s="66"/>
      <c r="E5" s="49" t="str">
        <f ca="1">INDIRECT("beschriftung!"&amp;ADDRESS(beschriftung!$C$1*12+ROW(beschriftung!$A6)-1,COLUMN(beschriftung!D$1)))</f>
        <v>Gross value added before adjustments</v>
      </c>
      <c r="F5" s="47" t="e">
        <f ca="1">IF(INDIRECT("beschriftung.!"&amp;ADDRESS(#REF!*12+ROW($A6)-1,COLUMN(F$1)))="","",INDIRECT("beschriftung.!"&amp;ADDRESS(#REF!*12+ROW($A6)-1,COLUMN(F$1))))</f>
        <v>#REF!</v>
      </c>
      <c r="G5" s="47" t="e">
        <f ca="1">IF(INDIRECT("beschriftung.!"&amp;ADDRESS(#REF!*12+ROW($A6)-1,COLUMN(G$1)))="","",INDIRECT("beschriftung.!"&amp;ADDRESS(#REF!*12+ROW($A6)-1,COLUMN(G$1))))</f>
        <v>#REF!</v>
      </c>
      <c r="H5" s="47" t="e">
        <f ca="1">IF(INDIRECT("beschriftung.!"&amp;ADDRESS(#REF!*12+ROW($A6)-1,COLUMN(H$1)))="","",INDIRECT("beschriftung.!"&amp;ADDRESS(#REF!*12+ROW($A6)-1,COLUMN(H$1))))</f>
        <v>#REF!</v>
      </c>
      <c r="I5" s="47" t="e">
        <f ca="1">IF(INDIRECT("beschriftung.!"&amp;ADDRESS(#REF!*12+ROW($A6)-1,COLUMN(I$1)))="","",INDIRECT("beschriftung.!"&amp;ADDRESS(#REF!*12+ROW($A6)-1,COLUMN(I$1))))</f>
        <v>#REF!</v>
      </c>
      <c r="J5" s="47" t="e">
        <f ca="1">IF(INDIRECT("beschriftung.!"&amp;ADDRESS(#REF!*12+ROW($A6)-1,COLUMN(J$1)))="","",INDIRECT("beschriftung.!"&amp;ADDRESS(#REF!*12+ROW($A6)-1,COLUMN(J$1))))</f>
        <v>#REF!</v>
      </c>
      <c r="K5" s="47" t="e">
        <f ca="1">IF(INDIRECT("beschriftung.!"&amp;ADDRESS(#REF!*12+ROW($A6)-1,COLUMN(K$1)))="","",INDIRECT("beschriftung.!"&amp;ADDRESS(#REF!*12+ROW($A6)-1,COLUMN(K$1))))</f>
        <v>#REF!</v>
      </c>
      <c r="L5" s="47" t="e">
        <f ca="1">IF(INDIRECT("beschriftung.!"&amp;ADDRESS(#REF!*12+ROW($A6)-1,COLUMN(L$1)))="","",INDIRECT("beschriftung.!"&amp;ADDRESS(#REF!*12+ROW($A6)-1,COLUMN(L$1))))</f>
        <v>#REF!</v>
      </c>
      <c r="M5" s="47"/>
      <c r="N5" s="47"/>
      <c r="O5" s="47"/>
      <c r="P5" s="47"/>
      <c r="Q5" s="47" t="e">
        <f ca="1">IF(INDIRECT("beschriftung.!"&amp;ADDRESS(#REF!*12+ROW($A6)-1,COLUMN(Q$1)))="","",INDIRECT("beschriftung.!"&amp;ADDRESS(#REF!*12+ROW($A6)-1,COLUMN(Q$1))))</f>
        <v>#REF!</v>
      </c>
      <c r="R5" s="47" t="e">
        <f ca="1">IF(INDIRECT("beschriftung.!"&amp;ADDRESS(#REF!*12+ROW($A6)-1,COLUMN(R$1)))="","",INDIRECT("beschriftung.!"&amp;ADDRESS(#REF!*12+ROW($A6)-1,COLUMN(R$1))))</f>
        <v>#REF!</v>
      </c>
      <c r="S5" s="47"/>
      <c r="T5" s="47"/>
      <c r="U5" s="47" t="e">
        <f ca="1">IF(INDIRECT("beschriftung.!"&amp;ADDRESS(#REF!*12+ROW($A6)-1,COLUMN(U$1)))="","",INDIRECT("beschriftung.!"&amp;ADDRESS(#REF!*12+ROW($A6)-1,COLUMN(U$1))))</f>
        <v>#REF!</v>
      </c>
      <c r="V5" s="47" t="e">
        <f ca="1">IF(INDIRECT("beschriftung.!"&amp;ADDRESS(#REF!*12+ROW($A6)-1,COLUMN(V$1)))="","",INDIRECT("beschriftung.!"&amp;ADDRESS(#REF!*12+ROW($A6)-1,COLUMN(V$1))))</f>
        <v>#REF!</v>
      </c>
      <c r="W5" s="47" t="e">
        <f ca="1">IF(INDIRECT("beschriftung.!"&amp;ADDRESS(#REF!*12+ROW($A6)-1,COLUMN(W$1)))="","",INDIRECT("beschriftung.!"&amp;ADDRESS(#REF!*12+ROW($A6)-1,COLUMN(W$1))))</f>
        <v>#REF!</v>
      </c>
      <c r="X5" s="47" t="e">
        <f ca="1">IF(INDIRECT("beschriftung.!"&amp;ADDRESS(#REF!*12+ROW($A6)-1,COLUMN(X$1)))="","",INDIRECT("beschriftung.!"&amp;ADDRESS(#REF!*12+ROW($A6)-1,COLUMN(X$1))))</f>
        <v>#REF!</v>
      </c>
      <c r="Y5" s="47"/>
      <c r="Z5" s="47"/>
      <c r="AA5" s="47" t="e">
        <f ca="1">IF(INDIRECT("beschriftung.!"&amp;ADDRESS(#REF!*12+ROW($A6)-1,COLUMN(AA$1)))="","",INDIRECT("beschriftung.!"&amp;ADDRESS(#REF!*12+ROW($A6)-1,COLUMN(AA$1))))</f>
        <v>#REF!</v>
      </c>
      <c r="AB5" s="47" t="e">
        <f ca="1">IF(INDIRECT("beschriftung.!"&amp;ADDRESS(#REF!*12+ROW($A6)-1,COLUMN(AB$1)))="","",INDIRECT("beschriftung.!"&amp;ADDRESS(#REF!*12+ROW($A6)-1,COLUMN(AB$1))))</f>
        <v>#REF!</v>
      </c>
      <c r="AC5" s="47"/>
      <c r="AD5" s="47"/>
      <c r="AE5" s="47"/>
      <c r="AF5" s="47"/>
      <c r="AG5" s="47" t="e">
        <f ca="1">IF(INDIRECT("beschriftung.!"&amp;ADDRESS(#REF!*12+ROW($A6)-1,COLUMN(AG$1)))="","",INDIRECT("beschriftung.!"&amp;ADDRESS(#REF!*12+ROW($A6)-1,COLUMN(AG$1))))</f>
        <v>#REF!</v>
      </c>
      <c r="AH5" s="47" t="e">
        <f ca="1">IF(INDIRECT("beschriftung.!"&amp;ADDRESS(#REF!*12+ROW($A6)-1,COLUMN(AH$1)))="","",INDIRECT("beschriftung.!"&amp;ADDRESS(#REF!*12+ROW($A6)-1,COLUMN(AH$1))))</f>
        <v>#REF!</v>
      </c>
      <c r="AI5" s="47" t="e">
        <f ca="1">IF(INDIRECT("beschriftung.!"&amp;ADDRESS(#REF!*12+ROW($A6)-1,COLUMN(AI$1)))="","",INDIRECT("beschriftung.!"&amp;ADDRESS(#REF!*12+ROW($A6)-1,COLUMN(AI$1))))</f>
        <v>#REF!</v>
      </c>
      <c r="AJ5" s="47" t="e">
        <f ca="1">IF(INDIRECT("beschriftung.!"&amp;ADDRESS(#REF!*12+ROW($A6)-1,COLUMN(AJ$1)))="","",INDIRECT("beschriftung.!"&amp;ADDRESS(#REF!*12+ROW($A6)-1,COLUMN(AJ$1))))</f>
        <v>#REF!</v>
      </c>
      <c r="AK5" s="47"/>
      <c r="AL5" s="47"/>
      <c r="AM5" s="47" t="e">
        <f ca="1">IF(INDIRECT("beschriftung.!"&amp;ADDRESS(#REF!*12+ROW($A6)-1,COLUMN(AM$1)))="","",INDIRECT("beschriftung.!"&amp;ADDRESS(#REF!*12+ROW($A6)-1,COLUMN(AM$1))))</f>
        <v>#REF!</v>
      </c>
      <c r="AN5" s="47" t="e">
        <f ca="1">IF(INDIRECT("beschriftung.!"&amp;ADDRESS(#REF!*12+ROW($A6)-1,COLUMN(AN$1)))="","",INDIRECT("beschriftung.!"&amp;ADDRESS(#REF!*12+ROW($A6)-1,COLUMN(AN$1))))</f>
        <v>#REF!</v>
      </c>
      <c r="AO5" s="47" t="e">
        <f ca="1">IF(INDIRECT("beschriftung.!"&amp;ADDRESS(#REF!*12+ROW($A6)-1,COLUMN(AO$1)))="","",INDIRECT("beschriftung.!"&amp;ADDRESS(#REF!*12+ROW($A6)-1,COLUMN(AO$1))))</f>
        <v>#REF!</v>
      </c>
      <c r="AP5" s="47" t="e">
        <f ca="1">IF(INDIRECT("beschriftung.!"&amp;ADDRESS(#REF!*12+ROW($A6)-1,COLUMN(AP$1)))="","",INDIRECT("beschriftung.!"&amp;ADDRESS(#REF!*12+ROW($A6)-1,COLUMN(AP$1))))</f>
        <v>#REF!</v>
      </c>
      <c r="AQ5" s="47" t="e">
        <f ca="1">IF(INDIRECT("beschriftung.!"&amp;ADDRESS(#REF!*12+ROW($A6)-1,COLUMN(AQ$1)))="","",INDIRECT("beschriftung.!"&amp;ADDRESS(#REF!*12+ROW($A6)-1,COLUMN(AQ$1))))</f>
        <v>#REF!</v>
      </c>
      <c r="AR5" s="47" t="e">
        <f ca="1">IF(INDIRECT("beschriftung.!"&amp;ADDRESS(#REF!*12+ROW($A6)-1,COLUMN(AR$1)))="","",INDIRECT("beschriftung.!"&amp;ADDRESS(#REF!*12+ROW($A6)-1,COLUMN(AR$1))))</f>
        <v>#REF!</v>
      </c>
      <c r="AS5" s="47" t="e">
        <f ca="1">IF(INDIRECT("beschriftung.!"&amp;ADDRESS(#REF!*12+ROW($A6)-1,COLUMN(AS$1)))="","",INDIRECT("beschriftung.!"&amp;ADDRESS(#REF!*12+ROW($A6)-1,COLUMN(AS$1))))</f>
        <v>#REF!</v>
      </c>
      <c r="AT5" s="47" t="e">
        <f ca="1">IF(INDIRECT("beschriftung.!"&amp;ADDRESS(#REF!*12+ROW($A6)-1,COLUMN(AT$1)))="","",INDIRECT("beschriftung.!"&amp;ADDRESS(#REF!*12+ROW($A6)-1,COLUMN(AT$1))))</f>
        <v>#REF!</v>
      </c>
      <c r="AU5" s="47" t="e">
        <f ca="1">IF(INDIRECT("beschriftung.!"&amp;ADDRESS(#REF!*12+ROW($A6)-1,COLUMN(AU$1)))="","",INDIRECT("beschriftung.!"&amp;ADDRESS(#REF!*12+ROW($A6)-1,COLUMN(AU$1))))</f>
        <v>#REF!</v>
      </c>
      <c r="AV5" s="47" t="e">
        <f ca="1">IF(INDIRECT("beschriftung.!"&amp;ADDRESS(#REF!*12+ROW($A6)-1,COLUMN(AV$1)))="","",INDIRECT("beschriftung.!"&amp;ADDRESS(#REF!*12+ROW($A6)-1,COLUMN(AV$1))))</f>
        <v>#REF!</v>
      </c>
      <c r="AW5" s="47"/>
      <c r="AX5" s="47"/>
      <c r="AY5" s="47" t="e">
        <f ca="1">IF(INDIRECT("beschriftung.!"&amp;ADDRESS(#REF!*12+ROW($A6)-1,COLUMN(AY$1)))="","",INDIRECT("beschriftung.!"&amp;ADDRESS(#REF!*12+ROW($A6)-1,COLUMN(AY$1))))</f>
        <v>#REF!</v>
      </c>
      <c r="AZ5" s="50" t="e">
        <f ca="1">IF(INDIRECT("beschriftung.!"&amp;ADDRESS(#REF!*12+ROW($A6)-1,COLUMN(AZ$1)))="","",INDIRECT("beschriftung.!"&amp;ADDRESS(#REF!*12+ROW($A6)-1,COLUMN(AZ$1))))</f>
        <v>#REF!</v>
      </c>
      <c r="BA5" s="49" t="str">
        <f ca="1">INDIRECT("beschriftung!"&amp;ADDRESS(beschriftung!$C$1*12+ROW(beschriftung!$A6)-1,COLUMN(beschriftung!AS$1)))</f>
        <v>Adjustments</v>
      </c>
      <c r="BB5" s="47" t="e">
        <f ca="1">IF(INDIRECT("beschriftung.!"&amp;ADDRESS(#REF!*12+ROW($A6)-1,COLUMN(BB$1)))="","",INDIRECT("beschriftung.!"&amp;ADDRESS(#REF!*12+ROW($A6)-1,COLUMN(BB$1))))</f>
        <v>#REF!</v>
      </c>
      <c r="BC5" s="47" t="e">
        <f ca="1">IF(INDIRECT("beschriftung.!"&amp;ADDRESS(#REF!*12+ROW($A6)-1,COLUMN(BC$1)))="","",INDIRECT("beschriftung.!"&amp;ADDRESS(#REF!*12+ROW($A6)-1,COLUMN(BC$1))))</f>
        <v>#REF!</v>
      </c>
      <c r="BD5" s="47" t="e">
        <f ca="1">IF(INDIRECT("beschriftung.!"&amp;ADDRESS(#REF!*12+ROW($A6)-1,COLUMN(BD$1)))="","",INDIRECT("beschriftung.!"&amp;ADDRESS(#REF!*12+ROW($A6)-1,COLUMN(BD$1))))</f>
        <v>#REF!</v>
      </c>
      <c r="BE5" s="47" t="e">
        <f ca="1">IF(INDIRECT("beschriftung.!"&amp;ADDRESS(#REF!*12+ROW($A6)-1,COLUMN(BE$1)))="","",INDIRECT("beschriftung.!"&amp;ADDRESS(#REF!*12+ROW($A6)-1,COLUMN(BE$1))))</f>
        <v>#REF!</v>
      </c>
      <c r="BF5" s="50" t="e">
        <f ca="1">IF(INDIRECT("beschriftung.!"&amp;ADDRESS(#REF!*12+ROW($A6)-1,COLUMN(BF$1)))="","",INDIRECT("beschriftung.!"&amp;ADDRESS(#REF!*12+ROW($A6)-1,COLUMN(BF$1))))</f>
        <v>#REF!</v>
      </c>
    </row>
    <row r="6" spans="1:60" ht="11.25" customHeight="1" x14ac:dyDescent="0.15">
      <c r="A6" s="5"/>
      <c r="C6" s="67"/>
      <c r="D6" s="55"/>
      <c r="E6" s="60" t="s">
        <v>3</v>
      </c>
      <c r="F6" s="29"/>
      <c r="G6" s="36" t="str">
        <f ca="1">INDIRECT("beschriftung!"&amp;ADDRESS(beschriftung!$C$1*12+ROW(beschriftung!$A7)-1,COLUMN(beschriftung!E$1)))</f>
        <v xml:space="preserve">Agriculture, forestry and fishing </v>
      </c>
      <c r="H6" s="36"/>
      <c r="I6" s="36" t="str">
        <f ca="1">INDIRECT("beschriftung!"&amp;ADDRESS(beschriftung!$C$1*12+ROW(beschriftung!$A7)-1,COLUMN(beschriftung!G$1)))</f>
        <v>Mining and quarrying</v>
      </c>
      <c r="J6" s="36"/>
      <c r="K6" s="36" t="str">
        <f ca="1">INDIRECT("beschriftung!"&amp;ADDRESS(beschriftung!$C$1*12+ROW(beschriftung!$A7)-1,COLUMN(beschriftung!I$1)))</f>
        <v>Manufacturing</v>
      </c>
      <c r="L6" s="37"/>
      <c r="M6" s="42"/>
      <c r="N6" s="42"/>
      <c r="O6" s="42"/>
      <c r="P6" s="43"/>
      <c r="Q6" s="41" t="str">
        <f ca="1">INDIRECT("beschriftung!"&amp;ADDRESS(beschriftung!$C$1*12+ROW(beschriftung!$A7)-1,COLUMN(beschriftung!M$1)))</f>
        <v>Electricity, gas, steam and air conditioning supply</v>
      </c>
      <c r="R6" s="36"/>
      <c r="S6" s="36" t="str">
        <f ca="1">INDIRECT("beschriftung!"&amp;ADDRESS(beschriftung!$C$1*12+ROW(beschriftung!$A7)-1,COLUMN(beschriftung!O$1)))</f>
        <v>Water supply, sewerage, waste management and remediation activities</v>
      </c>
      <c r="T6" s="36"/>
      <c r="U6" s="36" t="str">
        <f ca="1">INDIRECT("beschriftung!"&amp;ADDRESS(beschriftung!$C$1*12+ROW(beschriftung!$A7)-1,COLUMN(beschriftung!Q$1)))</f>
        <v>Construction</v>
      </c>
      <c r="V6" s="36"/>
      <c r="W6" s="36" t="str">
        <f ca="1">INDIRECT("beschriftung!"&amp;ADDRESS(beschriftung!$C$1*12+ROW(beschriftung!$A7)-1,COLUMN(beschriftung!S$1)))</f>
        <v>Trade, repair of motor vehicles and motorcycles</v>
      </c>
      <c r="X6" s="37"/>
      <c r="Y6" s="51"/>
      <c r="Z6" s="52"/>
      <c r="AA6" s="36" t="str">
        <f ca="1">INDIRECT("beschriftung!"&amp;ADDRESS(beschriftung!$C$1*12+ROW(beschriftung!$A7)-1,COLUMN(beschriftung!W$1)))</f>
        <v>Transportation and storage</v>
      </c>
      <c r="AB6" s="36"/>
      <c r="AC6" s="36" t="str">
        <f ca="1">INDIRECT("beschriftung!"&amp;ADDRESS(beschriftung!$C$1*12+ROW(beschriftung!$A7)-1,COLUMN(beschriftung!Y$1)))</f>
        <v>Accommodation and food service activities</v>
      </c>
      <c r="AD6" s="36"/>
      <c r="AE6" s="37" t="str">
        <f ca="1">INDIRECT("beschriftung!"&amp;ADDRESS(beschriftung!$C$1*12+ROW(beschriftung!$A7)-1,COLUMN(beschriftung!X$1)))</f>
        <v>Information and communication</v>
      </c>
      <c r="AF6" s="41"/>
      <c r="AG6" s="36" t="str">
        <f ca="1">INDIRECT("beschriftung!"&amp;ADDRESS(beschriftung!$C$1*12+ROW(beschriftung!$A7)-1,COLUMN(beschriftung!AA$1)))</f>
        <v>Financial and insurance activities</v>
      </c>
      <c r="AH6" s="37"/>
      <c r="AI6" s="22"/>
      <c r="AJ6" s="22"/>
      <c r="AK6" s="22"/>
      <c r="AL6" s="23"/>
      <c r="AM6" s="41" t="str">
        <f ca="1">INDIRECT("beschriftung!"&amp;ADDRESS(beschriftung!$C$1*12+ROW(beschriftung!$A7)-1,COLUMN(beschriftung!AE$1)))</f>
        <v>Real estate, professional, scientific, technical activities and administrative services</v>
      </c>
      <c r="AN6" s="36"/>
      <c r="AO6" s="36" t="str">
        <f ca="1">INDIRECT("beschriftung!"&amp;ADDRESS(beschriftung!$C$1*12+ROW(beschriftung!$A7)-1,COLUMN(beschriftung!AG$1)))</f>
        <v>Public administration</v>
      </c>
      <c r="AP6" s="36"/>
      <c r="AQ6" s="36" t="str">
        <f ca="1">INDIRECT("beschriftung!"&amp;ADDRESS(beschriftung!$C$1*12+ROW(beschriftung!$A7)-1,COLUMN(beschriftung!AI$1)))</f>
        <v>Education</v>
      </c>
      <c r="AR6" s="36"/>
      <c r="AS6" s="36" t="str">
        <f ca="1">INDIRECT("beschriftung!"&amp;ADDRESS(beschriftung!$C$1*12+ROW(beschriftung!$A7)-1,COLUMN(beschriftung!AK$1)))</f>
        <v>Human health and social work activities</v>
      </c>
      <c r="AT6" s="36"/>
      <c r="AU6" s="36" t="str">
        <f ca="1">INDIRECT("beschriftung!"&amp;ADDRESS(beschriftung!$C$1*12+ROW(beschriftung!$A7)-1,COLUMN(beschriftung!AM$1)))</f>
        <v xml:space="preserve">Arts, entertainment and recreation </v>
      </c>
      <c r="AV6" s="36"/>
      <c r="AW6" s="36" t="str">
        <f ca="1">INDIRECT("beschriftung!"&amp;ADDRESS(beschriftung!$C$1*12+ROW(beschriftung!$A7)-1,COLUMN(beschriftung!AO$1)))</f>
        <v>Other service activities</v>
      </c>
      <c r="AX6" s="36"/>
      <c r="AY6" s="36" t="str">
        <f ca="1">INDIRECT("beschriftung!"&amp;ADDRESS(beschriftung!$C$1*12+ROW(beschriftung!$A7)-1,COLUMN(beschriftung!AQ$1)))</f>
        <v>Activities of housholds as employers and producers for own use</v>
      </c>
      <c r="AZ6" s="36"/>
      <c r="BA6" s="55"/>
      <c r="BB6" s="55"/>
      <c r="BC6" s="36" t="str">
        <f ca="1">INDIRECT("beschriftung!"&amp;ADDRESS(beschriftung!$C$1*12+ROW(beschriftung!$A7)-1,COLUMN(beschriftung!AU$1)))</f>
        <v>Taxes on products</v>
      </c>
      <c r="BD6" s="36"/>
      <c r="BE6" s="36" t="str">
        <f ca="1">INDIRECT("beschriftung!"&amp;ADDRESS(beschriftung!$C$1*12+ROW(beschriftung!$A7)-1,COLUMN(beschriftung!AW$1)))</f>
        <v>Subsidies on products</v>
      </c>
      <c r="BF6" s="36"/>
    </row>
    <row r="7" spans="1:60" ht="11.25" customHeight="1" x14ac:dyDescent="0.15">
      <c r="A7" s="8"/>
      <c r="B7" s="8"/>
      <c r="C7" s="67"/>
      <c r="D7" s="55"/>
      <c r="E7" s="60"/>
      <c r="F7" s="29"/>
      <c r="G7" s="38"/>
      <c r="H7" s="38"/>
      <c r="I7" s="38"/>
      <c r="J7" s="38"/>
      <c r="K7" s="38"/>
      <c r="L7" s="28"/>
      <c r="M7" s="44"/>
      <c r="N7" s="44"/>
      <c r="O7" s="44"/>
      <c r="P7" s="45"/>
      <c r="Q7" s="29"/>
      <c r="R7" s="38"/>
      <c r="S7" s="38"/>
      <c r="T7" s="38"/>
      <c r="U7" s="38"/>
      <c r="V7" s="38"/>
      <c r="W7" s="38"/>
      <c r="X7" s="28"/>
      <c r="Y7" s="53"/>
      <c r="Z7" s="54"/>
      <c r="AA7" s="38"/>
      <c r="AB7" s="38"/>
      <c r="AC7" s="38"/>
      <c r="AD7" s="38"/>
      <c r="AE7" s="28"/>
      <c r="AF7" s="29"/>
      <c r="AG7" s="38"/>
      <c r="AH7" s="28"/>
      <c r="AI7" s="24"/>
      <c r="AJ7" s="24"/>
      <c r="AK7" s="24"/>
      <c r="AL7" s="25"/>
      <c r="AM7" s="29"/>
      <c r="AN7" s="38"/>
      <c r="AO7" s="38"/>
      <c r="AP7" s="38"/>
      <c r="AQ7" s="38"/>
      <c r="AR7" s="38"/>
      <c r="AS7" s="38"/>
      <c r="AT7" s="38"/>
      <c r="AU7" s="38"/>
      <c r="AV7" s="38"/>
      <c r="AW7" s="38"/>
      <c r="AX7" s="38"/>
      <c r="AY7" s="38"/>
      <c r="AZ7" s="38"/>
      <c r="BA7" s="55"/>
      <c r="BB7" s="55"/>
      <c r="BC7" s="38"/>
      <c r="BD7" s="38"/>
      <c r="BE7" s="38"/>
      <c r="BF7" s="38"/>
    </row>
    <row r="8" spans="1:60" ht="11.25" customHeight="1" x14ac:dyDescent="0.15">
      <c r="A8" s="2"/>
      <c r="B8" s="2"/>
      <c r="C8" s="67"/>
      <c r="D8" s="55"/>
      <c r="E8" s="61"/>
      <c r="F8" s="62"/>
      <c r="G8" s="39"/>
      <c r="H8" s="39"/>
      <c r="I8" s="39"/>
      <c r="J8" s="39"/>
      <c r="K8" s="39"/>
      <c r="L8" s="39"/>
      <c r="M8" s="28" t="str">
        <f ca="1">INDIRECT("beschriftung!"&amp;ADDRESS(beschriftung!$C$1*12+ROW(beschriftung!$A7),COLUMN(beschriftung!J$1)))</f>
        <v>thereof chemicals and pharmaceuticals</v>
      </c>
      <c r="N8" s="29"/>
      <c r="O8" s="28" t="str">
        <f ca="1">INDIRECT("beschriftung!"&amp;ADDRESS(beschriftung!$C$1*12+ROW(beschriftung!$A7),COLUMN(beschriftung!K$1)))</f>
        <v xml:space="preserve">thereof other manufacturing </v>
      </c>
      <c r="P8" s="29"/>
      <c r="Q8" s="39"/>
      <c r="R8" s="39"/>
      <c r="S8" s="39"/>
      <c r="T8" s="39"/>
      <c r="U8" s="39"/>
      <c r="V8" s="39"/>
      <c r="W8" s="39"/>
      <c r="X8" s="39"/>
      <c r="Y8" s="28" t="str">
        <f ca="1">INDIRECT("beschriftung!"&amp;ADDRESS(beschriftung!$C$1*12+ROW(beschriftung!$A7),COLUMN(beschriftung!U$1)))</f>
        <v>thereof retail trade</v>
      </c>
      <c r="Z8" s="29"/>
      <c r="AA8" s="39"/>
      <c r="AB8" s="39"/>
      <c r="AC8" s="39"/>
      <c r="AD8" s="39"/>
      <c r="AE8" s="28"/>
      <c r="AF8" s="29"/>
      <c r="AG8" s="39"/>
      <c r="AH8" s="39"/>
      <c r="AI8" s="28" t="str">
        <f ca="1">INDIRECT("beschriftung!"&amp;ADDRESS(beschriftung!$C$1*12+ROW(beschriftung!$A7),COLUMN(beschriftung!AB$1)))</f>
        <v>thereof financial activities</v>
      </c>
      <c r="AJ8" s="29"/>
      <c r="AK8" s="28" t="str">
        <f t="array" aca="1" ref="AK8" ca="1">INDIRECT("beschriftung!"&amp;ADDRESS(beschriftung!$C$1*12+ROW(beschriftung!$A7),COLUMN(beschriftung!AC$1)))</f>
        <v>thereof insurance activities</v>
      </c>
      <c r="AL8" s="29"/>
      <c r="AM8" s="39"/>
      <c r="AN8" s="39"/>
      <c r="AO8" s="39"/>
      <c r="AP8" s="39"/>
      <c r="AQ8" s="39"/>
      <c r="AR8" s="39"/>
      <c r="AS8" s="39"/>
      <c r="AT8" s="39"/>
      <c r="AU8" s="39"/>
      <c r="AV8" s="39"/>
      <c r="AW8" s="39"/>
      <c r="AX8" s="39"/>
      <c r="AY8" s="39"/>
      <c r="AZ8" s="39"/>
      <c r="BA8" s="55"/>
      <c r="BB8" s="55"/>
      <c r="BC8" s="39"/>
      <c r="BD8" s="39"/>
      <c r="BE8" s="39"/>
      <c r="BF8" s="39"/>
    </row>
    <row r="9" spans="1:60" ht="11.25" customHeight="1" x14ac:dyDescent="0.15">
      <c r="A9" s="2"/>
      <c r="B9" s="2"/>
      <c r="C9" s="67"/>
      <c r="D9" s="55"/>
      <c r="E9" s="61"/>
      <c r="F9" s="62"/>
      <c r="G9" s="39"/>
      <c r="H9" s="39"/>
      <c r="I9" s="39"/>
      <c r="J9" s="39"/>
      <c r="K9" s="39"/>
      <c r="L9" s="39"/>
      <c r="M9" s="28"/>
      <c r="N9" s="29"/>
      <c r="O9" s="28"/>
      <c r="P9" s="29"/>
      <c r="Q9" s="39"/>
      <c r="R9" s="39"/>
      <c r="S9" s="39"/>
      <c r="T9" s="39"/>
      <c r="U9" s="39"/>
      <c r="V9" s="39"/>
      <c r="W9" s="39"/>
      <c r="X9" s="39"/>
      <c r="Y9" s="28"/>
      <c r="Z9" s="29"/>
      <c r="AA9" s="39"/>
      <c r="AB9" s="39"/>
      <c r="AC9" s="39"/>
      <c r="AD9" s="39"/>
      <c r="AE9" s="28"/>
      <c r="AF9" s="29"/>
      <c r="AG9" s="39"/>
      <c r="AH9" s="39"/>
      <c r="AI9" s="28"/>
      <c r="AJ9" s="29"/>
      <c r="AK9" s="28"/>
      <c r="AL9" s="29"/>
      <c r="AM9" s="39"/>
      <c r="AN9" s="39"/>
      <c r="AO9" s="39"/>
      <c r="AP9" s="39"/>
      <c r="AQ9" s="39"/>
      <c r="AR9" s="39"/>
      <c r="AS9" s="39"/>
      <c r="AT9" s="39"/>
      <c r="AU9" s="39"/>
      <c r="AV9" s="39"/>
      <c r="AW9" s="39"/>
      <c r="AX9" s="39"/>
      <c r="AY9" s="39"/>
      <c r="AZ9" s="39"/>
      <c r="BA9" s="55"/>
      <c r="BB9" s="55"/>
      <c r="BC9" s="39"/>
      <c r="BD9" s="39"/>
      <c r="BE9" s="39"/>
      <c r="BF9" s="39"/>
    </row>
    <row r="10" spans="1:60" ht="11.25" customHeight="1" x14ac:dyDescent="0.15">
      <c r="A10" s="2"/>
      <c r="B10" s="8"/>
      <c r="C10" s="68"/>
      <c r="D10" s="69"/>
      <c r="E10" s="63"/>
      <c r="F10" s="64"/>
      <c r="G10" s="40"/>
      <c r="H10" s="40"/>
      <c r="I10" s="40"/>
      <c r="J10" s="40"/>
      <c r="K10" s="40"/>
      <c r="L10" s="40"/>
      <c r="M10" s="30"/>
      <c r="N10" s="31"/>
      <c r="O10" s="30"/>
      <c r="P10" s="31"/>
      <c r="Q10" s="40"/>
      <c r="R10" s="40"/>
      <c r="S10" s="40"/>
      <c r="T10" s="40"/>
      <c r="U10" s="40"/>
      <c r="V10" s="40"/>
      <c r="W10" s="40"/>
      <c r="X10" s="40"/>
      <c r="Y10" s="30"/>
      <c r="Z10" s="31"/>
      <c r="AA10" s="40"/>
      <c r="AB10" s="40"/>
      <c r="AC10" s="40"/>
      <c r="AD10" s="40"/>
      <c r="AE10" s="30"/>
      <c r="AF10" s="31"/>
      <c r="AG10" s="40"/>
      <c r="AH10" s="40"/>
      <c r="AI10" s="30"/>
      <c r="AJ10" s="31"/>
      <c r="AK10" s="30"/>
      <c r="AL10" s="31"/>
      <c r="AM10" s="40"/>
      <c r="AN10" s="40"/>
      <c r="AO10" s="40"/>
      <c r="AP10" s="40"/>
      <c r="AQ10" s="40"/>
      <c r="AR10" s="40"/>
      <c r="AS10" s="40"/>
      <c r="AT10" s="40"/>
      <c r="AU10" s="40"/>
      <c r="AV10" s="40"/>
      <c r="AW10" s="40"/>
      <c r="AX10" s="40"/>
      <c r="AY10" s="40"/>
      <c r="AZ10" s="40"/>
      <c r="BA10" s="55"/>
      <c r="BB10" s="55"/>
      <c r="BC10" s="40"/>
      <c r="BD10" s="40"/>
      <c r="BE10" s="40"/>
      <c r="BF10" s="40"/>
    </row>
    <row r="11" spans="1:60" ht="11.25" customHeight="1" x14ac:dyDescent="0.15">
      <c r="A11" s="2"/>
      <c r="B11" s="8"/>
      <c r="C11" s="58" t="s">
        <v>201</v>
      </c>
      <c r="D11" s="59"/>
      <c r="E11" s="56" t="s">
        <v>202</v>
      </c>
      <c r="F11" s="57"/>
      <c r="G11" s="34" t="s">
        <v>113</v>
      </c>
      <c r="H11" s="35"/>
      <c r="I11" s="34" t="s">
        <v>114</v>
      </c>
      <c r="J11" s="35"/>
      <c r="K11" s="34" t="s">
        <v>115</v>
      </c>
      <c r="L11" s="35"/>
      <c r="M11" s="34" t="s">
        <v>116</v>
      </c>
      <c r="N11" s="35"/>
      <c r="O11" s="26" t="s">
        <v>195</v>
      </c>
      <c r="P11" s="27"/>
      <c r="Q11" s="34" t="s">
        <v>117</v>
      </c>
      <c r="R11" s="35"/>
      <c r="S11" s="34" t="s">
        <v>118</v>
      </c>
      <c r="T11" s="35"/>
      <c r="U11" s="34" t="s">
        <v>119</v>
      </c>
      <c r="V11" s="35"/>
      <c r="W11" s="34" t="s">
        <v>120</v>
      </c>
      <c r="X11" s="35"/>
      <c r="Y11" s="34" t="s">
        <v>121</v>
      </c>
      <c r="Z11" s="35"/>
      <c r="AA11" s="34" t="s">
        <v>196</v>
      </c>
      <c r="AB11" s="35"/>
      <c r="AC11" s="34" t="s">
        <v>122</v>
      </c>
      <c r="AD11" s="35"/>
      <c r="AE11" s="26" t="s">
        <v>197</v>
      </c>
      <c r="AF11" s="27"/>
      <c r="AG11" s="34" t="s">
        <v>198</v>
      </c>
      <c r="AH11" s="35"/>
      <c r="AI11" s="34" t="s">
        <v>123</v>
      </c>
      <c r="AJ11" s="35"/>
      <c r="AK11" s="26" t="s">
        <v>124</v>
      </c>
      <c r="AL11" s="27"/>
      <c r="AM11" s="34" t="s">
        <v>125</v>
      </c>
      <c r="AN11" s="35"/>
      <c r="AO11" s="34" t="s">
        <v>126</v>
      </c>
      <c r="AP11" s="35"/>
      <c r="AQ11" s="34" t="s">
        <v>127</v>
      </c>
      <c r="AR11" s="35"/>
      <c r="AS11" s="34" t="s">
        <v>128</v>
      </c>
      <c r="AT11" s="34"/>
      <c r="AU11" s="34" t="s">
        <v>96</v>
      </c>
      <c r="AV11" s="35"/>
      <c r="AW11" s="34" t="s">
        <v>129</v>
      </c>
      <c r="AX11" s="35"/>
      <c r="AY11" s="34" t="s">
        <v>130</v>
      </c>
      <c r="AZ11" s="35"/>
      <c r="BA11" s="10"/>
      <c r="BB11" s="11"/>
      <c r="BC11" s="32" t="s">
        <v>199</v>
      </c>
      <c r="BD11" s="33"/>
      <c r="BE11" s="32" t="s">
        <v>200</v>
      </c>
      <c r="BF11" s="33"/>
    </row>
    <row r="12" spans="1:60" x14ac:dyDescent="0.15">
      <c r="A12" s="17">
        <v>1980</v>
      </c>
      <c r="B12" s="17">
        <v>1</v>
      </c>
      <c r="C12" s="18">
        <v>91185.621643246006</v>
      </c>
      <c r="D12" s="19"/>
      <c r="E12" s="18"/>
      <c r="F12" s="19"/>
      <c r="G12" s="18"/>
      <c r="H12" s="19"/>
      <c r="I12" s="18"/>
      <c r="J12" s="19"/>
      <c r="K12" s="18"/>
      <c r="L12" s="19"/>
      <c r="M12" s="18"/>
      <c r="N12" s="19"/>
      <c r="O12" s="18"/>
      <c r="P12" s="19"/>
      <c r="Q12" s="18"/>
      <c r="R12" s="19"/>
      <c r="S12" s="18"/>
      <c r="T12" s="19"/>
      <c r="U12" s="18"/>
      <c r="V12" s="19"/>
      <c r="W12" s="18"/>
      <c r="X12" s="19"/>
      <c r="Y12" s="18"/>
      <c r="Z12" s="19"/>
      <c r="AA12" s="18"/>
      <c r="AB12" s="19"/>
      <c r="AC12" s="18"/>
      <c r="AD12" s="19"/>
      <c r="AE12" s="18"/>
      <c r="AF12" s="19"/>
      <c r="AG12" s="18"/>
      <c r="AH12" s="19"/>
      <c r="AI12" s="18"/>
      <c r="AJ12" s="19"/>
      <c r="AK12" s="18"/>
      <c r="AL12" s="19"/>
      <c r="AM12" s="18"/>
      <c r="AN12" s="19"/>
      <c r="AO12" s="18"/>
      <c r="AP12" s="19"/>
      <c r="AQ12" s="18"/>
      <c r="AR12" s="19"/>
      <c r="AS12" s="18"/>
      <c r="AT12" s="19"/>
      <c r="AU12" s="18"/>
      <c r="AV12" s="19"/>
      <c r="AW12" s="18"/>
      <c r="AX12" s="19"/>
      <c r="AY12" s="18"/>
      <c r="AZ12" s="19"/>
      <c r="BA12" s="18"/>
      <c r="BB12" s="19"/>
      <c r="BC12" s="18"/>
      <c r="BD12" s="19"/>
      <c r="BE12" s="18"/>
      <c r="BF12" s="19"/>
      <c r="BG12" s="18"/>
      <c r="BH12" s="19"/>
    </row>
    <row r="13" spans="1:60" x14ac:dyDescent="0.15">
      <c r="A13" s="17">
        <v>1980</v>
      </c>
      <c r="B13" s="17">
        <v>2</v>
      </c>
      <c r="C13" s="18">
        <v>91648.332372579403</v>
      </c>
      <c r="D13" s="19">
        <v>5.0743825725478899E-3</v>
      </c>
      <c r="E13" s="18"/>
      <c r="F13" s="19"/>
      <c r="G13" s="18"/>
      <c r="H13" s="19"/>
      <c r="I13" s="18"/>
      <c r="J13" s="19"/>
      <c r="K13" s="18"/>
      <c r="L13" s="19"/>
      <c r="M13" s="18"/>
      <c r="N13" s="19"/>
      <c r="O13" s="18"/>
      <c r="P13" s="19"/>
      <c r="Q13" s="18"/>
      <c r="R13" s="19"/>
      <c r="S13" s="18"/>
      <c r="T13" s="19"/>
      <c r="U13" s="18"/>
      <c r="V13" s="19"/>
      <c r="W13" s="18"/>
      <c r="X13" s="19"/>
      <c r="Y13" s="18"/>
      <c r="Z13" s="19"/>
      <c r="AA13" s="18"/>
      <c r="AB13" s="19"/>
      <c r="AC13" s="18"/>
      <c r="AD13" s="19"/>
      <c r="AE13" s="18"/>
      <c r="AF13" s="19"/>
      <c r="AG13" s="18"/>
      <c r="AH13" s="19"/>
      <c r="AI13" s="18"/>
      <c r="AJ13" s="19"/>
      <c r="AK13" s="18"/>
      <c r="AL13" s="19"/>
      <c r="AM13" s="18"/>
      <c r="AN13" s="19"/>
      <c r="AO13" s="18"/>
      <c r="AP13" s="19"/>
      <c r="AQ13" s="18"/>
      <c r="AR13" s="19"/>
      <c r="AS13" s="18"/>
      <c r="AT13" s="19"/>
      <c r="AU13" s="18"/>
      <c r="AV13" s="19"/>
      <c r="AW13" s="18"/>
      <c r="AX13" s="19"/>
      <c r="AY13" s="18"/>
      <c r="AZ13" s="19"/>
      <c r="BA13" s="18"/>
      <c r="BB13" s="19"/>
      <c r="BC13" s="18"/>
      <c r="BD13" s="19"/>
      <c r="BE13" s="18"/>
      <c r="BF13" s="19"/>
      <c r="BG13" s="18"/>
      <c r="BH13" s="19"/>
    </row>
    <row r="14" spans="1:60" x14ac:dyDescent="0.15">
      <c r="A14" s="17">
        <v>1980</v>
      </c>
      <c r="B14" s="17">
        <v>3</v>
      </c>
      <c r="C14" s="18">
        <v>92095.8166964962</v>
      </c>
      <c r="D14" s="19">
        <v>4.88262374592541E-3</v>
      </c>
      <c r="E14" s="18"/>
      <c r="F14" s="19"/>
      <c r="G14" s="18"/>
      <c r="H14" s="19"/>
      <c r="I14" s="18"/>
      <c r="J14" s="19"/>
      <c r="K14" s="18"/>
      <c r="L14" s="19"/>
      <c r="M14" s="18"/>
      <c r="N14" s="19"/>
      <c r="O14" s="18"/>
      <c r="P14" s="19"/>
      <c r="Q14" s="18"/>
      <c r="R14" s="19"/>
      <c r="S14" s="18"/>
      <c r="T14" s="19"/>
      <c r="U14" s="18"/>
      <c r="V14" s="19"/>
      <c r="W14" s="18"/>
      <c r="X14" s="19"/>
      <c r="Y14" s="18"/>
      <c r="Z14" s="19"/>
      <c r="AA14" s="18"/>
      <c r="AB14" s="19"/>
      <c r="AC14" s="18"/>
      <c r="AD14" s="19"/>
      <c r="AE14" s="18"/>
      <c r="AF14" s="19"/>
      <c r="AG14" s="18"/>
      <c r="AH14" s="19"/>
      <c r="AI14" s="18"/>
      <c r="AJ14" s="19"/>
      <c r="AK14" s="18"/>
      <c r="AL14" s="19"/>
      <c r="AM14" s="18"/>
      <c r="AN14" s="19"/>
      <c r="AO14" s="18"/>
      <c r="AP14" s="19"/>
      <c r="AQ14" s="18"/>
      <c r="AR14" s="19"/>
      <c r="AS14" s="18"/>
      <c r="AT14" s="19"/>
      <c r="AU14" s="18"/>
      <c r="AV14" s="19"/>
      <c r="AW14" s="18"/>
      <c r="AX14" s="19"/>
      <c r="AY14" s="18"/>
      <c r="AZ14" s="19"/>
      <c r="BA14" s="18"/>
      <c r="BB14" s="19"/>
      <c r="BC14" s="18"/>
      <c r="BD14" s="19"/>
      <c r="BE14" s="18"/>
      <c r="BF14" s="19"/>
      <c r="BG14" s="18"/>
      <c r="BH14" s="19"/>
    </row>
    <row r="15" spans="1:60" x14ac:dyDescent="0.15">
      <c r="A15" s="17">
        <v>1980</v>
      </c>
      <c r="B15" s="17">
        <v>4</v>
      </c>
      <c r="C15" s="18">
        <v>92633.411471661006</v>
      </c>
      <c r="D15" s="19">
        <v>5.83734196023733E-3</v>
      </c>
      <c r="E15" s="18"/>
      <c r="F15" s="19"/>
      <c r="G15" s="18"/>
      <c r="H15" s="19"/>
      <c r="I15" s="18"/>
      <c r="J15" s="19"/>
      <c r="K15" s="18"/>
      <c r="L15" s="19"/>
      <c r="M15" s="18"/>
      <c r="N15" s="19"/>
      <c r="O15" s="18"/>
      <c r="P15" s="19"/>
      <c r="Q15" s="18"/>
      <c r="R15" s="19"/>
      <c r="S15" s="18"/>
      <c r="T15" s="19"/>
      <c r="U15" s="18"/>
      <c r="V15" s="19"/>
      <c r="W15" s="18"/>
      <c r="X15" s="19"/>
      <c r="Y15" s="18"/>
      <c r="Z15" s="19"/>
      <c r="AA15" s="18"/>
      <c r="AB15" s="19"/>
      <c r="AC15" s="18"/>
      <c r="AD15" s="19"/>
      <c r="AE15" s="18"/>
      <c r="AF15" s="19"/>
      <c r="AG15" s="18"/>
      <c r="AH15" s="19"/>
      <c r="AI15" s="18"/>
      <c r="AJ15" s="19"/>
      <c r="AK15" s="18"/>
      <c r="AL15" s="19"/>
      <c r="AM15" s="18"/>
      <c r="AN15" s="19"/>
      <c r="AO15" s="18"/>
      <c r="AP15" s="19"/>
      <c r="AQ15" s="18"/>
      <c r="AR15" s="19"/>
      <c r="AS15" s="18"/>
      <c r="AT15" s="19"/>
      <c r="AU15" s="18"/>
      <c r="AV15" s="19"/>
      <c r="AW15" s="18"/>
      <c r="AX15" s="19"/>
      <c r="AY15" s="18"/>
      <c r="AZ15" s="19"/>
      <c r="BA15" s="18"/>
      <c r="BB15" s="19"/>
      <c r="BC15" s="18"/>
      <c r="BD15" s="19"/>
      <c r="BE15" s="18"/>
      <c r="BF15" s="19"/>
      <c r="BG15" s="18"/>
      <c r="BH15" s="19"/>
    </row>
    <row r="16" spans="1:60" x14ac:dyDescent="0.15">
      <c r="A16" s="17">
        <v>1981</v>
      </c>
      <c r="B16" s="17">
        <v>1</v>
      </c>
      <c r="C16" s="18">
        <v>92652.065097296203</v>
      </c>
      <c r="D16" s="19">
        <v>2.0137038395540201E-4</v>
      </c>
      <c r="E16" s="18"/>
      <c r="F16" s="19"/>
      <c r="G16" s="18"/>
      <c r="H16" s="19"/>
      <c r="I16" s="18"/>
      <c r="J16" s="19"/>
      <c r="K16" s="18"/>
      <c r="L16" s="19"/>
      <c r="M16" s="18"/>
      <c r="N16" s="19"/>
      <c r="O16" s="18"/>
      <c r="P16" s="19"/>
      <c r="Q16" s="18"/>
      <c r="R16" s="19"/>
      <c r="S16" s="18"/>
      <c r="T16" s="19"/>
      <c r="U16" s="18"/>
      <c r="V16" s="19"/>
      <c r="W16" s="18"/>
      <c r="X16" s="19"/>
      <c r="Y16" s="18"/>
      <c r="Z16" s="19"/>
      <c r="AA16" s="18"/>
      <c r="AB16" s="19"/>
      <c r="AC16" s="18"/>
      <c r="AD16" s="19"/>
      <c r="AE16" s="18"/>
      <c r="AF16" s="19"/>
      <c r="AG16" s="18"/>
      <c r="AH16" s="19"/>
      <c r="AI16" s="18"/>
      <c r="AJ16" s="19"/>
      <c r="AK16" s="18"/>
      <c r="AL16" s="19"/>
      <c r="AM16" s="18"/>
      <c r="AN16" s="19"/>
      <c r="AO16" s="18"/>
      <c r="AP16" s="19"/>
      <c r="AQ16" s="18"/>
      <c r="AR16" s="19"/>
      <c r="AS16" s="18"/>
      <c r="AT16" s="19"/>
      <c r="AU16" s="18"/>
      <c r="AV16" s="19"/>
      <c r="AW16" s="18"/>
      <c r="AX16" s="19"/>
      <c r="AY16" s="18"/>
      <c r="AZ16" s="19"/>
      <c r="BA16" s="18"/>
      <c r="BB16" s="19"/>
      <c r="BC16" s="18"/>
      <c r="BD16" s="19"/>
      <c r="BE16" s="18"/>
      <c r="BF16" s="19"/>
      <c r="BG16" s="18"/>
      <c r="BH16" s="19"/>
    </row>
    <row r="17" spans="1:60" x14ac:dyDescent="0.15">
      <c r="A17" s="17">
        <v>1981</v>
      </c>
      <c r="B17" s="17">
        <v>2</v>
      </c>
      <c r="C17" s="18">
        <v>93533.534792899605</v>
      </c>
      <c r="D17" s="19">
        <v>9.5137619941634295E-3</v>
      </c>
      <c r="E17" s="18"/>
      <c r="F17" s="19"/>
      <c r="G17" s="18"/>
      <c r="H17" s="19"/>
      <c r="I17" s="18"/>
      <c r="J17" s="19"/>
      <c r="K17" s="18"/>
      <c r="L17" s="19"/>
      <c r="M17" s="18"/>
      <c r="N17" s="19"/>
      <c r="O17" s="18"/>
      <c r="P17" s="19"/>
      <c r="Q17" s="18"/>
      <c r="R17" s="19"/>
      <c r="S17" s="18"/>
      <c r="T17" s="19"/>
      <c r="U17" s="18"/>
      <c r="V17" s="19"/>
      <c r="W17" s="18"/>
      <c r="X17" s="19"/>
      <c r="Y17" s="18"/>
      <c r="Z17" s="19"/>
      <c r="AA17" s="18"/>
      <c r="AB17" s="19"/>
      <c r="AC17" s="18"/>
      <c r="AD17" s="19"/>
      <c r="AE17" s="18"/>
      <c r="AF17" s="19"/>
      <c r="AG17" s="18"/>
      <c r="AH17" s="19"/>
      <c r="AI17" s="18"/>
      <c r="AJ17" s="19"/>
      <c r="AK17" s="18"/>
      <c r="AL17" s="19"/>
      <c r="AM17" s="18"/>
      <c r="AN17" s="19"/>
      <c r="AO17" s="18"/>
      <c r="AP17" s="19"/>
      <c r="AQ17" s="18"/>
      <c r="AR17" s="19"/>
      <c r="AS17" s="18"/>
      <c r="AT17" s="19"/>
      <c r="AU17" s="18"/>
      <c r="AV17" s="19"/>
      <c r="AW17" s="18"/>
      <c r="AX17" s="19"/>
      <c r="AY17" s="18"/>
      <c r="AZ17" s="19"/>
      <c r="BA17" s="18"/>
      <c r="BB17" s="19"/>
      <c r="BC17" s="18"/>
      <c r="BD17" s="19"/>
      <c r="BE17" s="18"/>
      <c r="BF17" s="19"/>
      <c r="BG17" s="18"/>
      <c r="BH17" s="19"/>
    </row>
    <row r="18" spans="1:60" x14ac:dyDescent="0.15">
      <c r="A18" s="17">
        <v>1981</v>
      </c>
      <c r="B18" s="17">
        <v>3</v>
      </c>
      <c r="C18" s="18">
        <v>93814.682882459005</v>
      </c>
      <c r="D18" s="19">
        <v>3.00585335710801E-3</v>
      </c>
      <c r="E18" s="18"/>
      <c r="F18" s="19"/>
      <c r="G18" s="18"/>
      <c r="H18" s="19"/>
      <c r="I18" s="18"/>
      <c r="J18" s="19"/>
      <c r="K18" s="18"/>
      <c r="L18" s="19"/>
      <c r="M18" s="18"/>
      <c r="N18" s="19"/>
      <c r="O18" s="18"/>
      <c r="P18" s="19"/>
      <c r="Q18" s="18"/>
      <c r="R18" s="19"/>
      <c r="S18" s="18"/>
      <c r="T18" s="19"/>
      <c r="U18" s="18"/>
      <c r="V18" s="19"/>
      <c r="W18" s="18"/>
      <c r="X18" s="19"/>
      <c r="Y18" s="18"/>
      <c r="Z18" s="19"/>
      <c r="AA18" s="18"/>
      <c r="AB18" s="19"/>
      <c r="AC18" s="18"/>
      <c r="AD18" s="19"/>
      <c r="AE18" s="18"/>
      <c r="AF18" s="19"/>
      <c r="AG18" s="18"/>
      <c r="AH18" s="19"/>
      <c r="AI18" s="18"/>
      <c r="AJ18" s="19"/>
      <c r="AK18" s="18"/>
      <c r="AL18" s="19"/>
      <c r="AM18" s="18"/>
      <c r="AN18" s="19"/>
      <c r="AO18" s="18"/>
      <c r="AP18" s="19"/>
      <c r="AQ18" s="18"/>
      <c r="AR18" s="19"/>
      <c r="AS18" s="18"/>
      <c r="AT18" s="19"/>
      <c r="AU18" s="18"/>
      <c r="AV18" s="19"/>
      <c r="AW18" s="18"/>
      <c r="AX18" s="19"/>
      <c r="AY18" s="18"/>
      <c r="AZ18" s="19"/>
      <c r="BA18" s="18"/>
      <c r="BB18" s="19"/>
      <c r="BC18" s="18"/>
      <c r="BD18" s="19"/>
      <c r="BE18" s="18"/>
      <c r="BF18" s="19"/>
      <c r="BG18" s="18"/>
      <c r="BH18" s="19"/>
    </row>
    <row r="19" spans="1:60" x14ac:dyDescent="0.15">
      <c r="A19" s="17">
        <v>1981</v>
      </c>
      <c r="B19" s="17">
        <v>4</v>
      </c>
      <c r="C19" s="18">
        <v>93668.8519079541</v>
      </c>
      <c r="D19" s="19">
        <v>-1.55445789533426E-3</v>
      </c>
      <c r="E19" s="18"/>
      <c r="F19" s="19"/>
      <c r="G19" s="18"/>
      <c r="H19" s="19"/>
      <c r="I19" s="18"/>
      <c r="J19" s="19"/>
      <c r="K19" s="18"/>
      <c r="L19" s="19"/>
      <c r="M19" s="18"/>
      <c r="N19" s="19"/>
      <c r="O19" s="18"/>
      <c r="P19" s="19"/>
      <c r="Q19" s="18"/>
      <c r="R19" s="19"/>
      <c r="S19" s="18"/>
      <c r="T19" s="19"/>
      <c r="U19" s="18"/>
      <c r="V19" s="19"/>
      <c r="W19" s="18"/>
      <c r="X19" s="19"/>
      <c r="Y19" s="18"/>
      <c r="Z19" s="19"/>
      <c r="AA19" s="18"/>
      <c r="AB19" s="19"/>
      <c r="AC19" s="18"/>
      <c r="AD19" s="19"/>
      <c r="AE19" s="18"/>
      <c r="AF19" s="19"/>
      <c r="AG19" s="18"/>
      <c r="AH19" s="19"/>
      <c r="AI19" s="18"/>
      <c r="AJ19" s="19"/>
      <c r="AK19" s="18"/>
      <c r="AL19" s="19"/>
      <c r="AM19" s="18"/>
      <c r="AN19" s="19"/>
      <c r="AO19" s="18"/>
      <c r="AP19" s="19"/>
      <c r="AQ19" s="18"/>
      <c r="AR19" s="19"/>
      <c r="AS19" s="18"/>
      <c r="AT19" s="19"/>
      <c r="AU19" s="18"/>
      <c r="AV19" s="19"/>
      <c r="AW19" s="18"/>
      <c r="AX19" s="19"/>
      <c r="AY19" s="18"/>
      <c r="AZ19" s="19"/>
      <c r="BA19" s="18"/>
      <c r="BB19" s="19"/>
      <c r="BC19" s="18"/>
      <c r="BD19" s="19"/>
      <c r="BE19" s="18"/>
      <c r="BF19" s="19"/>
      <c r="BG19" s="18"/>
      <c r="BH19" s="19"/>
    </row>
    <row r="20" spans="1:60" x14ac:dyDescent="0.15">
      <c r="A20" s="17">
        <v>1982</v>
      </c>
      <c r="B20" s="17">
        <v>1</v>
      </c>
      <c r="C20" s="18">
        <v>92862.801104640399</v>
      </c>
      <c r="D20" s="19">
        <v>-8.6053238285209704E-3</v>
      </c>
      <c r="E20" s="18"/>
      <c r="F20" s="19"/>
      <c r="G20" s="18"/>
      <c r="H20" s="19"/>
      <c r="I20" s="18"/>
      <c r="J20" s="19"/>
      <c r="K20" s="18"/>
      <c r="L20" s="19"/>
      <c r="M20" s="18"/>
      <c r="N20" s="19"/>
      <c r="O20" s="18"/>
      <c r="P20" s="19"/>
      <c r="Q20" s="18"/>
      <c r="R20" s="19"/>
      <c r="S20" s="18"/>
      <c r="T20" s="19"/>
      <c r="U20" s="18"/>
      <c r="V20" s="19"/>
      <c r="W20" s="18"/>
      <c r="X20" s="19"/>
      <c r="Y20" s="18"/>
      <c r="Z20" s="19"/>
      <c r="AA20" s="18"/>
      <c r="AB20" s="19"/>
      <c r="AC20" s="18"/>
      <c r="AD20" s="19"/>
      <c r="AE20" s="18"/>
      <c r="AF20" s="19"/>
      <c r="AG20" s="18"/>
      <c r="AH20" s="19"/>
      <c r="AI20" s="18"/>
      <c r="AJ20" s="19"/>
      <c r="AK20" s="18"/>
      <c r="AL20" s="19"/>
      <c r="AM20" s="18"/>
      <c r="AN20" s="19"/>
      <c r="AO20" s="18"/>
      <c r="AP20" s="19"/>
      <c r="AQ20" s="18"/>
      <c r="AR20" s="19"/>
      <c r="AS20" s="18"/>
      <c r="AT20" s="19"/>
      <c r="AU20" s="18"/>
      <c r="AV20" s="19"/>
      <c r="AW20" s="18"/>
      <c r="AX20" s="19"/>
      <c r="AY20" s="18"/>
      <c r="AZ20" s="19"/>
      <c r="BA20" s="18"/>
      <c r="BB20" s="19"/>
      <c r="BC20" s="18"/>
      <c r="BD20" s="19"/>
      <c r="BE20" s="18"/>
      <c r="BF20" s="19"/>
      <c r="BG20" s="18"/>
      <c r="BH20" s="19"/>
    </row>
    <row r="21" spans="1:60" x14ac:dyDescent="0.15">
      <c r="A21" s="17">
        <v>1982</v>
      </c>
      <c r="B21" s="17">
        <v>2</v>
      </c>
      <c r="C21" s="18">
        <v>92384.198557121606</v>
      </c>
      <c r="D21" s="19">
        <v>-5.1538672302108299E-3</v>
      </c>
      <c r="E21" s="18"/>
      <c r="F21" s="19"/>
      <c r="G21" s="18"/>
      <c r="H21" s="19"/>
      <c r="I21" s="18"/>
      <c r="J21" s="19"/>
      <c r="K21" s="18"/>
      <c r="L21" s="19"/>
      <c r="M21" s="18"/>
      <c r="N21" s="19"/>
      <c r="O21" s="18"/>
      <c r="P21" s="19"/>
      <c r="Q21" s="18"/>
      <c r="R21" s="19"/>
      <c r="S21" s="18"/>
      <c r="T21" s="19"/>
      <c r="U21" s="18"/>
      <c r="V21" s="19"/>
      <c r="W21" s="18"/>
      <c r="X21" s="19"/>
      <c r="Y21" s="18"/>
      <c r="Z21" s="19"/>
      <c r="AA21" s="18"/>
      <c r="AB21" s="19"/>
      <c r="AC21" s="18"/>
      <c r="AD21" s="19"/>
      <c r="AE21" s="18"/>
      <c r="AF21" s="19"/>
      <c r="AG21" s="18"/>
      <c r="AH21" s="19"/>
      <c r="AI21" s="18"/>
      <c r="AJ21" s="19"/>
      <c r="AK21" s="18"/>
      <c r="AL21" s="19"/>
      <c r="AM21" s="18"/>
      <c r="AN21" s="19"/>
      <c r="AO21" s="18"/>
      <c r="AP21" s="19"/>
      <c r="AQ21" s="18"/>
      <c r="AR21" s="19"/>
      <c r="AS21" s="18"/>
      <c r="AT21" s="19"/>
      <c r="AU21" s="18"/>
      <c r="AV21" s="19"/>
      <c r="AW21" s="18"/>
      <c r="AX21" s="19"/>
      <c r="AY21" s="18"/>
      <c r="AZ21" s="19"/>
      <c r="BA21" s="18"/>
      <c r="BB21" s="19"/>
      <c r="BC21" s="18"/>
      <c r="BD21" s="19"/>
      <c r="BE21" s="18"/>
      <c r="BF21" s="19"/>
      <c r="BG21" s="18"/>
      <c r="BH21" s="19"/>
    </row>
    <row r="22" spans="1:60" x14ac:dyDescent="0.15">
      <c r="A22" s="17">
        <v>1982</v>
      </c>
      <c r="B22" s="17">
        <v>3</v>
      </c>
      <c r="C22" s="18">
        <v>91723.691325133201</v>
      </c>
      <c r="D22" s="19">
        <v>-7.1495693235891196E-3</v>
      </c>
      <c r="E22" s="18"/>
      <c r="F22" s="19"/>
      <c r="G22" s="18"/>
      <c r="H22" s="19"/>
      <c r="I22" s="18"/>
      <c r="J22" s="19"/>
      <c r="K22" s="18"/>
      <c r="L22" s="19"/>
      <c r="M22" s="18"/>
      <c r="N22" s="19"/>
      <c r="O22" s="18"/>
      <c r="P22" s="19"/>
      <c r="Q22" s="18"/>
      <c r="R22" s="19"/>
      <c r="S22" s="18"/>
      <c r="T22" s="19"/>
      <c r="U22" s="18"/>
      <c r="V22" s="19"/>
      <c r="W22" s="18"/>
      <c r="X22" s="19"/>
      <c r="Y22" s="18"/>
      <c r="Z22" s="19"/>
      <c r="AA22" s="18"/>
      <c r="AB22" s="19"/>
      <c r="AC22" s="18"/>
      <c r="AD22" s="19"/>
      <c r="AE22" s="18"/>
      <c r="AF22" s="19"/>
      <c r="AG22" s="18"/>
      <c r="AH22" s="19"/>
      <c r="AI22" s="18"/>
      <c r="AJ22" s="19"/>
      <c r="AK22" s="18"/>
      <c r="AL22" s="19"/>
      <c r="AM22" s="18"/>
      <c r="AN22" s="19"/>
      <c r="AO22" s="18"/>
      <c r="AP22" s="19"/>
      <c r="AQ22" s="18"/>
      <c r="AR22" s="19"/>
      <c r="AS22" s="18"/>
      <c r="AT22" s="19"/>
      <c r="AU22" s="18"/>
      <c r="AV22" s="19"/>
      <c r="AW22" s="18"/>
      <c r="AX22" s="19"/>
      <c r="AY22" s="18"/>
      <c r="AZ22" s="19"/>
      <c r="BA22" s="18"/>
      <c r="BB22" s="19"/>
      <c r="BC22" s="18"/>
      <c r="BD22" s="19"/>
      <c r="BE22" s="18"/>
      <c r="BF22" s="19"/>
      <c r="BG22" s="18"/>
      <c r="BH22" s="19"/>
    </row>
    <row r="23" spans="1:60" x14ac:dyDescent="0.15">
      <c r="A23" s="17">
        <v>1982</v>
      </c>
      <c r="B23" s="17">
        <v>4</v>
      </c>
      <c r="C23" s="18">
        <v>91723.292751012006</v>
      </c>
      <c r="D23" s="19">
        <v>-4.3453781184421601E-6</v>
      </c>
      <c r="E23" s="18"/>
      <c r="F23" s="19"/>
      <c r="G23" s="18"/>
      <c r="H23" s="19"/>
      <c r="I23" s="18"/>
      <c r="J23" s="19"/>
      <c r="K23" s="18"/>
      <c r="L23" s="19"/>
      <c r="M23" s="18"/>
      <c r="N23" s="19"/>
      <c r="O23" s="18"/>
      <c r="P23" s="19"/>
      <c r="Q23" s="18"/>
      <c r="R23" s="19"/>
      <c r="S23" s="18"/>
      <c r="T23" s="19"/>
      <c r="U23" s="18"/>
      <c r="V23" s="19"/>
      <c r="W23" s="18"/>
      <c r="X23" s="19"/>
      <c r="Y23" s="18"/>
      <c r="Z23" s="19"/>
      <c r="AA23" s="18"/>
      <c r="AB23" s="19"/>
      <c r="AC23" s="18"/>
      <c r="AD23" s="19"/>
      <c r="AE23" s="18"/>
      <c r="AF23" s="19"/>
      <c r="AG23" s="18"/>
      <c r="AH23" s="19"/>
      <c r="AI23" s="18"/>
      <c r="AJ23" s="19"/>
      <c r="AK23" s="18"/>
      <c r="AL23" s="19"/>
      <c r="AM23" s="18"/>
      <c r="AN23" s="19"/>
      <c r="AO23" s="18"/>
      <c r="AP23" s="19"/>
      <c r="AQ23" s="18"/>
      <c r="AR23" s="19"/>
      <c r="AS23" s="18"/>
      <c r="AT23" s="19"/>
      <c r="AU23" s="18"/>
      <c r="AV23" s="19"/>
      <c r="AW23" s="18"/>
      <c r="AX23" s="19"/>
      <c r="AY23" s="18"/>
      <c r="AZ23" s="19"/>
      <c r="BA23" s="18"/>
      <c r="BB23" s="19"/>
      <c r="BC23" s="18"/>
      <c r="BD23" s="19"/>
      <c r="BE23" s="18"/>
      <c r="BF23" s="19"/>
      <c r="BG23" s="18"/>
      <c r="BH23" s="19"/>
    </row>
    <row r="24" spans="1:60" x14ac:dyDescent="0.15">
      <c r="A24" s="17">
        <v>1983</v>
      </c>
      <c r="B24" s="17">
        <v>1</v>
      </c>
      <c r="C24" s="18">
        <v>92197.423987200804</v>
      </c>
      <c r="D24" s="19">
        <v>5.1691475738429001E-3</v>
      </c>
      <c r="E24" s="18"/>
      <c r="F24" s="19"/>
      <c r="G24" s="18"/>
      <c r="H24" s="19"/>
      <c r="I24" s="18"/>
      <c r="J24" s="19"/>
      <c r="K24" s="18"/>
      <c r="L24" s="19"/>
      <c r="M24" s="18"/>
      <c r="N24" s="19"/>
      <c r="O24" s="18"/>
      <c r="P24" s="19"/>
      <c r="Q24" s="18"/>
      <c r="R24" s="19"/>
      <c r="S24" s="18"/>
      <c r="T24" s="19"/>
      <c r="U24" s="18"/>
      <c r="V24" s="19"/>
      <c r="W24" s="18"/>
      <c r="X24" s="19"/>
      <c r="Y24" s="18"/>
      <c r="Z24" s="19"/>
      <c r="AA24" s="18"/>
      <c r="AB24" s="19"/>
      <c r="AC24" s="18"/>
      <c r="AD24" s="19"/>
      <c r="AE24" s="18"/>
      <c r="AF24" s="19"/>
      <c r="AG24" s="18"/>
      <c r="AH24" s="19"/>
      <c r="AI24" s="18"/>
      <c r="AJ24" s="19"/>
      <c r="AK24" s="18"/>
      <c r="AL24" s="19"/>
      <c r="AM24" s="18"/>
      <c r="AN24" s="19"/>
      <c r="AO24" s="18"/>
      <c r="AP24" s="19"/>
      <c r="AQ24" s="18"/>
      <c r="AR24" s="19"/>
      <c r="AS24" s="18"/>
      <c r="AT24" s="19"/>
      <c r="AU24" s="18"/>
      <c r="AV24" s="19"/>
      <c r="AW24" s="18"/>
      <c r="AX24" s="19"/>
      <c r="AY24" s="18"/>
      <c r="AZ24" s="19"/>
      <c r="BA24" s="18"/>
      <c r="BB24" s="19"/>
      <c r="BC24" s="18"/>
      <c r="BD24" s="19"/>
      <c r="BE24" s="18"/>
      <c r="BF24" s="19"/>
      <c r="BG24" s="18"/>
      <c r="BH24" s="19"/>
    </row>
    <row r="25" spans="1:60" x14ac:dyDescent="0.15">
      <c r="A25" s="17">
        <v>1983</v>
      </c>
      <c r="B25" s="17">
        <v>2</v>
      </c>
      <c r="C25" s="18">
        <v>92441.960403950303</v>
      </c>
      <c r="D25" s="19">
        <v>2.6523128974136299E-3</v>
      </c>
      <c r="E25" s="18"/>
      <c r="F25" s="19"/>
      <c r="G25" s="18"/>
      <c r="H25" s="19"/>
      <c r="I25" s="18"/>
      <c r="J25" s="19"/>
      <c r="K25" s="18"/>
      <c r="L25" s="19"/>
      <c r="M25" s="18"/>
      <c r="N25" s="19"/>
      <c r="O25" s="18"/>
      <c r="P25" s="19"/>
      <c r="Q25" s="18"/>
      <c r="R25" s="19"/>
      <c r="S25" s="18"/>
      <c r="T25" s="19"/>
      <c r="U25" s="18"/>
      <c r="V25" s="19"/>
      <c r="W25" s="18"/>
      <c r="X25" s="19"/>
      <c r="Y25" s="18"/>
      <c r="Z25" s="19"/>
      <c r="AA25" s="18"/>
      <c r="AB25" s="19"/>
      <c r="AC25" s="18"/>
      <c r="AD25" s="19"/>
      <c r="AE25" s="18"/>
      <c r="AF25" s="19"/>
      <c r="AG25" s="18"/>
      <c r="AH25" s="19"/>
      <c r="AI25" s="18"/>
      <c r="AJ25" s="19"/>
      <c r="AK25" s="18"/>
      <c r="AL25" s="19"/>
      <c r="AM25" s="18"/>
      <c r="AN25" s="19"/>
      <c r="AO25" s="18"/>
      <c r="AP25" s="19"/>
      <c r="AQ25" s="18"/>
      <c r="AR25" s="19"/>
      <c r="AS25" s="18"/>
      <c r="AT25" s="19"/>
      <c r="AU25" s="18"/>
      <c r="AV25" s="19"/>
      <c r="AW25" s="18"/>
      <c r="AX25" s="19"/>
      <c r="AY25" s="18"/>
      <c r="AZ25" s="19"/>
      <c r="BA25" s="18"/>
      <c r="BB25" s="19"/>
      <c r="BC25" s="18"/>
      <c r="BD25" s="19"/>
      <c r="BE25" s="18"/>
      <c r="BF25" s="19"/>
      <c r="BG25" s="18"/>
      <c r="BH25" s="19"/>
    </row>
    <row r="26" spans="1:60" x14ac:dyDescent="0.15">
      <c r="A26" s="17">
        <v>1983</v>
      </c>
      <c r="B26" s="17">
        <v>3</v>
      </c>
      <c r="C26" s="18">
        <v>92925.3151669293</v>
      </c>
      <c r="D26" s="19">
        <v>5.2287376951640797E-3</v>
      </c>
      <c r="E26" s="18"/>
      <c r="F26" s="19"/>
      <c r="G26" s="18"/>
      <c r="H26" s="19"/>
      <c r="I26" s="18"/>
      <c r="J26" s="19"/>
      <c r="K26" s="18"/>
      <c r="L26" s="19"/>
      <c r="M26" s="18"/>
      <c r="N26" s="19"/>
      <c r="O26" s="18"/>
      <c r="P26" s="19"/>
      <c r="Q26" s="18"/>
      <c r="R26" s="19"/>
      <c r="S26" s="18"/>
      <c r="T26" s="19"/>
      <c r="U26" s="18"/>
      <c r="V26" s="19"/>
      <c r="W26" s="18"/>
      <c r="X26" s="19"/>
      <c r="Y26" s="18"/>
      <c r="Z26" s="19"/>
      <c r="AA26" s="18"/>
      <c r="AB26" s="19"/>
      <c r="AC26" s="18"/>
      <c r="AD26" s="19"/>
      <c r="AE26" s="18"/>
      <c r="AF26" s="19"/>
      <c r="AG26" s="18"/>
      <c r="AH26" s="19"/>
      <c r="AI26" s="18"/>
      <c r="AJ26" s="19"/>
      <c r="AK26" s="18"/>
      <c r="AL26" s="19"/>
      <c r="AM26" s="18"/>
      <c r="AN26" s="19"/>
      <c r="AO26" s="18"/>
      <c r="AP26" s="19"/>
      <c r="AQ26" s="18"/>
      <c r="AR26" s="19"/>
      <c r="AS26" s="18"/>
      <c r="AT26" s="19"/>
      <c r="AU26" s="18"/>
      <c r="AV26" s="19"/>
      <c r="AW26" s="18"/>
      <c r="AX26" s="19"/>
      <c r="AY26" s="18"/>
      <c r="AZ26" s="19"/>
      <c r="BA26" s="18"/>
      <c r="BB26" s="19"/>
      <c r="BC26" s="18"/>
      <c r="BD26" s="19"/>
      <c r="BE26" s="18"/>
      <c r="BF26" s="19"/>
      <c r="BG26" s="18"/>
      <c r="BH26" s="19"/>
    </row>
    <row r="27" spans="1:60" x14ac:dyDescent="0.15">
      <c r="A27" s="17">
        <v>1983</v>
      </c>
      <c r="B27" s="17">
        <v>4</v>
      </c>
      <c r="C27" s="18">
        <v>93462.174952049303</v>
      </c>
      <c r="D27" s="19">
        <v>5.7773254161748201E-3</v>
      </c>
      <c r="E27" s="18"/>
      <c r="F27" s="19"/>
      <c r="G27" s="18"/>
      <c r="H27" s="19"/>
      <c r="I27" s="18"/>
      <c r="J27" s="19"/>
      <c r="K27" s="18"/>
      <c r="L27" s="19"/>
      <c r="M27" s="18"/>
      <c r="N27" s="19"/>
      <c r="O27" s="18"/>
      <c r="P27" s="19"/>
      <c r="Q27" s="18"/>
      <c r="R27" s="19"/>
      <c r="S27" s="18"/>
      <c r="T27" s="19"/>
      <c r="U27" s="18"/>
      <c r="V27" s="19"/>
      <c r="W27" s="18"/>
      <c r="X27" s="19"/>
      <c r="Y27" s="18"/>
      <c r="Z27" s="19"/>
      <c r="AA27" s="18"/>
      <c r="AB27" s="19"/>
      <c r="AC27" s="18"/>
      <c r="AD27" s="19"/>
      <c r="AE27" s="18"/>
      <c r="AF27" s="19"/>
      <c r="AG27" s="18"/>
      <c r="AH27" s="19"/>
      <c r="AI27" s="18"/>
      <c r="AJ27" s="19"/>
      <c r="AK27" s="18"/>
      <c r="AL27" s="19"/>
      <c r="AM27" s="18"/>
      <c r="AN27" s="19"/>
      <c r="AO27" s="18"/>
      <c r="AP27" s="19"/>
      <c r="AQ27" s="18"/>
      <c r="AR27" s="19"/>
      <c r="AS27" s="18"/>
      <c r="AT27" s="19"/>
      <c r="AU27" s="18"/>
      <c r="AV27" s="19"/>
      <c r="AW27" s="18"/>
      <c r="AX27" s="19"/>
      <c r="AY27" s="18"/>
      <c r="AZ27" s="19"/>
      <c r="BA27" s="18"/>
      <c r="BB27" s="19"/>
      <c r="BC27" s="18"/>
      <c r="BD27" s="19"/>
      <c r="BE27" s="18"/>
      <c r="BF27" s="19"/>
      <c r="BG27" s="18"/>
      <c r="BH27" s="19"/>
    </row>
    <row r="28" spans="1:60" x14ac:dyDescent="0.15">
      <c r="A28" s="17">
        <v>1984</v>
      </c>
      <c r="B28" s="17">
        <v>1</v>
      </c>
      <c r="C28" s="18">
        <v>94170.573556671094</v>
      </c>
      <c r="D28" s="19">
        <v>7.5795219294356696E-3</v>
      </c>
      <c r="E28" s="18"/>
      <c r="F28" s="19"/>
      <c r="G28" s="18"/>
      <c r="H28" s="19"/>
      <c r="I28" s="18"/>
      <c r="J28" s="19"/>
      <c r="K28" s="18"/>
      <c r="L28" s="19"/>
      <c r="M28" s="18"/>
      <c r="N28" s="19"/>
      <c r="O28" s="18"/>
      <c r="P28" s="19"/>
      <c r="Q28" s="18"/>
      <c r="R28" s="19"/>
      <c r="S28" s="18"/>
      <c r="T28" s="19"/>
      <c r="U28" s="18"/>
      <c r="V28" s="19"/>
      <c r="W28" s="18"/>
      <c r="X28" s="19"/>
      <c r="Y28" s="18"/>
      <c r="Z28" s="19"/>
      <c r="AA28" s="18"/>
      <c r="AB28" s="19"/>
      <c r="AC28" s="18"/>
      <c r="AD28" s="19"/>
      <c r="AE28" s="18"/>
      <c r="AF28" s="19"/>
      <c r="AG28" s="18"/>
      <c r="AH28" s="19"/>
      <c r="AI28" s="18"/>
      <c r="AJ28" s="19"/>
      <c r="AK28" s="18"/>
      <c r="AL28" s="19"/>
      <c r="AM28" s="18"/>
      <c r="AN28" s="19"/>
      <c r="AO28" s="18"/>
      <c r="AP28" s="19"/>
      <c r="AQ28" s="18"/>
      <c r="AR28" s="19"/>
      <c r="AS28" s="18"/>
      <c r="AT28" s="19"/>
      <c r="AU28" s="18"/>
      <c r="AV28" s="19"/>
      <c r="AW28" s="18"/>
      <c r="AX28" s="19"/>
      <c r="AY28" s="18"/>
      <c r="AZ28" s="19"/>
      <c r="BA28" s="18"/>
      <c r="BB28" s="19"/>
      <c r="BC28" s="18"/>
      <c r="BD28" s="19"/>
      <c r="BE28" s="18"/>
      <c r="BF28" s="19"/>
      <c r="BG28" s="18"/>
      <c r="BH28" s="19"/>
    </row>
    <row r="29" spans="1:60" x14ac:dyDescent="0.15">
      <c r="A29" s="17">
        <v>1984</v>
      </c>
      <c r="B29" s="17">
        <v>2</v>
      </c>
      <c r="C29" s="18">
        <v>94841.714355689706</v>
      </c>
      <c r="D29" s="19">
        <v>7.1268632405083699E-3</v>
      </c>
      <c r="E29" s="18"/>
      <c r="F29" s="19"/>
      <c r="G29" s="18"/>
      <c r="H29" s="19"/>
      <c r="I29" s="18"/>
      <c r="J29" s="19"/>
      <c r="K29" s="18"/>
      <c r="L29" s="19"/>
      <c r="M29" s="18"/>
      <c r="N29" s="19"/>
      <c r="O29" s="18"/>
      <c r="P29" s="19"/>
      <c r="Q29" s="18"/>
      <c r="R29" s="19"/>
      <c r="S29" s="18"/>
      <c r="T29" s="19"/>
      <c r="U29" s="18"/>
      <c r="V29" s="19"/>
      <c r="W29" s="18"/>
      <c r="X29" s="19"/>
      <c r="Y29" s="18"/>
      <c r="Z29" s="19"/>
      <c r="AA29" s="18"/>
      <c r="AB29" s="19"/>
      <c r="AC29" s="18"/>
      <c r="AD29" s="19"/>
      <c r="AE29" s="18"/>
      <c r="AF29" s="19"/>
      <c r="AG29" s="18"/>
      <c r="AH29" s="19"/>
      <c r="AI29" s="18"/>
      <c r="AJ29" s="19"/>
      <c r="AK29" s="18"/>
      <c r="AL29" s="19"/>
      <c r="AM29" s="18"/>
      <c r="AN29" s="19"/>
      <c r="AO29" s="18"/>
      <c r="AP29" s="19"/>
      <c r="AQ29" s="18"/>
      <c r="AR29" s="19"/>
      <c r="AS29" s="18"/>
      <c r="AT29" s="19"/>
      <c r="AU29" s="18"/>
      <c r="AV29" s="19"/>
      <c r="AW29" s="18"/>
      <c r="AX29" s="19"/>
      <c r="AY29" s="18"/>
      <c r="AZ29" s="19"/>
      <c r="BA29" s="18"/>
      <c r="BB29" s="19"/>
      <c r="BC29" s="18"/>
      <c r="BD29" s="19"/>
      <c r="BE29" s="18"/>
      <c r="BF29" s="19"/>
      <c r="BG29" s="18"/>
      <c r="BH29" s="19"/>
    </row>
    <row r="30" spans="1:60" x14ac:dyDescent="0.15">
      <c r="A30" s="17">
        <v>1984</v>
      </c>
      <c r="B30" s="17">
        <v>3</v>
      </c>
      <c r="C30" s="18">
        <v>96175.0718029907</v>
      </c>
      <c r="D30" s="19">
        <v>1.40587657694637E-2</v>
      </c>
      <c r="E30" s="18"/>
      <c r="F30" s="19"/>
      <c r="G30" s="18"/>
      <c r="H30" s="19"/>
      <c r="I30" s="18"/>
      <c r="J30" s="19"/>
      <c r="K30" s="18"/>
      <c r="L30" s="19"/>
      <c r="M30" s="18"/>
      <c r="N30" s="19"/>
      <c r="O30" s="18"/>
      <c r="P30" s="19"/>
      <c r="Q30" s="18"/>
      <c r="R30" s="19"/>
      <c r="S30" s="18"/>
      <c r="T30" s="19"/>
      <c r="U30" s="18"/>
      <c r="V30" s="19"/>
      <c r="W30" s="18"/>
      <c r="X30" s="19"/>
      <c r="Y30" s="18"/>
      <c r="Z30" s="19"/>
      <c r="AA30" s="18"/>
      <c r="AB30" s="19"/>
      <c r="AC30" s="18"/>
      <c r="AD30" s="19"/>
      <c r="AE30" s="18"/>
      <c r="AF30" s="19"/>
      <c r="AG30" s="18"/>
      <c r="AH30" s="19"/>
      <c r="AI30" s="18"/>
      <c r="AJ30" s="19"/>
      <c r="AK30" s="18"/>
      <c r="AL30" s="19"/>
      <c r="AM30" s="18"/>
      <c r="AN30" s="19"/>
      <c r="AO30" s="18"/>
      <c r="AP30" s="19"/>
      <c r="AQ30" s="18"/>
      <c r="AR30" s="19"/>
      <c r="AS30" s="18"/>
      <c r="AT30" s="19"/>
      <c r="AU30" s="18"/>
      <c r="AV30" s="19"/>
      <c r="AW30" s="18"/>
      <c r="AX30" s="19"/>
      <c r="AY30" s="18"/>
      <c r="AZ30" s="19"/>
      <c r="BA30" s="18"/>
      <c r="BB30" s="19"/>
      <c r="BC30" s="18"/>
      <c r="BD30" s="19"/>
      <c r="BE30" s="18"/>
      <c r="BF30" s="19"/>
      <c r="BG30" s="18"/>
      <c r="BH30" s="19"/>
    </row>
    <row r="31" spans="1:60" x14ac:dyDescent="0.15">
      <c r="A31" s="17">
        <v>1984</v>
      </c>
      <c r="B31" s="17">
        <v>4</v>
      </c>
      <c r="C31" s="18">
        <v>96921.912903546894</v>
      </c>
      <c r="D31" s="19">
        <v>7.7654332516228202E-3</v>
      </c>
      <c r="E31" s="18"/>
      <c r="F31" s="19"/>
      <c r="G31" s="18"/>
      <c r="H31" s="19"/>
      <c r="I31" s="18"/>
      <c r="J31" s="19"/>
      <c r="K31" s="18"/>
      <c r="L31" s="19"/>
      <c r="M31" s="18"/>
      <c r="N31" s="19"/>
      <c r="O31" s="18"/>
      <c r="P31" s="19"/>
      <c r="Q31" s="18"/>
      <c r="R31" s="19"/>
      <c r="S31" s="18"/>
      <c r="T31" s="19"/>
      <c r="U31" s="18"/>
      <c r="V31" s="19"/>
      <c r="W31" s="18"/>
      <c r="X31" s="19"/>
      <c r="Y31" s="18"/>
      <c r="Z31" s="19"/>
      <c r="AA31" s="18"/>
      <c r="AB31" s="19"/>
      <c r="AC31" s="18"/>
      <c r="AD31" s="19"/>
      <c r="AE31" s="18"/>
      <c r="AF31" s="19"/>
      <c r="AG31" s="18"/>
      <c r="AH31" s="19"/>
      <c r="AI31" s="18"/>
      <c r="AJ31" s="19"/>
      <c r="AK31" s="18"/>
      <c r="AL31" s="19"/>
      <c r="AM31" s="18"/>
      <c r="AN31" s="19"/>
      <c r="AO31" s="18"/>
      <c r="AP31" s="19"/>
      <c r="AQ31" s="18"/>
      <c r="AR31" s="19"/>
      <c r="AS31" s="18"/>
      <c r="AT31" s="19"/>
      <c r="AU31" s="18"/>
      <c r="AV31" s="19"/>
      <c r="AW31" s="18"/>
      <c r="AX31" s="19"/>
      <c r="AY31" s="18"/>
      <c r="AZ31" s="19"/>
      <c r="BA31" s="18"/>
      <c r="BB31" s="19"/>
      <c r="BC31" s="18"/>
      <c r="BD31" s="19"/>
      <c r="BE31" s="18"/>
      <c r="BF31" s="19"/>
      <c r="BG31" s="18"/>
      <c r="BH31" s="19"/>
    </row>
    <row r="32" spans="1:60" x14ac:dyDescent="0.15">
      <c r="A32" s="17">
        <v>1985</v>
      </c>
      <c r="B32" s="17">
        <v>1</v>
      </c>
      <c r="C32" s="18">
        <v>98102.682807440506</v>
      </c>
      <c r="D32" s="19">
        <v>1.21826929382691E-2</v>
      </c>
      <c r="E32" s="18"/>
      <c r="F32" s="19"/>
      <c r="G32" s="18"/>
      <c r="H32" s="19"/>
      <c r="I32" s="18"/>
      <c r="J32" s="19"/>
      <c r="K32" s="18"/>
      <c r="L32" s="19"/>
      <c r="M32" s="18"/>
      <c r="N32" s="19"/>
      <c r="O32" s="18"/>
      <c r="P32" s="19"/>
      <c r="Q32" s="18"/>
      <c r="R32" s="19"/>
      <c r="S32" s="18"/>
      <c r="T32" s="19"/>
      <c r="U32" s="18"/>
      <c r="V32" s="19"/>
      <c r="W32" s="18"/>
      <c r="X32" s="19"/>
      <c r="Y32" s="18"/>
      <c r="Z32" s="19"/>
      <c r="AA32" s="18"/>
      <c r="AB32" s="19"/>
      <c r="AC32" s="18"/>
      <c r="AD32" s="19"/>
      <c r="AE32" s="18"/>
      <c r="AF32" s="19"/>
      <c r="AG32" s="18"/>
      <c r="AH32" s="19"/>
      <c r="AI32" s="18"/>
      <c r="AJ32" s="19"/>
      <c r="AK32" s="18"/>
      <c r="AL32" s="19"/>
      <c r="AM32" s="18"/>
      <c r="AN32" s="19"/>
      <c r="AO32" s="18"/>
      <c r="AP32" s="19"/>
      <c r="AQ32" s="18"/>
      <c r="AR32" s="19"/>
      <c r="AS32" s="18"/>
      <c r="AT32" s="19"/>
      <c r="AU32" s="18"/>
      <c r="AV32" s="19"/>
      <c r="AW32" s="18"/>
      <c r="AX32" s="19"/>
      <c r="AY32" s="18"/>
      <c r="AZ32" s="19"/>
      <c r="BA32" s="18"/>
      <c r="BB32" s="19"/>
      <c r="BC32" s="18"/>
      <c r="BD32" s="19"/>
      <c r="BE32" s="18"/>
      <c r="BF32" s="19"/>
      <c r="BG32" s="18"/>
      <c r="BH32" s="19"/>
    </row>
    <row r="33" spans="1:60" x14ac:dyDescent="0.15">
      <c r="A33" s="17">
        <v>1985</v>
      </c>
      <c r="B33" s="17">
        <v>2</v>
      </c>
      <c r="C33" s="18">
        <v>98840.163143153404</v>
      </c>
      <c r="D33" s="19">
        <v>7.5174329040574896E-3</v>
      </c>
      <c r="E33" s="18"/>
      <c r="F33" s="19"/>
      <c r="G33" s="18"/>
      <c r="H33" s="19"/>
      <c r="I33" s="18"/>
      <c r="J33" s="19"/>
      <c r="K33" s="18"/>
      <c r="L33" s="19"/>
      <c r="M33" s="18"/>
      <c r="N33" s="19"/>
      <c r="O33" s="18"/>
      <c r="P33" s="19"/>
      <c r="Q33" s="18"/>
      <c r="R33" s="19"/>
      <c r="S33" s="18"/>
      <c r="T33" s="19"/>
      <c r="U33" s="18"/>
      <c r="V33" s="19"/>
      <c r="W33" s="18"/>
      <c r="X33" s="19"/>
      <c r="Y33" s="18"/>
      <c r="Z33" s="19"/>
      <c r="AA33" s="18"/>
      <c r="AB33" s="19"/>
      <c r="AC33" s="18"/>
      <c r="AD33" s="19"/>
      <c r="AE33" s="18"/>
      <c r="AF33" s="19"/>
      <c r="AG33" s="18"/>
      <c r="AH33" s="19"/>
      <c r="AI33" s="18"/>
      <c r="AJ33" s="19"/>
      <c r="AK33" s="18"/>
      <c r="AL33" s="19"/>
      <c r="AM33" s="18"/>
      <c r="AN33" s="19"/>
      <c r="AO33" s="18"/>
      <c r="AP33" s="19"/>
      <c r="AQ33" s="18"/>
      <c r="AR33" s="19"/>
      <c r="AS33" s="18"/>
      <c r="AT33" s="19"/>
      <c r="AU33" s="18"/>
      <c r="AV33" s="19"/>
      <c r="AW33" s="18"/>
      <c r="AX33" s="19"/>
      <c r="AY33" s="18"/>
      <c r="AZ33" s="19"/>
      <c r="BA33" s="18"/>
      <c r="BB33" s="19"/>
      <c r="BC33" s="18"/>
      <c r="BD33" s="19"/>
      <c r="BE33" s="18"/>
      <c r="BF33" s="19"/>
      <c r="BG33" s="18"/>
      <c r="BH33" s="19"/>
    </row>
    <row r="34" spans="1:60" x14ac:dyDescent="0.15">
      <c r="A34" s="17">
        <v>1985</v>
      </c>
      <c r="B34" s="17">
        <v>3</v>
      </c>
      <c r="C34" s="18">
        <v>99167.191629187102</v>
      </c>
      <c r="D34" s="19">
        <v>3.3086599175276002E-3</v>
      </c>
      <c r="E34" s="18"/>
      <c r="F34" s="19"/>
      <c r="G34" s="18"/>
      <c r="H34" s="19"/>
      <c r="I34" s="18"/>
      <c r="J34" s="19"/>
      <c r="K34" s="18"/>
      <c r="L34" s="19"/>
      <c r="M34" s="18"/>
      <c r="N34" s="19"/>
      <c r="O34" s="18"/>
      <c r="P34" s="19"/>
      <c r="Q34" s="18"/>
      <c r="R34" s="19"/>
      <c r="S34" s="18"/>
      <c r="T34" s="19"/>
      <c r="U34" s="18"/>
      <c r="V34" s="19"/>
      <c r="W34" s="18"/>
      <c r="X34" s="19"/>
      <c r="Y34" s="18"/>
      <c r="Z34" s="19"/>
      <c r="AA34" s="18"/>
      <c r="AB34" s="19"/>
      <c r="AC34" s="18"/>
      <c r="AD34" s="19"/>
      <c r="AE34" s="18"/>
      <c r="AF34" s="19"/>
      <c r="AG34" s="18"/>
      <c r="AH34" s="19"/>
      <c r="AI34" s="18"/>
      <c r="AJ34" s="19"/>
      <c r="AK34" s="18"/>
      <c r="AL34" s="19"/>
      <c r="AM34" s="18"/>
      <c r="AN34" s="19"/>
      <c r="AO34" s="18"/>
      <c r="AP34" s="19"/>
      <c r="AQ34" s="18"/>
      <c r="AR34" s="19"/>
      <c r="AS34" s="18"/>
      <c r="AT34" s="19"/>
      <c r="AU34" s="18"/>
      <c r="AV34" s="19"/>
      <c r="AW34" s="18"/>
      <c r="AX34" s="19"/>
      <c r="AY34" s="18"/>
      <c r="AZ34" s="19"/>
      <c r="BA34" s="18"/>
      <c r="BB34" s="19"/>
      <c r="BC34" s="18"/>
      <c r="BD34" s="19"/>
      <c r="BE34" s="18"/>
      <c r="BF34" s="19"/>
      <c r="BG34" s="18"/>
      <c r="BH34" s="19"/>
    </row>
    <row r="35" spans="1:60" x14ac:dyDescent="0.15">
      <c r="A35" s="17">
        <v>1985</v>
      </c>
      <c r="B35" s="17">
        <v>4</v>
      </c>
      <c r="C35" s="18">
        <v>100355.926973708</v>
      </c>
      <c r="D35" s="19">
        <v>1.19871837146106E-2</v>
      </c>
      <c r="E35" s="18"/>
      <c r="F35" s="19"/>
      <c r="G35" s="18"/>
      <c r="H35" s="19"/>
      <c r="I35" s="18"/>
      <c r="J35" s="19"/>
      <c r="K35" s="18"/>
      <c r="L35" s="19"/>
      <c r="M35" s="18"/>
      <c r="N35" s="19"/>
      <c r="O35" s="18"/>
      <c r="P35" s="19"/>
      <c r="Q35" s="18"/>
      <c r="R35" s="19"/>
      <c r="S35" s="18"/>
      <c r="T35" s="19"/>
      <c r="U35" s="18"/>
      <c r="V35" s="19"/>
      <c r="W35" s="18"/>
      <c r="X35" s="19"/>
      <c r="Y35" s="18"/>
      <c r="Z35" s="19"/>
      <c r="AA35" s="18"/>
      <c r="AB35" s="19"/>
      <c r="AC35" s="18"/>
      <c r="AD35" s="19"/>
      <c r="AE35" s="18"/>
      <c r="AF35" s="19"/>
      <c r="AG35" s="18"/>
      <c r="AH35" s="19"/>
      <c r="AI35" s="18"/>
      <c r="AJ35" s="19"/>
      <c r="AK35" s="18"/>
      <c r="AL35" s="19"/>
      <c r="AM35" s="18"/>
      <c r="AN35" s="19"/>
      <c r="AO35" s="18"/>
      <c r="AP35" s="19"/>
      <c r="AQ35" s="18"/>
      <c r="AR35" s="19"/>
      <c r="AS35" s="18"/>
      <c r="AT35" s="19"/>
      <c r="AU35" s="18"/>
      <c r="AV35" s="19"/>
      <c r="AW35" s="18"/>
      <c r="AX35" s="19"/>
      <c r="AY35" s="18"/>
      <c r="AZ35" s="19"/>
      <c r="BA35" s="18"/>
      <c r="BB35" s="19"/>
      <c r="BC35" s="18"/>
      <c r="BD35" s="19"/>
      <c r="BE35" s="18"/>
      <c r="BF35" s="19"/>
      <c r="BG35" s="18"/>
      <c r="BH35" s="19"/>
    </row>
    <row r="36" spans="1:60" x14ac:dyDescent="0.15">
      <c r="A36" s="17">
        <v>1986</v>
      </c>
      <c r="B36" s="17">
        <v>1</v>
      </c>
      <c r="C36" s="18">
        <v>100590.395586584</v>
      </c>
      <c r="D36" s="19">
        <v>2.3363703564553999E-3</v>
      </c>
      <c r="E36" s="18"/>
      <c r="F36" s="19"/>
      <c r="G36" s="18"/>
      <c r="H36" s="19"/>
      <c r="I36" s="18"/>
      <c r="J36" s="19"/>
      <c r="K36" s="18"/>
      <c r="L36" s="19"/>
      <c r="M36" s="18"/>
      <c r="N36" s="19"/>
      <c r="O36" s="18"/>
      <c r="P36" s="19"/>
      <c r="Q36" s="18"/>
      <c r="R36" s="19"/>
      <c r="S36" s="18"/>
      <c r="T36" s="19"/>
      <c r="U36" s="18"/>
      <c r="V36" s="19"/>
      <c r="W36" s="18"/>
      <c r="X36" s="19"/>
      <c r="Y36" s="18"/>
      <c r="Z36" s="19"/>
      <c r="AA36" s="18"/>
      <c r="AB36" s="19"/>
      <c r="AC36" s="18"/>
      <c r="AD36" s="19"/>
      <c r="AE36" s="18"/>
      <c r="AF36" s="19"/>
      <c r="AG36" s="18"/>
      <c r="AH36" s="19"/>
      <c r="AI36" s="18"/>
      <c r="AJ36" s="19"/>
      <c r="AK36" s="18"/>
      <c r="AL36" s="19"/>
      <c r="AM36" s="18"/>
      <c r="AN36" s="19"/>
      <c r="AO36" s="18"/>
      <c r="AP36" s="19"/>
      <c r="AQ36" s="18"/>
      <c r="AR36" s="19"/>
      <c r="AS36" s="18"/>
      <c r="AT36" s="19"/>
      <c r="AU36" s="18"/>
      <c r="AV36" s="19"/>
      <c r="AW36" s="18"/>
      <c r="AX36" s="19"/>
      <c r="AY36" s="18"/>
      <c r="AZ36" s="19"/>
      <c r="BA36" s="18"/>
      <c r="BB36" s="19"/>
      <c r="BC36" s="18"/>
      <c r="BD36" s="19"/>
      <c r="BE36" s="18"/>
      <c r="BF36" s="19"/>
      <c r="BG36" s="18"/>
      <c r="BH36" s="19"/>
    </row>
    <row r="37" spans="1:60" x14ac:dyDescent="0.15">
      <c r="A37" s="17">
        <v>1986</v>
      </c>
      <c r="B37" s="17">
        <v>2</v>
      </c>
      <c r="C37" s="18">
        <v>101074.10417974601</v>
      </c>
      <c r="D37" s="19">
        <v>4.8086956049977498E-3</v>
      </c>
      <c r="E37" s="18"/>
      <c r="F37" s="19"/>
      <c r="G37" s="18"/>
      <c r="H37" s="19"/>
      <c r="I37" s="18"/>
      <c r="J37" s="19"/>
      <c r="K37" s="18"/>
      <c r="L37" s="19"/>
      <c r="M37" s="18"/>
      <c r="N37" s="19"/>
      <c r="O37" s="18"/>
      <c r="P37" s="19"/>
      <c r="Q37" s="18"/>
      <c r="R37" s="19"/>
      <c r="S37" s="18"/>
      <c r="T37" s="19"/>
      <c r="U37" s="18"/>
      <c r="V37" s="19"/>
      <c r="W37" s="18"/>
      <c r="X37" s="19"/>
      <c r="Y37" s="18"/>
      <c r="Z37" s="19"/>
      <c r="AA37" s="18"/>
      <c r="AB37" s="19"/>
      <c r="AC37" s="18"/>
      <c r="AD37" s="19"/>
      <c r="AE37" s="18"/>
      <c r="AF37" s="19"/>
      <c r="AG37" s="18"/>
      <c r="AH37" s="19"/>
      <c r="AI37" s="18"/>
      <c r="AJ37" s="19"/>
      <c r="AK37" s="18"/>
      <c r="AL37" s="19"/>
      <c r="AM37" s="18"/>
      <c r="AN37" s="19"/>
      <c r="AO37" s="18"/>
      <c r="AP37" s="19"/>
      <c r="AQ37" s="18"/>
      <c r="AR37" s="19"/>
      <c r="AS37" s="18"/>
      <c r="AT37" s="19"/>
      <c r="AU37" s="18"/>
      <c r="AV37" s="19"/>
      <c r="AW37" s="18"/>
      <c r="AX37" s="19"/>
      <c r="AY37" s="18"/>
      <c r="AZ37" s="19"/>
      <c r="BA37" s="18"/>
      <c r="BB37" s="19"/>
      <c r="BC37" s="18"/>
      <c r="BD37" s="19"/>
      <c r="BE37" s="18"/>
      <c r="BF37" s="19"/>
      <c r="BG37" s="18"/>
      <c r="BH37" s="19"/>
    </row>
    <row r="38" spans="1:60" x14ac:dyDescent="0.15">
      <c r="A38" s="17">
        <v>1986</v>
      </c>
      <c r="B38" s="17">
        <v>3</v>
      </c>
      <c r="C38" s="18">
        <v>101089.271052421</v>
      </c>
      <c r="D38" s="19">
        <v>1.5005695868231E-4</v>
      </c>
      <c r="E38" s="18"/>
      <c r="F38" s="19"/>
      <c r="G38" s="18"/>
      <c r="H38" s="19"/>
      <c r="I38" s="18"/>
      <c r="J38" s="19"/>
      <c r="K38" s="18"/>
      <c r="L38" s="19"/>
      <c r="M38" s="18"/>
      <c r="N38" s="19"/>
      <c r="O38" s="18"/>
      <c r="P38" s="19"/>
      <c r="Q38" s="18"/>
      <c r="R38" s="19"/>
      <c r="S38" s="18"/>
      <c r="T38" s="19"/>
      <c r="U38" s="18"/>
      <c r="V38" s="19"/>
      <c r="W38" s="18"/>
      <c r="X38" s="19"/>
      <c r="Y38" s="18"/>
      <c r="Z38" s="19"/>
      <c r="AA38" s="18"/>
      <c r="AB38" s="19"/>
      <c r="AC38" s="18"/>
      <c r="AD38" s="19"/>
      <c r="AE38" s="18"/>
      <c r="AF38" s="19"/>
      <c r="AG38" s="18"/>
      <c r="AH38" s="19"/>
      <c r="AI38" s="18"/>
      <c r="AJ38" s="19"/>
      <c r="AK38" s="18"/>
      <c r="AL38" s="19"/>
      <c r="AM38" s="18"/>
      <c r="AN38" s="19"/>
      <c r="AO38" s="18"/>
      <c r="AP38" s="19"/>
      <c r="AQ38" s="18"/>
      <c r="AR38" s="19"/>
      <c r="AS38" s="18"/>
      <c r="AT38" s="19"/>
      <c r="AU38" s="18"/>
      <c r="AV38" s="19"/>
      <c r="AW38" s="18"/>
      <c r="AX38" s="19"/>
      <c r="AY38" s="18"/>
      <c r="AZ38" s="19"/>
      <c r="BA38" s="18"/>
      <c r="BB38" s="19"/>
      <c r="BC38" s="18"/>
      <c r="BD38" s="19"/>
      <c r="BE38" s="18"/>
      <c r="BF38" s="19"/>
      <c r="BG38" s="18"/>
      <c r="BH38" s="19"/>
    </row>
    <row r="39" spans="1:60" x14ac:dyDescent="0.15">
      <c r="A39" s="17">
        <v>1986</v>
      </c>
      <c r="B39" s="17">
        <v>4</v>
      </c>
      <c r="C39" s="18">
        <v>100995.248811867</v>
      </c>
      <c r="D39" s="19">
        <v>-9.3009119143416797E-4</v>
      </c>
      <c r="E39" s="18"/>
      <c r="F39" s="19"/>
      <c r="G39" s="18"/>
      <c r="H39" s="19"/>
      <c r="I39" s="18"/>
      <c r="J39" s="19"/>
      <c r="K39" s="18"/>
      <c r="L39" s="19"/>
      <c r="M39" s="18"/>
      <c r="N39" s="19"/>
      <c r="O39" s="18"/>
      <c r="P39" s="19"/>
      <c r="Q39" s="18"/>
      <c r="R39" s="19"/>
      <c r="S39" s="18"/>
      <c r="T39" s="19"/>
      <c r="U39" s="18"/>
      <c r="V39" s="19"/>
      <c r="W39" s="18"/>
      <c r="X39" s="19"/>
      <c r="Y39" s="18"/>
      <c r="Z39" s="19"/>
      <c r="AA39" s="18"/>
      <c r="AB39" s="19"/>
      <c r="AC39" s="18"/>
      <c r="AD39" s="19"/>
      <c r="AE39" s="18"/>
      <c r="AF39" s="19"/>
      <c r="AG39" s="18"/>
      <c r="AH39" s="19"/>
      <c r="AI39" s="18"/>
      <c r="AJ39" s="19"/>
      <c r="AK39" s="18"/>
      <c r="AL39" s="19"/>
      <c r="AM39" s="18"/>
      <c r="AN39" s="19"/>
      <c r="AO39" s="18"/>
      <c r="AP39" s="19"/>
      <c r="AQ39" s="18"/>
      <c r="AR39" s="19"/>
      <c r="AS39" s="18"/>
      <c r="AT39" s="19"/>
      <c r="AU39" s="18"/>
      <c r="AV39" s="19"/>
      <c r="AW39" s="18"/>
      <c r="AX39" s="19"/>
      <c r="AY39" s="18"/>
      <c r="AZ39" s="19"/>
      <c r="BA39" s="18"/>
      <c r="BB39" s="19"/>
      <c r="BC39" s="18"/>
      <c r="BD39" s="19"/>
      <c r="BE39" s="18"/>
      <c r="BF39" s="19"/>
      <c r="BG39" s="18"/>
      <c r="BH39" s="19"/>
    </row>
    <row r="40" spans="1:60" x14ac:dyDescent="0.15">
      <c r="A40" s="17">
        <v>1987</v>
      </c>
      <c r="B40" s="17">
        <v>1</v>
      </c>
      <c r="C40" s="18">
        <v>101162.15218688799</v>
      </c>
      <c r="D40" s="19">
        <v>1.65258640366117E-3</v>
      </c>
      <c r="E40" s="18"/>
      <c r="F40" s="19"/>
      <c r="G40" s="18"/>
      <c r="H40" s="19"/>
      <c r="I40" s="18"/>
      <c r="J40" s="19"/>
      <c r="K40" s="18"/>
      <c r="L40" s="19"/>
      <c r="M40" s="18"/>
      <c r="N40" s="19"/>
      <c r="O40" s="18"/>
      <c r="P40" s="19"/>
      <c r="Q40" s="18"/>
      <c r="R40" s="19"/>
      <c r="S40" s="18"/>
      <c r="T40" s="19"/>
      <c r="U40" s="18"/>
      <c r="V40" s="19"/>
      <c r="W40" s="18"/>
      <c r="X40" s="19"/>
      <c r="Y40" s="18"/>
      <c r="Z40" s="19"/>
      <c r="AA40" s="18"/>
      <c r="AB40" s="19"/>
      <c r="AC40" s="18"/>
      <c r="AD40" s="19"/>
      <c r="AE40" s="18"/>
      <c r="AF40" s="19"/>
      <c r="AG40" s="18"/>
      <c r="AH40" s="19"/>
      <c r="AI40" s="18"/>
      <c r="AJ40" s="19"/>
      <c r="AK40" s="18"/>
      <c r="AL40" s="19"/>
      <c r="AM40" s="18"/>
      <c r="AN40" s="19"/>
      <c r="AO40" s="18"/>
      <c r="AP40" s="19"/>
      <c r="AQ40" s="18"/>
      <c r="AR40" s="19"/>
      <c r="AS40" s="18"/>
      <c r="AT40" s="19"/>
      <c r="AU40" s="18"/>
      <c r="AV40" s="19"/>
      <c r="AW40" s="18"/>
      <c r="AX40" s="19"/>
      <c r="AY40" s="18"/>
      <c r="AZ40" s="19"/>
      <c r="BA40" s="18"/>
      <c r="BB40" s="19"/>
      <c r="BC40" s="18"/>
      <c r="BD40" s="19"/>
      <c r="BE40" s="18"/>
      <c r="BF40" s="19"/>
      <c r="BG40" s="18"/>
      <c r="BH40" s="19"/>
    </row>
    <row r="41" spans="1:60" x14ac:dyDescent="0.15">
      <c r="A41" s="17">
        <v>1987</v>
      </c>
      <c r="B41" s="17">
        <v>2</v>
      </c>
      <c r="C41" s="18">
        <v>101853.88746625801</v>
      </c>
      <c r="D41" s="19">
        <v>6.8378861502715899E-3</v>
      </c>
      <c r="E41" s="18"/>
      <c r="F41" s="19"/>
      <c r="G41" s="18"/>
      <c r="H41" s="19"/>
      <c r="I41" s="18"/>
      <c r="J41" s="19"/>
      <c r="K41" s="18"/>
      <c r="L41" s="19"/>
      <c r="M41" s="18"/>
      <c r="N41" s="19"/>
      <c r="O41" s="18"/>
      <c r="P41" s="19"/>
      <c r="Q41" s="18"/>
      <c r="R41" s="19"/>
      <c r="S41" s="18"/>
      <c r="T41" s="19"/>
      <c r="U41" s="18"/>
      <c r="V41" s="19"/>
      <c r="W41" s="18"/>
      <c r="X41" s="19"/>
      <c r="Y41" s="18"/>
      <c r="Z41" s="19"/>
      <c r="AA41" s="18"/>
      <c r="AB41" s="19"/>
      <c r="AC41" s="18"/>
      <c r="AD41" s="19"/>
      <c r="AE41" s="18"/>
      <c r="AF41" s="19"/>
      <c r="AG41" s="18"/>
      <c r="AH41" s="19"/>
      <c r="AI41" s="18"/>
      <c r="AJ41" s="19"/>
      <c r="AK41" s="18"/>
      <c r="AL41" s="19"/>
      <c r="AM41" s="18"/>
      <c r="AN41" s="19"/>
      <c r="AO41" s="18"/>
      <c r="AP41" s="19"/>
      <c r="AQ41" s="18"/>
      <c r="AR41" s="19"/>
      <c r="AS41" s="18"/>
      <c r="AT41" s="19"/>
      <c r="AU41" s="18"/>
      <c r="AV41" s="19"/>
      <c r="AW41" s="18"/>
      <c r="AX41" s="19"/>
      <c r="AY41" s="18"/>
      <c r="AZ41" s="19"/>
      <c r="BA41" s="18"/>
      <c r="BB41" s="19"/>
      <c r="BC41" s="18"/>
      <c r="BD41" s="19"/>
      <c r="BE41" s="18"/>
      <c r="BF41" s="19"/>
      <c r="BG41" s="18"/>
      <c r="BH41" s="19"/>
    </row>
    <row r="42" spans="1:60" x14ac:dyDescent="0.15">
      <c r="A42" s="17">
        <v>1987</v>
      </c>
      <c r="B42" s="17">
        <v>3</v>
      </c>
      <c r="C42" s="18">
        <v>103247.12888531901</v>
      </c>
      <c r="D42" s="19">
        <v>1.36788241835397E-2</v>
      </c>
      <c r="E42" s="18"/>
      <c r="F42" s="19"/>
      <c r="G42" s="18"/>
      <c r="H42" s="19"/>
      <c r="I42" s="18"/>
      <c r="J42" s="19"/>
      <c r="K42" s="18"/>
      <c r="L42" s="19"/>
      <c r="M42" s="18"/>
      <c r="N42" s="19"/>
      <c r="O42" s="18"/>
      <c r="P42" s="19"/>
      <c r="Q42" s="18"/>
      <c r="R42" s="19"/>
      <c r="S42" s="18"/>
      <c r="T42" s="19"/>
      <c r="U42" s="18"/>
      <c r="V42" s="19"/>
      <c r="W42" s="18"/>
      <c r="X42" s="19"/>
      <c r="Y42" s="18"/>
      <c r="Z42" s="19"/>
      <c r="AA42" s="18"/>
      <c r="AB42" s="19"/>
      <c r="AC42" s="18"/>
      <c r="AD42" s="19"/>
      <c r="AE42" s="18"/>
      <c r="AF42" s="19"/>
      <c r="AG42" s="18"/>
      <c r="AH42" s="19"/>
      <c r="AI42" s="18"/>
      <c r="AJ42" s="19"/>
      <c r="AK42" s="18"/>
      <c r="AL42" s="19"/>
      <c r="AM42" s="18"/>
      <c r="AN42" s="19"/>
      <c r="AO42" s="18"/>
      <c r="AP42" s="19"/>
      <c r="AQ42" s="18"/>
      <c r="AR42" s="19"/>
      <c r="AS42" s="18"/>
      <c r="AT42" s="19"/>
      <c r="AU42" s="18"/>
      <c r="AV42" s="19"/>
      <c r="AW42" s="18"/>
      <c r="AX42" s="19"/>
      <c r="AY42" s="18"/>
      <c r="AZ42" s="19"/>
      <c r="BA42" s="18"/>
      <c r="BB42" s="19"/>
      <c r="BC42" s="18"/>
      <c r="BD42" s="19"/>
      <c r="BE42" s="18"/>
      <c r="BF42" s="19"/>
      <c r="BG42" s="18"/>
      <c r="BH42" s="19"/>
    </row>
    <row r="43" spans="1:60" x14ac:dyDescent="0.15">
      <c r="A43" s="17">
        <v>1987</v>
      </c>
      <c r="B43" s="17">
        <v>4</v>
      </c>
      <c r="C43" s="18">
        <v>103844.921598687</v>
      </c>
      <c r="D43" s="19">
        <v>5.7899209384484297E-3</v>
      </c>
      <c r="E43" s="18"/>
      <c r="F43" s="19"/>
      <c r="G43" s="18"/>
      <c r="H43" s="19"/>
      <c r="I43" s="18"/>
      <c r="J43" s="19"/>
      <c r="K43" s="18"/>
      <c r="L43" s="19"/>
      <c r="M43" s="18"/>
      <c r="N43" s="19"/>
      <c r="O43" s="18"/>
      <c r="P43" s="19"/>
      <c r="Q43" s="18"/>
      <c r="R43" s="19"/>
      <c r="S43" s="18"/>
      <c r="T43" s="19"/>
      <c r="U43" s="18"/>
      <c r="V43" s="19"/>
      <c r="W43" s="18"/>
      <c r="X43" s="19"/>
      <c r="Y43" s="18"/>
      <c r="Z43" s="19"/>
      <c r="AA43" s="18"/>
      <c r="AB43" s="19"/>
      <c r="AC43" s="18"/>
      <c r="AD43" s="19"/>
      <c r="AE43" s="18"/>
      <c r="AF43" s="19"/>
      <c r="AG43" s="18"/>
      <c r="AH43" s="19"/>
      <c r="AI43" s="18"/>
      <c r="AJ43" s="19"/>
      <c r="AK43" s="18"/>
      <c r="AL43" s="19"/>
      <c r="AM43" s="18"/>
      <c r="AN43" s="19"/>
      <c r="AO43" s="18"/>
      <c r="AP43" s="19"/>
      <c r="AQ43" s="18"/>
      <c r="AR43" s="19"/>
      <c r="AS43" s="18"/>
      <c r="AT43" s="19"/>
      <c r="AU43" s="18"/>
      <c r="AV43" s="19"/>
      <c r="AW43" s="18"/>
      <c r="AX43" s="19"/>
      <c r="AY43" s="18"/>
      <c r="AZ43" s="19"/>
      <c r="BA43" s="18"/>
      <c r="BB43" s="19"/>
      <c r="BC43" s="18"/>
      <c r="BD43" s="19"/>
      <c r="BE43" s="18"/>
      <c r="BF43" s="19"/>
      <c r="BG43" s="18"/>
      <c r="BH43" s="19"/>
    </row>
    <row r="44" spans="1:60" x14ac:dyDescent="0.15">
      <c r="A44" s="17">
        <v>1988</v>
      </c>
      <c r="B44" s="17">
        <v>1</v>
      </c>
      <c r="C44" s="18">
        <v>104347.47242717</v>
      </c>
      <c r="D44" s="19">
        <v>4.8394357735213099E-3</v>
      </c>
      <c r="E44" s="18"/>
      <c r="F44" s="19"/>
      <c r="G44" s="18"/>
      <c r="H44" s="19"/>
      <c r="I44" s="18"/>
      <c r="J44" s="19"/>
      <c r="K44" s="18"/>
      <c r="L44" s="19"/>
      <c r="M44" s="18"/>
      <c r="N44" s="19"/>
      <c r="O44" s="18"/>
      <c r="P44" s="19"/>
      <c r="Q44" s="18"/>
      <c r="R44" s="19"/>
      <c r="S44" s="18"/>
      <c r="T44" s="19"/>
      <c r="U44" s="18"/>
      <c r="V44" s="19"/>
      <c r="W44" s="18"/>
      <c r="X44" s="19"/>
      <c r="Y44" s="18"/>
      <c r="Z44" s="19"/>
      <c r="AA44" s="18"/>
      <c r="AB44" s="19"/>
      <c r="AC44" s="18"/>
      <c r="AD44" s="19"/>
      <c r="AE44" s="18"/>
      <c r="AF44" s="19"/>
      <c r="AG44" s="18"/>
      <c r="AH44" s="19"/>
      <c r="AI44" s="18"/>
      <c r="AJ44" s="19"/>
      <c r="AK44" s="18"/>
      <c r="AL44" s="19"/>
      <c r="AM44" s="18"/>
      <c r="AN44" s="19"/>
      <c r="AO44" s="18"/>
      <c r="AP44" s="19"/>
      <c r="AQ44" s="18"/>
      <c r="AR44" s="19"/>
      <c r="AS44" s="18"/>
      <c r="AT44" s="19"/>
      <c r="AU44" s="18"/>
      <c r="AV44" s="19"/>
      <c r="AW44" s="18"/>
      <c r="AX44" s="19"/>
      <c r="AY44" s="18"/>
      <c r="AZ44" s="19"/>
      <c r="BA44" s="18"/>
      <c r="BB44" s="19"/>
      <c r="BC44" s="18"/>
      <c r="BD44" s="19"/>
      <c r="BE44" s="18"/>
      <c r="BF44" s="19"/>
      <c r="BG44" s="18"/>
      <c r="BH44" s="19"/>
    </row>
    <row r="45" spans="1:60" x14ac:dyDescent="0.15">
      <c r="A45" s="17">
        <v>1988</v>
      </c>
      <c r="B45" s="17">
        <v>2</v>
      </c>
      <c r="C45" s="18">
        <v>104867.395887386</v>
      </c>
      <c r="D45" s="19">
        <v>4.9826167143516304E-3</v>
      </c>
      <c r="E45" s="18"/>
      <c r="F45" s="19"/>
      <c r="G45" s="18"/>
      <c r="H45" s="19"/>
      <c r="I45" s="18"/>
      <c r="J45" s="19"/>
      <c r="K45" s="18"/>
      <c r="L45" s="19"/>
      <c r="M45" s="18"/>
      <c r="N45" s="19"/>
      <c r="O45" s="18"/>
      <c r="P45" s="19"/>
      <c r="Q45" s="18"/>
      <c r="R45" s="19"/>
      <c r="S45" s="18"/>
      <c r="T45" s="19"/>
      <c r="U45" s="18"/>
      <c r="V45" s="19"/>
      <c r="W45" s="18"/>
      <c r="X45" s="19"/>
      <c r="Y45" s="18"/>
      <c r="Z45" s="19"/>
      <c r="AA45" s="18"/>
      <c r="AB45" s="19"/>
      <c r="AC45" s="18"/>
      <c r="AD45" s="19"/>
      <c r="AE45" s="18"/>
      <c r="AF45" s="19"/>
      <c r="AG45" s="18"/>
      <c r="AH45" s="19"/>
      <c r="AI45" s="18"/>
      <c r="AJ45" s="19"/>
      <c r="AK45" s="18"/>
      <c r="AL45" s="19"/>
      <c r="AM45" s="18"/>
      <c r="AN45" s="19"/>
      <c r="AO45" s="18"/>
      <c r="AP45" s="19"/>
      <c r="AQ45" s="18"/>
      <c r="AR45" s="19"/>
      <c r="AS45" s="18"/>
      <c r="AT45" s="19"/>
      <c r="AU45" s="18"/>
      <c r="AV45" s="19"/>
      <c r="AW45" s="18"/>
      <c r="AX45" s="19"/>
      <c r="AY45" s="18"/>
      <c r="AZ45" s="19"/>
      <c r="BA45" s="18"/>
      <c r="BB45" s="19"/>
      <c r="BC45" s="18"/>
      <c r="BD45" s="19"/>
      <c r="BE45" s="18"/>
      <c r="BF45" s="19"/>
      <c r="BG45" s="18"/>
      <c r="BH45" s="19"/>
    </row>
    <row r="46" spans="1:60" x14ac:dyDescent="0.15">
      <c r="A46" s="17">
        <v>1988</v>
      </c>
      <c r="B46" s="17">
        <v>3</v>
      </c>
      <c r="C46" s="18">
        <v>106090.33283089301</v>
      </c>
      <c r="D46" s="19">
        <v>1.1661746085698E-2</v>
      </c>
      <c r="E46" s="18"/>
      <c r="F46" s="19"/>
      <c r="G46" s="18"/>
      <c r="H46" s="19"/>
      <c r="I46" s="18"/>
      <c r="J46" s="19"/>
      <c r="K46" s="18"/>
      <c r="L46" s="19"/>
      <c r="M46" s="18"/>
      <c r="N46" s="19"/>
      <c r="O46" s="18"/>
      <c r="P46" s="19"/>
      <c r="Q46" s="18"/>
      <c r="R46" s="19"/>
      <c r="S46" s="18"/>
      <c r="T46" s="19"/>
      <c r="U46" s="18"/>
      <c r="V46" s="19"/>
      <c r="W46" s="18"/>
      <c r="X46" s="19"/>
      <c r="Y46" s="18"/>
      <c r="Z46" s="19"/>
      <c r="AA46" s="18"/>
      <c r="AB46" s="19"/>
      <c r="AC46" s="18"/>
      <c r="AD46" s="19"/>
      <c r="AE46" s="18"/>
      <c r="AF46" s="19"/>
      <c r="AG46" s="18"/>
      <c r="AH46" s="19"/>
      <c r="AI46" s="18"/>
      <c r="AJ46" s="19"/>
      <c r="AK46" s="18"/>
      <c r="AL46" s="19"/>
      <c r="AM46" s="18"/>
      <c r="AN46" s="19"/>
      <c r="AO46" s="18"/>
      <c r="AP46" s="19"/>
      <c r="AQ46" s="18"/>
      <c r="AR46" s="19"/>
      <c r="AS46" s="18"/>
      <c r="AT46" s="19"/>
      <c r="AU46" s="18"/>
      <c r="AV46" s="19"/>
      <c r="AW46" s="18"/>
      <c r="AX46" s="19"/>
      <c r="AY46" s="18"/>
      <c r="AZ46" s="19"/>
      <c r="BA46" s="18"/>
      <c r="BB46" s="19"/>
      <c r="BC46" s="18"/>
      <c r="BD46" s="19"/>
      <c r="BE46" s="18"/>
      <c r="BF46" s="19"/>
      <c r="BG46" s="18"/>
      <c r="BH46" s="19"/>
    </row>
    <row r="47" spans="1:60" x14ac:dyDescent="0.15">
      <c r="A47" s="17">
        <v>1988</v>
      </c>
      <c r="B47" s="17">
        <v>4</v>
      </c>
      <c r="C47" s="18">
        <v>107871.603129872</v>
      </c>
      <c r="D47" s="19">
        <v>1.6790128293958699E-2</v>
      </c>
      <c r="E47" s="18"/>
      <c r="F47" s="19"/>
      <c r="G47" s="18"/>
      <c r="H47" s="19"/>
      <c r="I47" s="18"/>
      <c r="J47" s="19"/>
      <c r="K47" s="18"/>
      <c r="L47" s="19"/>
      <c r="M47" s="18"/>
      <c r="N47" s="19"/>
      <c r="O47" s="18"/>
      <c r="P47" s="19"/>
      <c r="Q47" s="18"/>
      <c r="R47" s="19"/>
      <c r="S47" s="18"/>
      <c r="T47" s="19"/>
      <c r="U47" s="18"/>
      <c r="V47" s="19"/>
      <c r="W47" s="18"/>
      <c r="X47" s="19"/>
      <c r="Y47" s="18"/>
      <c r="Z47" s="19"/>
      <c r="AA47" s="18"/>
      <c r="AB47" s="19"/>
      <c r="AC47" s="18"/>
      <c r="AD47" s="19"/>
      <c r="AE47" s="18"/>
      <c r="AF47" s="19"/>
      <c r="AG47" s="18"/>
      <c r="AH47" s="19"/>
      <c r="AI47" s="18"/>
      <c r="AJ47" s="19"/>
      <c r="AK47" s="18"/>
      <c r="AL47" s="19"/>
      <c r="AM47" s="18"/>
      <c r="AN47" s="19"/>
      <c r="AO47" s="18"/>
      <c r="AP47" s="19"/>
      <c r="AQ47" s="18"/>
      <c r="AR47" s="19"/>
      <c r="AS47" s="18"/>
      <c r="AT47" s="19"/>
      <c r="AU47" s="18"/>
      <c r="AV47" s="19"/>
      <c r="AW47" s="18"/>
      <c r="AX47" s="19"/>
      <c r="AY47" s="18"/>
      <c r="AZ47" s="19"/>
      <c r="BA47" s="18"/>
      <c r="BB47" s="19"/>
      <c r="BC47" s="18"/>
      <c r="BD47" s="19"/>
      <c r="BE47" s="18"/>
      <c r="BF47" s="19"/>
      <c r="BG47" s="18"/>
      <c r="BH47" s="19"/>
    </row>
    <row r="48" spans="1:60" x14ac:dyDescent="0.15">
      <c r="A48" s="17">
        <v>1989</v>
      </c>
      <c r="B48" s="17">
        <v>1</v>
      </c>
      <c r="C48" s="18">
        <v>108379.54323269799</v>
      </c>
      <c r="D48" s="19">
        <v>4.7087471409366097E-3</v>
      </c>
      <c r="E48" s="18"/>
      <c r="F48" s="19"/>
      <c r="G48" s="18"/>
      <c r="H48" s="19"/>
      <c r="I48" s="18"/>
      <c r="J48" s="19"/>
      <c r="K48" s="18"/>
      <c r="L48" s="19"/>
      <c r="M48" s="18"/>
      <c r="N48" s="19"/>
      <c r="O48" s="18"/>
      <c r="P48" s="19"/>
      <c r="Q48" s="18"/>
      <c r="R48" s="19"/>
      <c r="S48" s="18"/>
      <c r="T48" s="19"/>
      <c r="U48" s="18"/>
      <c r="V48" s="19"/>
      <c r="W48" s="18"/>
      <c r="X48" s="19"/>
      <c r="Y48" s="18"/>
      <c r="Z48" s="19"/>
      <c r="AA48" s="18"/>
      <c r="AB48" s="19"/>
      <c r="AC48" s="18"/>
      <c r="AD48" s="19"/>
      <c r="AE48" s="18"/>
      <c r="AF48" s="19"/>
      <c r="AG48" s="18"/>
      <c r="AH48" s="19"/>
      <c r="AI48" s="18"/>
      <c r="AJ48" s="19"/>
      <c r="AK48" s="18"/>
      <c r="AL48" s="19"/>
      <c r="AM48" s="18"/>
      <c r="AN48" s="19"/>
      <c r="AO48" s="18"/>
      <c r="AP48" s="19"/>
      <c r="AQ48" s="18"/>
      <c r="AR48" s="19"/>
      <c r="AS48" s="18"/>
      <c r="AT48" s="19"/>
      <c r="AU48" s="18"/>
      <c r="AV48" s="19"/>
      <c r="AW48" s="18"/>
      <c r="AX48" s="19"/>
      <c r="AY48" s="18"/>
      <c r="AZ48" s="19"/>
      <c r="BA48" s="18"/>
      <c r="BB48" s="19"/>
      <c r="BC48" s="18"/>
      <c r="BD48" s="19"/>
      <c r="BE48" s="18"/>
      <c r="BF48" s="19"/>
      <c r="BG48" s="18"/>
      <c r="BH48" s="19"/>
    </row>
    <row r="49" spans="1:60" x14ac:dyDescent="0.15">
      <c r="A49" s="17">
        <v>1989</v>
      </c>
      <c r="B49" s="17">
        <v>2</v>
      </c>
      <c r="C49" s="18">
        <v>110192.779499711</v>
      </c>
      <c r="D49" s="19">
        <v>1.67304291283039E-2</v>
      </c>
      <c r="E49" s="18"/>
      <c r="F49" s="19"/>
      <c r="G49" s="18"/>
      <c r="H49" s="19"/>
      <c r="I49" s="18"/>
      <c r="J49" s="19"/>
      <c r="K49" s="18"/>
      <c r="L49" s="19"/>
      <c r="M49" s="18"/>
      <c r="N49" s="19"/>
      <c r="O49" s="18"/>
      <c r="P49" s="19"/>
      <c r="Q49" s="18"/>
      <c r="R49" s="19"/>
      <c r="S49" s="18"/>
      <c r="T49" s="19"/>
      <c r="U49" s="18"/>
      <c r="V49" s="19"/>
      <c r="W49" s="18"/>
      <c r="X49" s="19"/>
      <c r="Y49" s="18"/>
      <c r="Z49" s="19"/>
      <c r="AA49" s="18"/>
      <c r="AB49" s="19"/>
      <c r="AC49" s="18"/>
      <c r="AD49" s="19"/>
      <c r="AE49" s="18"/>
      <c r="AF49" s="19"/>
      <c r="AG49" s="18"/>
      <c r="AH49" s="19"/>
      <c r="AI49" s="18"/>
      <c r="AJ49" s="19"/>
      <c r="AK49" s="18"/>
      <c r="AL49" s="19"/>
      <c r="AM49" s="18"/>
      <c r="AN49" s="19"/>
      <c r="AO49" s="18"/>
      <c r="AP49" s="19"/>
      <c r="AQ49" s="18"/>
      <c r="AR49" s="19"/>
      <c r="AS49" s="18"/>
      <c r="AT49" s="19"/>
      <c r="AU49" s="18"/>
      <c r="AV49" s="19"/>
      <c r="AW49" s="18"/>
      <c r="AX49" s="19"/>
      <c r="AY49" s="18"/>
      <c r="AZ49" s="19"/>
      <c r="BA49" s="18"/>
      <c r="BB49" s="19"/>
      <c r="BC49" s="18"/>
      <c r="BD49" s="19"/>
      <c r="BE49" s="18"/>
      <c r="BF49" s="19"/>
      <c r="BG49" s="18"/>
      <c r="BH49" s="19"/>
    </row>
    <row r="50" spans="1:60" x14ac:dyDescent="0.15">
      <c r="A50" s="17">
        <v>1989</v>
      </c>
      <c r="B50" s="17">
        <v>3</v>
      </c>
      <c r="C50" s="18">
        <v>111150.506177284</v>
      </c>
      <c r="D50" s="19">
        <v>8.69137417098176E-3</v>
      </c>
      <c r="E50" s="18"/>
      <c r="F50" s="19"/>
      <c r="G50" s="18"/>
      <c r="H50" s="19"/>
      <c r="I50" s="18"/>
      <c r="J50" s="19"/>
      <c r="K50" s="18"/>
      <c r="L50" s="19"/>
      <c r="M50" s="18"/>
      <c r="N50" s="19"/>
      <c r="O50" s="18"/>
      <c r="P50" s="19"/>
      <c r="Q50" s="18"/>
      <c r="R50" s="19"/>
      <c r="S50" s="18"/>
      <c r="T50" s="19"/>
      <c r="U50" s="18"/>
      <c r="V50" s="19"/>
      <c r="W50" s="18"/>
      <c r="X50" s="19"/>
      <c r="Y50" s="18"/>
      <c r="Z50" s="19"/>
      <c r="AA50" s="18"/>
      <c r="AB50" s="19"/>
      <c r="AC50" s="18"/>
      <c r="AD50" s="19"/>
      <c r="AE50" s="18"/>
      <c r="AF50" s="19"/>
      <c r="AG50" s="18"/>
      <c r="AH50" s="19"/>
      <c r="AI50" s="18"/>
      <c r="AJ50" s="19"/>
      <c r="AK50" s="18"/>
      <c r="AL50" s="19"/>
      <c r="AM50" s="18"/>
      <c r="AN50" s="19"/>
      <c r="AO50" s="18"/>
      <c r="AP50" s="19"/>
      <c r="AQ50" s="18"/>
      <c r="AR50" s="19"/>
      <c r="AS50" s="18"/>
      <c r="AT50" s="19"/>
      <c r="AU50" s="18"/>
      <c r="AV50" s="19"/>
      <c r="AW50" s="18"/>
      <c r="AX50" s="19"/>
      <c r="AY50" s="18"/>
      <c r="AZ50" s="19"/>
      <c r="BA50" s="18"/>
      <c r="BB50" s="19"/>
      <c r="BC50" s="18"/>
      <c r="BD50" s="19"/>
      <c r="BE50" s="18"/>
      <c r="BF50" s="19"/>
      <c r="BG50" s="18"/>
      <c r="BH50" s="19"/>
    </row>
    <row r="51" spans="1:60" x14ac:dyDescent="0.15">
      <c r="A51" s="17">
        <v>1989</v>
      </c>
      <c r="B51" s="17">
        <v>4</v>
      </c>
      <c r="C51" s="18">
        <v>112183.338993237</v>
      </c>
      <c r="D51" s="19">
        <v>9.2922007418134705E-3</v>
      </c>
      <c r="E51" s="18"/>
      <c r="F51" s="19"/>
      <c r="G51" s="18"/>
      <c r="H51" s="19"/>
      <c r="I51" s="18"/>
      <c r="J51" s="19"/>
      <c r="K51" s="18"/>
      <c r="L51" s="19"/>
      <c r="M51" s="18"/>
      <c r="N51" s="19"/>
      <c r="O51" s="18"/>
      <c r="P51" s="19"/>
      <c r="Q51" s="18"/>
      <c r="R51" s="19"/>
      <c r="S51" s="18"/>
      <c r="T51" s="19"/>
      <c r="U51" s="18"/>
      <c r="V51" s="19"/>
      <c r="W51" s="18"/>
      <c r="X51" s="19"/>
      <c r="Y51" s="18"/>
      <c r="Z51" s="19"/>
      <c r="AA51" s="18"/>
      <c r="AB51" s="19"/>
      <c r="AC51" s="18"/>
      <c r="AD51" s="19"/>
      <c r="AE51" s="18"/>
      <c r="AF51" s="19"/>
      <c r="AG51" s="18"/>
      <c r="AH51" s="19"/>
      <c r="AI51" s="18"/>
      <c r="AJ51" s="19"/>
      <c r="AK51" s="18"/>
      <c r="AL51" s="19"/>
      <c r="AM51" s="18"/>
      <c r="AN51" s="19"/>
      <c r="AO51" s="18"/>
      <c r="AP51" s="19"/>
      <c r="AQ51" s="18"/>
      <c r="AR51" s="19"/>
      <c r="AS51" s="18"/>
      <c r="AT51" s="19"/>
      <c r="AU51" s="18"/>
      <c r="AV51" s="19"/>
      <c r="AW51" s="18"/>
      <c r="AX51" s="19"/>
      <c r="AY51" s="18"/>
      <c r="AZ51" s="19"/>
      <c r="BA51" s="18"/>
      <c r="BB51" s="19"/>
      <c r="BC51" s="18"/>
      <c r="BD51" s="19"/>
      <c r="BE51" s="18"/>
      <c r="BF51" s="19"/>
      <c r="BG51" s="18"/>
      <c r="BH51" s="19"/>
    </row>
    <row r="52" spans="1:60" x14ac:dyDescent="0.15">
      <c r="A52" s="17">
        <v>1990</v>
      </c>
      <c r="B52" s="17">
        <v>1</v>
      </c>
      <c r="C52" s="18">
        <v>114393.66553055801</v>
      </c>
      <c r="D52" s="19">
        <v>1.9702805756689701E-2</v>
      </c>
      <c r="E52" s="18">
        <v>111956.53870583999</v>
      </c>
      <c r="F52" s="19"/>
      <c r="G52" s="18">
        <v>1283.41747123339</v>
      </c>
      <c r="H52" s="19"/>
      <c r="I52" s="18">
        <v>198.767490712587</v>
      </c>
      <c r="J52" s="19"/>
      <c r="K52" s="18">
        <v>17508.3603112704</v>
      </c>
      <c r="L52" s="19"/>
      <c r="M52" s="18">
        <v>1340.6560378807901</v>
      </c>
      <c r="N52" s="19"/>
      <c r="O52" s="18">
        <v>19269.643665444401</v>
      </c>
      <c r="P52" s="19"/>
      <c r="Q52" s="18">
        <v>3280.1473524809699</v>
      </c>
      <c r="R52" s="19"/>
      <c r="S52" s="18">
        <v>316.41667487618997</v>
      </c>
      <c r="T52" s="19"/>
      <c r="U52" s="18">
        <v>9199.5161542865208</v>
      </c>
      <c r="V52" s="19"/>
      <c r="W52" s="18">
        <v>16825.842932820899</v>
      </c>
      <c r="X52" s="19"/>
      <c r="Y52" s="18">
        <v>4811.5657689832396</v>
      </c>
      <c r="Z52" s="19"/>
      <c r="AA52" s="18">
        <v>6011.9842626651498</v>
      </c>
      <c r="AB52" s="19"/>
      <c r="AC52" s="18">
        <v>3608.5800836859798</v>
      </c>
      <c r="AD52" s="19"/>
      <c r="AE52" s="18">
        <v>4240.9432818940704</v>
      </c>
      <c r="AF52" s="19"/>
      <c r="AG52" s="18">
        <v>6484.8802233997203</v>
      </c>
      <c r="AH52" s="19"/>
      <c r="AI52" s="18">
        <v>3877.30566442075</v>
      </c>
      <c r="AJ52" s="19"/>
      <c r="AK52" s="18">
        <v>2070.8627461595802</v>
      </c>
      <c r="AL52" s="19"/>
      <c r="AM52" s="18">
        <v>22298.374825445</v>
      </c>
      <c r="AN52" s="19"/>
      <c r="AO52" s="18">
        <v>8573.1019705793806</v>
      </c>
      <c r="AP52" s="19"/>
      <c r="AQ52" s="18">
        <v>6717.7655121902199</v>
      </c>
      <c r="AR52" s="19"/>
      <c r="AS52" s="18">
        <v>5605.7652991765999</v>
      </c>
      <c r="AT52" s="19"/>
      <c r="AU52" s="18">
        <v>728.91573411667798</v>
      </c>
      <c r="AV52" s="19"/>
      <c r="AW52" s="18">
        <v>3266.5511366527899</v>
      </c>
      <c r="AX52" s="19"/>
      <c r="AY52" s="18">
        <v>414.782304687531</v>
      </c>
      <c r="AZ52" s="19"/>
      <c r="BA52" s="18">
        <v>2622.8346107592502</v>
      </c>
      <c r="BB52" s="19"/>
      <c r="BC52" s="18">
        <v>5410.5933510043997</v>
      </c>
      <c r="BD52" s="19"/>
      <c r="BE52" s="18">
        <v>-2938.6477874884999</v>
      </c>
      <c r="BF52" s="19"/>
      <c r="BG52" s="18"/>
      <c r="BH52" s="19"/>
    </row>
    <row r="53" spans="1:60" x14ac:dyDescent="0.15">
      <c r="A53" s="17">
        <v>1990</v>
      </c>
      <c r="B53" s="17">
        <v>2</v>
      </c>
      <c r="C53" s="18">
        <v>114872.398065802</v>
      </c>
      <c r="D53" s="19">
        <v>4.18495668465257E-3</v>
      </c>
      <c r="E53" s="18">
        <v>112343.044068926</v>
      </c>
      <c r="F53" s="19">
        <v>3.4522803898164901E-3</v>
      </c>
      <c r="G53" s="18">
        <v>1265.1255971805299</v>
      </c>
      <c r="H53" s="19">
        <v>-1.42524739321845E-2</v>
      </c>
      <c r="I53" s="18">
        <v>197.586337662826</v>
      </c>
      <c r="J53" s="19">
        <v>-5.9423854752410597E-3</v>
      </c>
      <c r="K53" s="18">
        <v>17540.472373925099</v>
      </c>
      <c r="L53" s="19">
        <v>1.8340988010194801E-3</v>
      </c>
      <c r="M53" s="18">
        <v>1352.79999638197</v>
      </c>
      <c r="N53" s="19">
        <v>9.0582208695226801E-3</v>
      </c>
      <c r="O53" s="18">
        <v>19278.323732455301</v>
      </c>
      <c r="P53" s="19">
        <v>4.5045290725953503E-4</v>
      </c>
      <c r="Q53" s="18">
        <v>3408.33410989392</v>
      </c>
      <c r="R53" s="19">
        <v>3.9079572847846598E-2</v>
      </c>
      <c r="S53" s="18">
        <v>322.47114818634998</v>
      </c>
      <c r="T53" s="19">
        <v>1.9134495084776899E-2</v>
      </c>
      <c r="U53" s="18">
        <v>9195.2557116924108</v>
      </c>
      <c r="V53" s="19">
        <v>-4.6311594247516697E-4</v>
      </c>
      <c r="W53" s="18">
        <v>16960.436828091701</v>
      </c>
      <c r="X53" s="19">
        <v>7.9992364012975194E-3</v>
      </c>
      <c r="Y53" s="18">
        <v>4865.51202937166</v>
      </c>
      <c r="Z53" s="19">
        <v>1.12117890471699E-2</v>
      </c>
      <c r="AA53" s="18">
        <v>5877.0531575334999</v>
      </c>
      <c r="AB53" s="19">
        <v>-2.24436890112273E-2</v>
      </c>
      <c r="AC53" s="18">
        <v>3714.5204312532801</v>
      </c>
      <c r="AD53" s="19">
        <v>2.9357903970663301E-2</v>
      </c>
      <c r="AE53" s="18">
        <v>4252.7629694528396</v>
      </c>
      <c r="AF53" s="19">
        <v>2.7870421208488999E-3</v>
      </c>
      <c r="AG53" s="18">
        <v>6404.8865462869198</v>
      </c>
      <c r="AH53" s="19">
        <v>-1.2335413200718501E-2</v>
      </c>
      <c r="AI53" s="18">
        <v>3707.4433421011299</v>
      </c>
      <c r="AJ53" s="19">
        <v>-4.38093709965457E-2</v>
      </c>
      <c r="AK53" s="18">
        <v>2102.0849093901102</v>
      </c>
      <c r="AL53" s="19">
        <v>1.5076886813685001E-2</v>
      </c>
      <c r="AM53" s="18">
        <v>22388.192615002299</v>
      </c>
      <c r="AN53" s="19">
        <v>4.0279971190919604E-3</v>
      </c>
      <c r="AO53" s="18">
        <v>8702.5809969537895</v>
      </c>
      <c r="AP53" s="19">
        <v>1.51029378652849E-2</v>
      </c>
      <c r="AQ53" s="18">
        <v>6863.9230168695203</v>
      </c>
      <c r="AR53" s="19">
        <v>2.1756863113794999E-2</v>
      </c>
      <c r="AS53" s="18">
        <v>5621.8011462837503</v>
      </c>
      <c r="AT53" s="19">
        <v>2.86059908885461E-3</v>
      </c>
      <c r="AU53" s="18">
        <v>710.42892715023197</v>
      </c>
      <c r="AV53" s="19">
        <v>-2.5362063269012702E-2</v>
      </c>
      <c r="AW53" s="18">
        <v>3241.9601239629001</v>
      </c>
      <c r="AX53" s="19">
        <v>-7.5281272697545996E-3</v>
      </c>
      <c r="AY53" s="18">
        <v>422.37793340439902</v>
      </c>
      <c r="AZ53" s="19">
        <v>1.8312325841841399E-2</v>
      </c>
      <c r="BA53" s="18">
        <v>2708.2297258940198</v>
      </c>
      <c r="BB53" s="19">
        <v>3.25583301304848E-2</v>
      </c>
      <c r="BC53" s="18">
        <v>5437.8352643047901</v>
      </c>
      <c r="BD53" s="19">
        <v>5.0349215941951596E-3</v>
      </c>
      <c r="BE53" s="18">
        <v>-2860.4711829421599</v>
      </c>
      <c r="BF53" s="19">
        <v>-2.6602917464007701E-2</v>
      </c>
      <c r="BG53" s="18"/>
      <c r="BH53" s="19"/>
    </row>
    <row r="54" spans="1:60" x14ac:dyDescent="0.15">
      <c r="A54" s="17">
        <v>1990</v>
      </c>
      <c r="B54" s="17">
        <v>3</v>
      </c>
      <c r="C54" s="18">
        <v>114808.08521149799</v>
      </c>
      <c r="D54" s="19">
        <v>-5.5986342573766102E-4</v>
      </c>
      <c r="E54" s="18">
        <v>112289.016313728</v>
      </c>
      <c r="F54" s="19">
        <v>-4.8091767181179801E-4</v>
      </c>
      <c r="G54" s="18">
        <v>1251.2669348796401</v>
      </c>
      <c r="H54" s="19">
        <v>-1.09543766498579E-2</v>
      </c>
      <c r="I54" s="18">
        <v>197.766751428524</v>
      </c>
      <c r="J54" s="19">
        <v>9.1308826223501804E-4</v>
      </c>
      <c r="K54" s="18">
        <v>17561.683363424901</v>
      </c>
      <c r="L54" s="19">
        <v>1.2092598789588101E-3</v>
      </c>
      <c r="M54" s="18">
        <v>1356.4234151378801</v>
      </c>
      <c r="N54" s="19">
        <v>2.67845857894855E-3</v>
      </c>
      <c r="O54" s="18">
        <v>19296.164686449702</v>
      </c>
      <c r="P54" s="19">
        <v>9.2544114529879995E-4</v>
      </c>
      <c r="Q54" s="18">
        <v>3350.6138675490502</v>
      </c>
      <c r="R54" s="19">
        <v>-1.69350305703065E-2</v>
      </c>
      <c r="S54" s="18">
        <v>331.04014002857502</v>
      </c>
      <c r="T54" s="19">
        <v>2.6572894630789701E-2</v>
      </c>
      <c r="U54" s="18">
        <v>9247.6105124821497</v>
      </c>
      <c r="V54" s="19">
        <v>5.6936753507750302E-3</v>
      </c>
      <c r="W54" s="18">
        <v>16638.179887043101</v>
      </c>
      <c r="X54" s="19">
        <v>-1.9000509498367499E-2</v>
      </c>
      <c r="Y54" s="18">
        <v>4814.8437529284301</v>
      </c>
      <c r="Z54" s="19">
        <v>-1.0413760388909499E-2</v>
      </c>
      <c r="AA54" s="18">
        <v>5880.3422924243496</v>
      </c>
      <c r="AB54" s="19">
        <v>5.5965716196193505E-4</v>
      </c>
      <c r="AC54" s="18">
        <v>3760.22411900107</v>
      </c>
      <c r="AD54" s="19">
        <v>1.23040614780983E-2</v>
      </c>
      <c r="AE54" s="18">
        <v>4298.1487920895197</v>
      </c>
      <c r="AF54" s="19">
        <v>1.0672079060761499E-2</v>
      </c>
      <c r="AG54" s="18">
        <v>6382.1245275420597</v>
      </c>
      <c r="AH54" s="19">
        <v>-3.5538519816656899E-3</v>
      </c>
      <c r="AI54" s="18">
        <v>3626.1513528417699</v>
      </c>
      <c r="AJ54" s="19">
        <v>-2.192669766149E-2</v>
      </c>
      <c r="AK54" s="18">
        <v>2127.4264809945998</v>
      </c>
      <c r="AL54" s="19">
        <v>1.20554462340197E-2</v>
      </c>
      <c r="AM54" s="18">
        <v>22504.189841411498</v>
      </c>
      <c r="AN54" s="19">
        <v>5.1811786866393598E-3</v>
      </c>
      <c r="AO54" s="18">
        <v>8794.2211149416598</v>
      </c>
      <c r="AP54" s="19">
        <v>1.0530222932708E-2</v>
      </c>
      <c r="AQ54" s="18">
        <v>6930.3627368149</v>
      </c>
      <c r="AR54" s="19">
        <v>9.6795549399506502E-3</v>
      </c>
      <c r="AS54" s="18">
        <v>5632.3270941344799</v>
      </c>
      <c r="AT54" s="19">
        <v>1.8723443922750199E-3</v>
      </c>
      <c r="AU54" s="18">
        <v>743.03440947729598</v>
      </c>
      <c r="AV54" s="19">
        <v>4.5895488036860499E-2</v>
      </c>
      <c r="AW54" s="18">
        <v>3209.4896574136901</v>
      </c>
      <c r="AX54" s="19">
        <v>-1.00156896777387E-2</v>
      </c>
      <c r="AY54" s="18">
        <v>426.47962858786798</v>
      </c>
      <c r="AZ54" s="19">
        <v>9.7109599225713196E-3</v>
      </c>
      <c r="BA54" s="18">
        <v>2698.6672153485501</v>
      </c>
      <c r="BB54" s="19">
        <v>-3.5309081995658102E-3</v>
      </c>
      <c r="BC54" s="18">
        <v>5432.25622722557</v>
      </c>
      <c r="BD54" s="19">
        <v>-1.0259665488285799E-3</v>
      </c>
      <c r="BE54" s="18">
        <v>-2866.27347554365</v>
      </c>
      <c r="BF54" s="19">
        <v>2.0284394529450599E-3</v>
      </c>
      <c r="BG54" s="18"/>
      <c r="BH54" s="19"/>
    </row>
    <row r="55" spans="1:60" x14ac:dyDescent="0.15">
      <c r="A55" s="17">
        <v>1990</v>
      </c>
      <c r="B55" s="17">
        <v>4</v>
      </c>
      <c r="C55" s="18">
        <v>114144.440604515</v>
      </c>
      <c r="D55" s="19">
        <v>-5.7804692566793001E-3</v>
      </c>
      <c r="E55" s="18">
        <v>111677.720148505</v>
      </c>
      <c r="F55" s="19">
        <v>-5.4439533383633396E-3</v>
      </c>
      <c r="G55" s="18">
        <v>1248.3392426340499</v>
      </c>
      <c r="H55" s="19">
        <v>-2.3397823150131899E-3</v>
      </c>
      <c r="I55" s="18">
        <v>201.091028670258</v>
      </c>
      <c r="J55" s="19">
        <v>1.68090804835581E-2</v>
      </c>
      <c r="K55" s="18">
        <v>17687.446917983001</v>
      </c>
      <c r="L55" s="19">
        <v>7.1612471285043E-3</v>
      </c>
      <c r="M55" s="18">
        <v>1374.33654275863</v>
      </c>
      <c r="N55" s="19">
        <v>1.32061474469041E-2</v>
      </c>
      <c r="O55" s="18">
        <v>19411.7767406001</v>
      </c>
      <c r="P55" s="19">
        <v>5.9914524999651296E-3</v>
      </c>
      <c r="Q55" s="18">
        <v>3456.8367195922501</v>
      </c>
      <c r="R55" s="19">
        <v>3.1702504747554101E-2</v>
      </c>
      <c r="S55" s="18">
        <v>341.43032290759999</v>
      </c>
      <c r="T55" s="19">
        <v>3.13864743959082E-2</v>
      </c>
      <c r="U55" s="18">
        <v>9181.5480003540597</v>
      </c>
      <c r="V55" s="19">
        <v>-7.14373859484252E-3</v>
      </c>
      <c r="W55" s="18">
        <v>15916.5319641676</v>
      </c>
      <c r="X55" s="19">
        <v>-4.33730088131501E-2</v>
      </c>
      <c r="Y55" s="18">
        <v>4719.9637698260904</v>
      </c>
      <c r="Z55" s="19">
        <v>-1.97057242085233E-2</v>
      </c>
      <c r="AA55" s="18">
        <v>6020.7318122367496</v>
      </c>
      <c r="AB55" s="19">
        <v>2.3874378876424601E-2</v>
      </c>
      <c r="AC55" s="18">
        <v>3778.0442532669599</v>
      </c>
      <c r="AD55" s="19">
        <v>4.7391149308999604E-3</v>
      </c>
      <c r="AE55" s="18">
        <v>4323.8953735983696</v>
      </c>
      <c r="AF55" s="19">
        <v>5.9901559378854304E-3</v>
      </c>
      <c r="AG55" s="18">
        <v>6259.3131735902198</v>
      </c>
      <c r="AH55" s="19">
        <v>-1.9243020630802101E-2</v>
      </c>
      <c r="AI55" s="18">
        <v>3424.3607659406098</v>
      </c>
      <c r="AJ55" s="19">
        <v>-5.5648693963925397E-2</v>
      </c>
      <c r="AK55" s="18">
        <v>2146.8685503701499</v>
      </c>
      <c r="AL55" s="19">
        <v>9.1387737951151796E-3</v>
      </c>
      <c r="AM55" s="18">
        <v>22520.644623987599</v>
      </c>
      <c r="AN55" s="19">
        <v>7.31187511836762E-4</v>
      </c>
      <c r="AO55" s="18">
        <v>8865.1225308491794</v>
      </c>
      <c r="AP55" s="19">
        <v>8.0622735067523692E-3</v>
      </c>
      <c r="AQ55" s="18">
        <v>6917.1463171273699</v>
      </c>
      <c r="AR55" s="19">
        <v>-1.90703144834226E-3</v>
      </c>
      <c r="AS55" s="18">
        <v>5642.5073581464703</v>
      </c>
      <c r="AT55" s="19">
        <v>1.80747031233164E-3</v>
      </c>
      <c r="AU55" s="18">
        <v>769.34081383523005</v>
      </c>
      <c r="AV55" s="19">
        <v>3.54040190096181E-2</v>
      </c>
      <c r="AW55" s="18">
        <v>3120.0495663485799</v>
      </c>
      <c r="AX55" s="19">
        <v>-2.7867387221051101E-2</v>
      </c>
      <c r="AY55" s="18">
        <v>427.11452823233202</v>
      </c>
      <c r="AZ55" s="19">
        <v>1.4886986432760499E-3</v>
      </c>
      <c r="BA55" s="18">
        <v>2648.7859067240202</v>
      </c>
      <c r="BB55" s="19">
        <v>-1.8483682738216298E-2</v>
      </c>
      <c r="BC55" s="18">
        <v>5395.9026493022402</v>
      </c>
      <c r="BD55" s="19">
        <v>-6.6921692207972897E-3</v>
      </c>
      <c r="BE55" s="18">
        <v>-2888.0745455699698</v>
      </c>
      <c r="BF55" s="19">
        <v>7.6060676737024196E-3</v>
      </c>
      <c r="BG55" s="18"/>
      <c r="BH55" s="19"/>
    </row>
    <row r="56" spans="1:60" x14ac:dyDescent="0.15">
      <c r="A56" s="17">
        <v>1991</v>
      </c>
      <c r="B56" s="17">
        <v>1</v>
      </c>
      <c r="C56" s="18">
        <v>114396.85092016601</v>
      </c>
      <c r="D56" s="19">
        <v>2.2113237781433699E-3</v>
      </c>
      <c r="E56" s="18">
        <v>112051.08109598</v>
      </c>
      <c r="F56" s="19">
        <v>3.3431999415658399E-3</v>
      </c>
      <c r="G56" s="18">
        <v>1245.93152841142</v>
      </c>
      <c r="H56" s="19">
        <v>-1.92873390533665E-3</v>
      </c>
      <c r="I56" s="18">
        <v>198.070604447248</v>
      </c>
      <c r="J56" s="19">
        <v>-1.5020183858935301E-2</v>
      </c>
      <c r="K56" s="18">
        <v>17728.251376187502</v>
      </c>
      <c r="L56" s="19">
        <v>2.3069727583493499E-3</v>
      </c>
      <c r="M56" s="18">
        <v>1392.8351888183399</v>
      </c>
      <c r="N56" s="19">
        <v>1.34600554407054E-2</v>
      </c>
      <c r="O56" s="18">
        <v>19415.404776741401</v>
      </c>
      <c r="P56" s="19">
        <v>1.8689871565302801E-4</v>
      </c>
      <c r="Q56" s="18">
        <v>3521.91952727034</v>
      </c>
      <c r="R56" s="19">
        <v>1.8827272722840498E-2</v>
      </c>
      <c r="S56" s="18">
        <v>352.55696233646398</v>
      </c>
      <c r="T56" s="19">
        <v>3.2588316509528897E-2</v>
      </c>
      <c r="U56" s="18">
        <v>9076.2763639669593</v>
      </c>
      <c r="V56" s="19">
        <v>-1.1465565107653199E-2</v>
      </c>
      <c r="W56" s="18">
        <v>15753.1994839662</v>
      </c>
      <c r="X56" s="19">
        <v>-1.0261813350363001E-2</v>
      </c>
      <c r="Y56" s="18">
        <v>4642.5840334961404</v>
      </c>
      <c r="Z56" s="19">
        <v>-1.63941377738165E-2</v>
      </c>
      <c r="AA56" s="18">
        <v>6344.3061643382598</v>
      </c>
      <c r="AB56" s="19">
        <v>5.3743359145123099E-2</v>
      </c>
      <c r="AC56" s="18">
        <v>3781.8400598041799</v>
      </c>
      <c r="AD56" s="19">
        <v>1.0047014494163301E-3</v>
      </c>
      <c r="AE56" s="18">
        <v>4341.0444871096497</v>
      </c>
      <c r="AF56" s="19">
        <v>3.96612591877044E-3</v>
      </c>
      <c r="AG56" s="18">
        <v>6533.8867689102399</v>
      </c>
      <c r="AH56" s="19">
        <v>4.3866409573262398E-2</v>
      </c>
      <c r="AI56" s="18">
        <v>3752.5265602780801</v>
      </c>
      <c r="AJ56" s="19">
        <v>9.5832716459514702E-2</v>
      </c>
      <c r="AK56" s="18">
        <v>2160.1292784811599</v>
      </c>
      <c r="AL56" s="19">
        <v>6.1767769194431797E-3</v>
      </c>
      <c r="AM56" s="18">
        <v>22559.467826159002</v>
      </c>
      <c r="AN56" s="19">
        <v>1.7238939124373199E-3</v>
      </c>
      <c r="AO56" s="18">
        <v>8851.8771552449798</v>
      </c>
      <c r="AP56" s="19">
        <v>-1.49409955227442E-3</v>
      </c>
      <c r="AQ56" s="18">
        <v>6824.2614951494697</v>
      </c>
      <c r="AR56" s="19">
        <v>-1.3428199682275901E-2</v>
      </c>
      <c r="AS56" s="18">
        <v>5666.3588686434296</v>
      </c>
      <c r="AT56" s="19">
        <v>4.2271119881696099E-3</v>
      </c>
      <c r="AU56" s="18">
        <v>813.91873297207906</v>
      </c>
      <c r="AV56" s="19">
        <v>5.7943005668221297E-2</v>
      </c>
      <c r="AW56" s="18">
        <v>2975.2566896655899</v>
      </c>
      <c r="AX56" s="19">
        <v>-4.6407236040306103E-2</v>
      </c>
      <c r="AY56" s="18">
        <v>424.42466786521197</v>
      </c>
      <c r="AZ56" s="19">
        <v>-6.2977496416518602E-3</v>
      </c>
      <c r="BA56" s="18">
        <v>2543.9279551303098</v>
      </c>
      <c r="BB56" s="19">
        <v>-3.9587175138436702E-2</v>
      </c>
      <c r="BC56" s="18">
        <v>5389.9975772955204</v>
      </c>
      <c r="BD56" s="19">
        <v>-1.0943622208397E-3</v>
      </c>
      <c r="BE56" s="18">
        <v>-3021.4004104606502</v>
      </c>
      <c r="BF56" s="19">
        <v>4.61642740819104E-2</v>
      </c>
      <c r="BG56" s="18"/>
      <c r="BH56" s="19"/>
    </row>
    <row r="57" spans="1:60" x14ac:dyDescent="0.15">
      <c r="A57" s="17">
        <v>1991</v>
      </c>
      <c r="B57" s="17">
        <v>2</v>
      </c>
      <c r="C57" s="18">
        <v>113208.381951188</v>
      </c>
      <c r="D57" s="19">
        <v>-1.0389000741003801E-2</v>
      </c>
      <c r="E57" s="18">
        <v>110987.748764676</v>
      </c>
      <c r="F57" s="19">
        <v>-9.4897105936307992E-3</v>
      </c>
      <c r="G57" s="18">
        <v>1250.45086827257</v>
      </c>
      <c r="H57" s="19">
        <v>3.6272778704877799E-3</v>
      </c>
      <c r="I57" s="18">
        <v>200.18424375808701</v>
      </c>
      <c r="J57" s="19">
        <v>1.06711408123239E-2</v>
      </c>
      <c r="K57" s="18">
        <v>17611.972714599298</v>
      </c>
      <c r="L57" s="19">
        <v>-6.5589470230742498E-3</v>
      </c>
      <c r="M57" s="18">
        <v>1409.4635315266401</v>
      </c>
      <c r="N57" s="19">
        <v>1.19384855019393E-2</v>
      </c>
      <c r="O57" s="18">
        <v>19218.212151204101</v>
      </c>
      <c r="P57" s="19">
        <v>-1.0156503446868999E-2</v>
      </c>
      <c r="Q57" s="18">
        <v>3381.1828719874602</v>
      </c>
      <c r="R57" s="19">
        <v>-3.9960213228368402E-2</v>
      </c>
      <c r="S57" s="18">
        <v>362.80707833226103</v>
      </c>
      <c r="T57" s="19">
        <v>2.9073645086648E-2</v>
      </c>
      <c r="U57" s="18">
        <v>8988.6159552681493</v>
      </c>
      <c r="V57" s="19">
        <v>-9.6581907803974208E-3</v>
      </c>
      <c r="W57" s="18">
        <v>15002.519281967299</v>
      </c>
      <c r="X57" s="19">
        <v>-4.7652554819924899E-2</v>
      </c>
      <c r="Y57" s="18">
        <v>4560.9363011929199</v>
      </c>
      <c r="Z57" s="19">
        <v>-1.75866999313594E-2</v>
      </c>
      <c r="AA57" s="18">
        <v>6551.89570096234</v>
      </c>
      <c r="AB57" s="19">
        <v>3.27206050979938E-2</v>
      </c>
      <c r="AC57" s="18">
        <v>3755.3691611358499</v>
      </c>
      <c r="AD57" s="19">
        <v>-6.9994759825198196E-3</v>
      </c>
      <c r="AE57" s="18">
        <v>4358.6433039537696</v>
      </c>
      <c r="AF57" s="19">
        <v>4.0540512534195097E-3</v>
      </c>
      <c r="AG57" s="18">
        <v>6686.8441703871904</v>
      </c>
      <c r="AH57" s="19">
        <v>2.34098641263196E-2</v>
      </c>
      <c r="AI57" s="18">
        <v>3892.1229388987099</v>
      </c>
      <c r="AJ57" s="19">
        <v>3.7200637058323799E-2</v>
      </c>
      <c r="AK57" s="18">
        <v>2185.1494706838298</v>
      </c>
      <c r="AL57" s="19">
        <v>1.1582729076411001E-2</v>
      </c>
      <c r="AM57" s="18">
        <v>22350.826034539601</v>
      </c>
      <c r="AN57" s="19">
        <v>-9.2485245320154102E-3</v>
      </c>
      <c r="AO57" s="18">
        <v>8845.1229255074795</v>
      </c>
      <c r="AP57" s="19">
        <v>-7.6302795656113499E-4</v>
      </c>
      <c r="AQ57" s="18">
        <v>6753.4560894810802</v>
      </c>
      <c r="AR57" s="19">
        <v>-1.0375541107080199E-2</v>
      </c>
      <c r="AS57" s="18">
        <v>5664.52975871956</v>
      </c>
      <c r="AT57" s="19">
        <v>-3.2280163792508499E-4</v>
      </c>
      <c r="AU57" s="18">
        <v>784.53595161302803</v>
      </c>
      <c r="AV57" s="19">
        <v>-3.6100387137862198E-2</v>
      </c>
      <c r="AW57" s="18">
        <v>2840.7780741526099</v>
      </c>
      <c r="AX57" s="19">
        <v>-4.5198996100096402E-2</v>
      </c>
      <c r="AY57" s="18">
        <v>422.59243613495403</v>
      </c>
      <c r="AZ57" s="19">
        <v>-4.3169774732322299E-3</v>
      </c>
      <c r="BA57" s="18">
        <v>2428.9566128803499</v>
      </c>
      <c r="BB57" s="19">
        <v>-4.5194417561275999E-2</v>
      </c>
      <c r="BC57" s="18">
        <v>5329.0462911330496</v>
      </c>
      <c r="BD57" s="19">
        <v>-1.1308221439508E-2</v>
      </c>
      <c r="BE57" s="18">
        <v>-3102.2611466961498</v>
      </c>
      <c r="BF57" s="19">
        <v>2.6762668051393299E-2</v>
      </c>
      <c r="BG57" s="18"/>
      <c r="BH57" s="19"/>
    </row>
    <row r="58" spans="1:60" x14ac:dyDescent="0.15">
      <c r="A58" s="17">
        <v>1991</v>
      </c>
      <c r="B58" s="17">
        <v>3</v>
      </c>
      <c r="C58" s="18">
        <v>113117.484004012</v>
      </c>
      <c r="D58" s="19">
        <v>-8.0292594602371402E-4</v>
      </c>
      <c r="E58" s="18">
        <v>110971.226991572</v>
      </c>
      <c r="F58" s="19">
        <v>-1.4886123276947001E-4</v>
      </c>
      <c r="G58" s="18">
        <v>1256.6456862811001</v>
      </c>
      <c r="H58" s="19">
        <v>4.9540675013390904E-3</v>
      </c>
      <c r="I58" s="18">
        <v>196.724890069266</v>
      </c>
      <c r="J58" s="19">
        <v>-1.7280849001288699E-2</v>
      </c>
      <c r="K58" s="18">
        <v>17662.152078162999</v>
      </c>
      <c r="L58" s="19">
        <v>2.8491620090951302E-3</v>
      </c>
      <c r="M58" s="18">
        <v>1444.49710543525</v>
      </c>
      <c r="N58" s="19">
        <v>2.4855963368319901E-2</v>
      </c>
      <c r="O58" s="18">
        <v>19188.876151283399</v>
      </c>
      <c r="P58" s="19">
        <v>-1.5264687313210101E-3</v>
      </c>
      <c r="Q58" s="18">
        <v>3435.35693573966</v>
      </c>
      <c r="R58" s="19">
        <v>1.60222223414828E-2</v>
      </c>
      <c r="S58" s="18">
        <v>375.05740111536602</v>
      </c>
      <c r="T58" s="19">
        <v>3.3765390795066998E-2</v>
      </c>
      <c r="U58" s="18">
        <v>8915.9068761036106</v>
      </c>
      <c r="V58" s="19">
        <v>-8.0890183234409996E-3</v>
      </c>
      <c r="W58" s="18">
        <v>14839.2203924269</v>
      </c>
      <c r="X58" s="19">
        <v>-1.08847645166305E-2</v>
      </c>
      <c r="Y58" s="18">
        <v>4523.0644539219602</v>
      </c>
      <c r="Z58" s="19">
        <v>-8.3035247085244696E-3</v>
      </c>
      <c r="AA58" s="18">
        <v>6689.5390359734502</v>
      </c>
      <c r="AB58" s="19">
        <v>2.1008169435739601E-2</v>
      </c>
      <c r="AC58" s="18">
        <v>3754.8501144741699</v>
      </c>
      <c r="AD58" s="19">
        <v>-1.38214550796101E-4</v>
      </c>
      <c r="AE58" s="18">
        <v>4382.9400628308103</v>
      </c>
      <c r="AF58" s="19">
        <v>5.5743856935939204E-3</v>
      </c>
      <c r="AG58" s="18">
        <v>6687.1955833857101</v>
      </c>
      <c r="AH58" s="19">
        <v>5.2552891852464297E-5</v>
      </c>
      <c r="AI58" s="18">
        <v>3801.6193955823701</v>
      </c>
      <c r="AJ58" s="19">
        <v>-2.3253002214247E-2</v>
      </c>
      <c r="AK58" s="18">
        <v>2221.8958931697998</v>
      </c>
      <c r="AL58" s="19">
        <v>1.6816434289263799E-2</v>
      </c>
      <c r="AM58" s="18">
        <v>22345.242547992901</v>
      </c>
      <c r="AN58" s="19">
        <v>-2.4981119436140502E-4</v>
      </c>
      <c r="AO58" s="18">
        <v>8865.2726668992109</v>
      </c>
      <c r="AP58" s="19">
        <v>2.2780623357565601E-3</v>
      </c>
      <c r="AQ58" s="18">
        <v>6704.6644043849601</v>
      </c>
      <c r="AR58" s="19">
        <v>-7.2246986505343199E-3</v>
      </c>
      <c r="AS58" s="18">
        <v>5681.9825764856096</v>
      </c>
      <c r="AT58" s="19">
        <v>3.0810708936936898E-3</v>
      </c>
      <c r="AU58" s="18">
        <v>793.210902376072</v>
      </c>
      <c r="AV58" s="19">
        <v>1.1057429229606799E-2</v>
      </c>
      <c r="AW58" s="18">
        <v>2787.4551552012699</v>
      </c>
      <c r="AX58" s="19">
        <v>-1.8770533128407301E-2</v>
      </c>
      <c r="AY58" s="18">
        <v>421.42571429474202</v>
      </c>
      <c r="AZ58" s="19">
        <v>-2.7608677781436599E-3</v>
      </c>
      <c r="BA58" s="18">
        <v>2363.2194024385099</v>
      </c>
      <c r="BB58" s="19">
        <v>-2.7063970633828701E-2</v>
      </c>
      <c r="BC58" s="18">
        <v>5292.5234193337901</v>
      </c>
      <c r="BD58" s="19">
        <v>-6.8535474837264597E-3</v>
      </c>
      <c r="BE58" s="18">
        <v>-3146.503806873</v>
      </c>
      <c r="BF58" s="19">
        <v>1.42614235503555E-2</v>
      </c>
      <c r="BG58" s="18"/>
      <c r="BH58" s="19"/>
    </row>
    <row r="59" spans="1:60" x14ac:dyDescent="0.15">
      <c r="A59" s="17">
        <v>1991</v>
      </c>
      <c r="B59" s="17">
        <v>4</v>
      </c>
      <c r="C59" s="18">
        <v>113342.591306211</v>
      </c>
      <c r="D59" s="19">
        <v>1.9900310211187198E-3</v>
      </c>
      <c r="E59" s="18">
        <v>111215.066120327</v>
      </c>
      <c r="F59" s="19">
        <v>2.1973184884476202E-3</v>
      </c>
      <c r="G59" s="18">
        <v>1266.5496096070201</v>
      </c>
      <c r="H59" s="19">
        <v>7.8812376742645202E-3</v>
      </c>
      <c r="I59" s="18">
        <v>189.76789034357699</v>
      </c>
      <c r="J59" s="19">
        <v>-3.53641052905884E-2</v>
      </c>
      <c r="K59" s="18">
        <v>17735.406082858699</v>
      </c>
      <c r="L59" s="19">
        <v>4.1475129628329999E-3</v>
      </c>
      <c r="M59" s="18">
        <v>1474.7311638846199</v>
      </c>
      <c r="N59" s="19">
        <v>2.0930508157891901E-2</v>
      </c>
      <c r="O59" s="18">
        <v>19202.737501067098</v>
      </c>
      <c r="P59" s="19">
        <v>7.2236381507639902E-4</v>
      </c>
      <c r="Q59" s="18">
        <v>3570.0812773392399</v>
      </c>
      <c r="R59" s="19">
        <v>3.9216985052696898E-2</v>
      </c>
      <c r="S59" s="18">
        <v>388.18395365510798</v>
      </c>
      <c r="T59" s="19">
        <v>3.4998782854852098E-2</v>
      </c>
      <c r="U59" s="18">
        <v>8721.3674667405503</v>
      </c>
      <c r="V59" s="19">
        <v>-2.1819363085147401E-2</v>
      </c>
      <c r="W59" s="18">
        <v>15029.360703066</v>
      </c>
      <c r="X59" s="19">
        <v>1.28133625359574E-2</v>
      </c>
      <c r="Y59" s="18">
        <v>4578.3927011619799</v>
      </c>
      <c r="Z59" s="19">
        <v>1.22324693365903E-2</v>
      </c>
      <c r="AA59" s="18">
        <v>6730.6108072177103</v>
      </c>
      <c r="AB59" s="19">
        <v>6.1397012594433002E-3</v>
      </c>
      <c r="AC59" s="18">
        <v>3721.3415661385302</v>
      </c>
      <c r="AD59" s="19">
        <v>-8.9240708188232896E-3</v>
      </c>
      <c r="AE59" s="18">
        <v>4360.0177738001703</v>
      </c>
      <c r="AF59" s="19">
        <v>-5.2298887737544097E-3</v>
      </c>
      <c r="AG59" s="18">
        <v>6685.0748487153496</v>
      </c>
      <c r="AH59" s="19">
        <v>-3.1713363904362101E-4</v>
      </c>
      <c r="AI59" s="18">
        <v>3687.6187665181001</v>
      </c>
      <c r="AJ59" s="19">
        <v>-2.9987386216711698E-2</v>
      </c>
      <c r="AK59" s="18">
        <v>2270.8579256038402</v>
      </c>
      <c r="AL59" s="19">
        <v>2.2036150561577199E-2</v>
      </c>
      <c r="AM59" s="18">
        <v>22387.713169671799</v>
      </c>
      <c r="AN59" s="19">
        <v>1.9006561055527899E-3</v>
      </c>
      <c r="AO59" s="18">
        <v>8895.4919676351201</v>
      </c>
      <c r="AP59" s="19">
        <v>3.4087277257404099E-3</v>
      </c>
      <c r="AQ59" s="18">
        <v>6677.8411692255004</v>
      </c>
      <c r="AR59" s="19">
        <v>-4.0006827399029499E-3</v>
      </c>
      <c r="AS59" s="18">
        <v>5700.2634477846004</v>
      </c>
      <c r="AT59" s="19">
        <v>3.2173402598318899E-3</v>
      </c>
      <c r="AU59" s="18">
        <v>776.029793399146</v>
      </c>
      <c r="AV59" s="19">
        <v>-2.1660202760021799E-2</v>
      </c>
      <c r="AW59" s="18">
        <v>2740.8335565713801</v>
      </c>
      <c r="AX59" s="19">
        <v>-1.6725506253581601E-2</v>
      </c>
      <c r="AY59" s="18">
        <v>421.02705152387398</v>
      </c>
      <c r="AZ59" s="19">
        <v>-9.4598586974059496E-4</v>
      </c>
      <c r="BA59" s="18">
        <v>2347.7097515277701</v>
      </c>
      <c r="BB59" s="19">
        <v>-6.5629331304309898E-3</v>
      </c>
      <c r="BC59" s="18">
        <v>5254.22286368191</v>
      </c>
      <c r="BD59" s="19">
        <v>-7.2367286107730697E-3</v>
      </c>
      <c r="BE59" s="18">
        <v>-3121.60867263717</v>
      </c>
      <c r="BF59" s="19">
        <v>-7.9119987655678105E-3</v>
      </c>
      <c r="BG59" s="18"/>
      <c r="BH59" s="19"/>
    </row>
    <row r="60" spans="1:60" x14ac:dyDescent="0.15">
      <c r="A60" s="17">
        <v>1992</v>
      </c>
      <c r="B60" s="17">
        <v>1</v>
      </c>
      <c r="C60" s="18">
        <v>113989.295599358</v>
      </c>
      <c r="D60" s="19">
        <v>5.7057482601583498E-3</v>
      </c>
      <c r="E60" s="18">
        <v>111852.614895651</v>
      </c>
      <c r="F60" s="19">
        <v>5.7325756083648196E-3</v>
      </c>
      <c r="G60" s="18">
        <v>1293.8715819211</v>
      </c>
      <c r="H60" s="19">
        <v>2.1571971683418598E-2</v>
      </c>
      <c r="I60" s="18">
        <v>175.36597033153799</v>
      </c>
      <c r="J60" s="19">
        <v>-7.5892291293140901E-2</v>
      </c>
      <c r="K60" s="18">
        <v>17918.951425690298</v>
      </c>
      <c r="L60" s="19">
        <v>1.0349091640425001E-2</v>
      </c>
      <c r="M60" s="18">
        <v>1513.82618809321</v>
      </c>
      <c r="N60" s="19">
        <v>2.6509932905748799E-2</v>
      </c>
      <c r="O60" s="18">
        <v>19340.500491299401</v>
      </c>
      <c r="P60" s="19">
        <v>7.1741328664556301E-3</v>
      </c>
      <c r="Q60" s="18">
        <v>3561.3558304691701</v>
      </c>
      <c r="R60" s="19">
        <v>-2.4440471216879999E-3</v>
      </c>
      <c r="S60" s="18">
        <v>399.75400182547997</v>
      </c>
      <c r="T60" s="19">
        <v>2.98055807341597E-2</v>
      </c>
      <c r="U60" s="18">
        <v>8735.9801770915092</v>
      </c>
      <c r="V60" s="19">
        <v>1.6755067833897901E-3</v>
      </c>
      <c r="W60" s="18">
        <v>15231.3983124719</v>
      </c>
      <c r="X60" s="19">
        <v>1.3442861170051199E-2</v>
      </c>
      <c r="Y60" s="18">
        <v>4588.1455038000504</v>
      </c>
      <c r="Z60" s="19">
        <v>2.1301804529762999E-3</v>
      </c>
      <c r="AA60" s="18">
        <v>6724.7815821084196</v>
      </c>
      <c r="AB60" s="19">
        <v>-8.6607668698257501E-4</v>
      </c>
      <c r="AC60" s="18">
        <v>3682.5119077786499</v>
      </c>
      <c r="AD60" s="19">
        <v>-1.04343172132328E-2</v>
      </c>
      <c r="AE60" s="18">
        <v>4331.2374298906698</v>
      </c>
      <c r="AF60" s="19">
        <v>-6.6009694002727697E-3</v>
      </c>
      <c r="AG60" s="18">
        <v>6792.6652463801402</v>
      </c>
      <c r="AH60" s="19">
        <v>1.6094120125739599E-2</v>
      </c>
      <c r="AI60" s="18">
        <v>3714.1850308295998</v>
      </c>
      <c r="AJ60" s="19">
        <v>7.2041786295011798E-3</v>
      </c>
      <c r="AK60" s="18">
        <v>2333.06937174839</v>
      </c>
      <c r="AL60" s="19">
        <v>2.7395569508386699E-2</v>
      </c>
      <c r="AM60" s="18">
        <v>22463.300730338298</v>
      </c>
      <c r="AN60" s="19">
        <v>3.3762966361801099E-3</v>
      </c>
      <c r="AO60" s="18">
        <v>8906.8005938178194</v>
      </c>
      <c r="AP60" s="19">
        <v>1.27127608274469E-3</v>
      </c>
      <c r="AQ60" s="18">
        <v>6672.9614964648899</v>
      </c>
      <c r="AR60" s="19">
        <v>-7.3072608900825997E-4</v>
      </c>
      <c r="AS60" s="18">
        <v>5718.16335433733</v>
      </c>
      <c r="AT60" s="19">
        <v>3.14018934680838E-3</v>
      </c>
      <c r="AU60" s="18">
        <v>747.70431522082197</v>
      </c>
      <c r="AV60" s="19">
        <v>-3.6500503484864603E-2</v>
      </c>
      <c r="AW60" s="18">
        <v>2710.9876058947202</v>
      </c>
      <c r="AX60" s="19">
        <v>-1.0889369989320699E-2</v>
      </c>
      <c r="AY60" s="18">
        <v>420.74480845740499</v>
      </c>
      <c r="AZ60" s="19">
        <v>-6.7036800948217E-4</v>
      </c>
      <c r="BA60" s="18">
        <v>2354.6874891112202</v>
      </c>
      <c r="BB60" s="19">
        <v>2.9721466117809099E-3</v>
      </c>
      <c r="BC60" s="18">
        <v>5242.9147073967297</v>
      </c>
      <c r="BD60" s="19">
        <v>-2.15220339497768E-3</v>
      </c>
      <c r="BE60" s="18">
        <v>-3096.3592950709799</v>
      </c>
      <c r="BF60" s="19">
        <v>-8.0885787470776904E-3</v>
      </c>
      <c r="BG60" s="18"/>
      <c r="BH60" s="19"/>
    </row>
    <row r="61" spans="1:60" x14ac:dyDescent="0.15">
      <c r="A61" s="17">
        <v>1992</v>
      </c>
      <c r="B61" s="17">
        <v>2</v>
      </c>
      <c r="C61" s="18">
        <v>113891.596667185</v>
      </c>
      <c r="D61" s="19">
        <v>-8.5708865608813401E-4</v>
      </c>
      <c r="E61" s="18">
        <v>111771.252055797</v>
      </c>
      <c r="F61" s="19">
        <v>-7.2741115555585701E-4</v>
      </c>
      <c r="G61" s="18">
        <v>1299.4469355219901</v>
      </c>
      <c r="H61" s="19">
        <v>4.3090471100779596E-3</v>
      </c>
      <c r="I61" s="18">
        <v>166.50695960415001</v>
      </c>
      <c r="J61" s="19">
        <v>-5.0517273736971402E-2</v>
      </c>
      <c r="K61" s="18">
        <v>17829.108471901902</v>
      </c>
      <c r="L61" s="19">
        <v>-5.01385107052843E-3</v>
      </c>
      <c r="M61" s="18">
        <v>1520.1228203415401</v>
      </c>
      <c r="N61" s="19">
        <v>4.1594155906716796E-3</v>
      </c>
      <c r="O61" s="18">
        <v>19206.667074915</v>
      </c>
      <c r="P61" s="19">
        <v>-6.9198527951540604E-3</v>
      </c>
      <c r="Q61" s="18">
        <v>3600.1957168625399</v>
      </c>
      <c r="R61" s="19">
        <v>1.0905926911621001E-2</v>
      </c>
      <c r="S61" s="18">
        <v>406.76958348511999</v>
      </c>
      <c r="T61" s="19">
        <v>1.7549747163512201E-2</v>
      </c>
      <c r="U61" s="18">
        <v>8676.3630972705196</v>
      </c>
      <c r="V61" s="19">
        <v>-6.8243149151502296E-3</v>
      </c>
      <c r="W61" s="18">
        <v>15283.0056708309</v>
      </c>
      <c r="X61" s="19">
        <v>3.3882219675600601E-3</v>
      </c>
      <c r="Y61" s="18">
        <v>4553.0788771772995</v>
      </c>
      <c r="Z61" s="19">
        <v>-7.6428758838844599E-3</v>
      </c>
      <c r="AA61" s="18">
        <v>6730.6745155972903</v>
      </c>
      <c r="AB61" s="19">
        <v>8.7630109869274398E-4</v>
      </c>
      <c r="AC61" s="18">
        <v>3643.7901091961098</v>
      </c>
      <c r="AD61" s="19">
        <v>-1.0515050474311401E-2</v>
      </c>
      <c r="AE61" s="18">
        <v>4280.9624537970903</v>
      </c>
      <c r="AF61" s="19">
        <v>-1.16075317752434E-2</v>
      </c>
      <c r="AG61" s="18">
        <v>6834.9062290995998</v>
      </c>
      <c r="AH61" s="19">
        <v>6.2186168738365098E-3</v>
      </c>
      <c r="AI61" s="18">
        <v>3666.2897848411299</v>
      </c>
      <c r="AJ61" s="19">
        <v>-1.28952234718815E-2</v>
      </c>
      <c r="AK61" s="18">
        <v>2382.07248043144</v>
      </c>
      <c r="AL61" s="19">
        <v>2.1003708366515501E-2</v>
      </c>
      <c r="AM61" s="18">
        <v>22433.1706553162</v>
      </c>
      <c r="AN61" s="19">
        <v>-1.34130221483841E-3</v>
      </c>
      <c r="AO61" s="18">
        <v>8906.4532511434099</v>
      </c>
      <c r="AP61" s="19">
        <v>-3.899746836733E-5</v>
      </c>
      <c r="AQ61" s="18">
        <v>6696.7873354481599</v>
      </c>
      <c r="AR61" s="19">
        <v>3.5705044897818001E-3</v>
      </c>
      <c r="AS61" s="18">
        <v>5778.6885255052002</v>
      </c>
      <c r="AT61" s="19">
        <v>1.0584722299330499E-2</v>
      </c>
      <c r="AU61" s="18">
        <v>731.35220805137999</v>
      </c>
      <c r="AV61" s="19">
        <v>-2.1869750965143299E-2</v>
      </c>
      <c r="AW61" s="18">
        <v>2675.3820033153602</v>
      </c>
      <c r="AX61" s="19">
        <v>-1.31338123796459E-2</v>
      </c>
      <c r="AY61" s="18">
        <v>420.29069301755499</v>
      </c>
      <c r="AZ61" s="19">
        <v>-1.07931323387123E-3</v>
      </c>
      <c r="BA61" s="18">
        <v>2339.2573653451</v>
      </c>
      <c r="BB61" s="19">
        <v>-6.5529391214227397E-3</v>
      </c>
      <c r="BC61" s="18">
        <v>5205.4878303241003</v>
      </c>
      <c r="BD61" s="19">
        <v>-7.13856302484273E-3</v>
      </c>
      <c r="BE61" s="18">
        <v>-3072.5199445917301</v>
      </c>
      <c r="BF61" s="19">
        <v>-7.6991551068382701E-3</v>
      </c>
      <c r="BG61" s="18"/>
      <c r="BH61" s="19"/>
    </row>
    <row r="62" spans="1:60" x14ac:dyDescent="0.15">
      <c r="A62" s="17">
        <v>1992</v>
      </c>
      <c r="B62" s="17">
        <v>3</v>
      </c>
      <c r="C62" s="18">
        <v>113064.659014055</v>
      </c>
      <c r="D62" s="19">
        <v>-7.2607433500668801E-3</v>
      </c>
      <c r="E62" s="18">
        <v>110973.89366142001</v>
      </c>
      <c r="F62" s="19">
        <v>-7.13384148170237E-3</v>
      </c>
      <c r="G62" s="18">
        <v>1290.3734479345601</v>
      </c>
      <c r="H62" s="19">
        <v>-6.9825764634168204E-3</v>
      </c>
      <c r="I62" s="18">
        <v>162.00234135647699</v>
      </c>
      <c r="J62" s="19">
        <v>-2.7053633423982398E-2</v>
      </c>
      <c r="K62" s="18">
        <v>17651.320589807201</v>
      </c>
      <c r="L62" s="19">
        <v>-9.9717763439970408E-3</v>
      </c>
      <c r="M62" s="18">
        <v>1516.1025115687401</v>
      </c>
      <c r="N62" s="19">
        <v>-2.6447262806646998E-3</v>
      </c>
      <c r="O62" s="18">
        <v>18985.576062358199</v>
      </c>
      <c r="P62" s="19">
        <v>-1.15111597287761E-2</v>
      </c>
      <c r="Q62" s="18">
        <v>3639.91941941703</v>
      </c>
      <c r="R62" s="19">
        <v>1.10337619614502E-2</v>
      </c>
      <c r="S62" s="18">
        <v>412.71551948208503</v>
      </c>
      <c r="T62" s="19">
        <v>1.46174547910427E-2</v>
      </c>
      <c r="U62" s="18">
        <v>8593.2738342831308</v>
      </c>
      <c r="V62" s="19">
        <v>-9.5765082737868708E-3</v>
      </c>
      <c r="W62" s="18">
        <v>15148.5272065055</v>
      </c>
      <c r="X62" s="19">
        <v>-8.7992157578053991E-3</v>
      </c>
      <c r="Y62" s="18">
        <v>4537.9237140987298</v>
      </c>
      <c r="Z62" s="19">
        <v>-3.3285527194649701E-3</v>
      </c>
      <c r="AA62" s="18">
        <v>6697.4244059142302</v>
      </c>
      <c r="AB62" s="19">
        <v>-4.9400858125007198E-3</v>
      </c>
      <c r="AC62" s="18">
        <v>3604.0435585036998</v>
      </c>
      <c r="AD62" s="19">
        <v>-1.09080242004318E-2</v>
      </c>
      <c r="AE62" s="18">
        <v>4214.5659052234196</v>
      </c>
      <c r="AF62" s="19">
        <v>-1.55097245748511E-2</v>
      </c>
      <c r="AG62" s="18">
        <v>6950.2060754274398</v>
      </c>
      <c r="AH62" s="19">
        <v>1.6869265277839902E-2</v>
      </c>
      <c r="AI62" s="18">
        <v>3753.34513523127</v>
      </c>
      <c r="AJ62" s="19">
        <v>2.3744808921019701E-2</v>
      </c>
      <c r="AK62" s="18">
        <v>2418.90288609766</v>
      </c>
      <c r="AL62" s="19">
        <v>1.5461496645787101E-2</v>
      </c>
      <c r="AM62" s="18">
        <v>22232.3633174325</v>
      </c>
      <c r="AN62" s="19">
        <v>-8.9513578338532608E-3</v>
      </c>
      <c r="AO62" s="18">
        <v>8844.0881975380107</v>
      </c>
      <c r="AP62" s="19">
        <v>-7.0022321845565304E-3</v>
      </c>
      <c r="AQ62" s="18">
        <v>6749.3407926238497</v>
      </c>
      <c r="AR62" s="19">
        <v>7.8475625017251395E-3</v>
      </c>
      <c r="AS62" s="18">
        <v>5624.3980483867999</v>
      </c>
      <c r="AT62" s="19">
        <v>-2.6699912348176001E-2</v>
      </c>
      <c r="AU62" s="18">
        <v>659.43005511935701</v>
      </c>
      <c r="AV62" s="19">
        <v>-9.8341335597594295E-2</v>
      </c>
      <c r="AW62" s="18">
        <v>2615.9879296537001</v>
      </c>
      <c r="AX62" s="19">
        <v>-2.22002217208833E-2</v>
      </c>
      <c r="AY62" s="18">
        <v>420.16179979502101</v>
      </c>
      <c r="AZ62" s="19">
        <v>-3.0667636632253402E-4</v>
      </c>
      <c r="BA62" s="18">
        <v>2309.1574290403</v>
      </c>
      <c r="BB62" s="19">
        <v>-1.28673042781499E-2</v>
      </c>
      <c r="BC62" s="18">
        <v>5150.2633942055099</v>
      </c>
      <c r="BD62" s="19">
        <v>-1.06088877582011E-2</v>
      </c>
      <c r="BE62" s="18">
        <v>-3046.5740270347901</v>
      </c>
      <c r="BF62" s="19">
        <v>-8.4445074482306596E-3</v>
      </c>
      <c r="BG62" s="18"/>
      <c r="BH62" s="19"/>
    </row>
    <row r="63" spans="1:60" x14ac:dyDescent="0.15">
      <c r="A63" s="17">
        <v>1992</v>
      </c>
      <c r="B63" s="17">
        <v>4</v>
      </c>
      <c r="C63" s="18">
        <v>112497.450032553</v>
      </c>
      <c r="D63" s="19">
        <v>-5.0166779473608302E-3</v>
      </c>
      <c r="E63" s="18">
        <v>110407.35469871901</v>
      </c>
      <c r="F63" s="19">
        <v>-5.1051553118339798E-3</v>
      </c>
      <c r="G63" s="18">
        <v>1280.4787158972199</v>
      </c>
      <c r="H63" s="19">
        <v>-7.6681150353594702E-3</v>
      </c>
      <c r="I63" s="18">
        <v>160.11219266725499</v>
      </c>
      <c r="J63" s="19">
        <v>-1.16674158743375E-2</v>
      </c>
      <c r="K63" s="18">
        <v>17389.822465215901</v>
      </c>
      <c r="L63" s="19">
        <v>-1.48146493210449E-2</v>
      </c>
      <c r="M63" s="18">
        <v>1526.6367933690699</v>
      </c>
      <c r="N63" s="19">
        <v>6.9482648567284998E-3</v>
      </c>
      <c r="O63" s="18">
        <v>18616.7250298201</v>
      </c>
      <c r="P63" s="19">
        <v>-1.9427961065105401E-2</v>
      </c>
      <c r="Q63" s="18">
        <v>3563.8390142639701</v>
      </c>
      <c r="R63" s="19">
        <v>-2.0901672918144501E-2</v>
      </c>
      <c r="S63" s="18">
        <v>413.93504482857003</v>
      </c>
      <c r="T63" s="19">
        <v>2.95488124123611E-3</v>
      </c>
      <c r="U63" s="18">
        <v>8623.0944836758208</v>
      </c>
      <c r="V63" s="19">
        <v>3.4702314819437001E-3</v>
      </c>
      <c r="W63" s="18">
        <v>14888.3571176604</v>
      </c>
      <c r="X63" s="19">
        <v>-1.7174612772482702E-2</v>
      </c>
      <c r="Y63" s="18">
        <v>4507.0850539902203</v>
      </c>
      <c r="Z63" s="19">
        <v>-6.7957643299959604E-3</v>
      </c>
      <c r="AA63" s="18">
        <v>6643.38963615581</v>
      </c>
      <c r="AB63" s="19">
        <v>-8.0679924824099691E-3</v>
      </c>
      <c r="AC63" s="18">
        <v>3579.7163743107599</v>
      </c>
      <c r="AD63" s="19">
        <v>-6.7499695267393403E-3</v>
      </c>
      <c r="AE63" s="18">
        <v>4131.0128129290197</v>
      </c>
      <c r="AF63" s="19">
        <v>-1.9824839419605601E-2</v>
      </c>
      <c r="AG63" s="18">
        <v>7225.2450674146203</v>
      </c>
      <c r="AH63" s="19">
        <v>3.9572782303474802E-2</v>
      </c>
      <c r="AI63" s="18">
        <v>4061.82523481729</v>
      </c>
      <c r="AJ63" s="19">
        <v>8.2188045189455702E-2</v>
      </c>
      <c r="AK63" s="18">
        <v>2444.0537113658702</v>
      </c>
      <c r="AL63" s="19">
        <v>1.0397616792622501E-2</v>
      </c>
      <c r="AM63" s="18">
        <v>22080.731095246199</v>
      </c>
      <c r="AN63" s="19">
        <v>-6.82033754222733E-3</v>
      </c>
      <c r="AO63" s="18">
        <v>8785.6223246005502</v>
      </c>
      <c r="AP63" s="19">
        <v>-6.6107292952746199E-3</v>
      </c>
      <c r="AQ63" s="18">
        <v>6830.6706289315998</v>
      </c>
      <c r="AR63" s="19">
        <v>1.20500414494753E-2</v>
      </c>
      <c r="AS63" s="18">
        <v>5640.2354395395396</v>
      </c>
      <c r="AT63" s="19">
        <v>2.8158375378997099E-3</v>
      </c>
      <c r="AU63" s="18">
        <v>662.48392658497903</v>
      </c>
      <c r="AV63" s="19">
        <v>4.6310771580910801E-3</v>
      </c>
      <c r="AW63" s="18">
        <v>2589.6340735246099</v>
      </c>
      <c r="AX63" s="19">
        <v>-1.00741505074806E-2</v>
      </c>
      <c r="AY63" s="18">
        <v>420.40461444568899</v>
      </c>
      <c r="AZ63" s="19">
        <v>5.7790748894070998E-4</v>
      </c>
      <c r="BA63" s="18">
        <v>2306.6523813161102</v>
      </c>
      <c r="BB63" s="19">
        <v>-1.0848319359648699E-3</v>
      </c>
      <c r="BC63" s="18">
        <v>5113.3816268085402</v>
      </c>
      <c r="BD63" s="19">
        <v>-7.1611419793522497E-3</v>
      </c>
      <c r="BE63" s="18">
        <v>-3007.0950849891101</v>
      </c>
      <c r="BF63" s="19">
        <v>-1.29584712845787E-2</v>
      </c>
      <c r="BG63" s="18"/>
      <c r="BH63" s="19"/>
    </row>
    <row r="64" spans="1:60" x14ac:dyDescent="0.15">
      <c r="A64" s="17">
        <v>1993</v>
      </c>
      <c r="B64" s="17">
        <v>1</v>
      </c>
      <c r="C64" s="18">
        <v>112123.535402172</v>
      </c>
      <c r="D64" s="19">
        <v>-3.3237609410098302E-3</v>
      </c>
      <c r="E64" s="18">
        <v>110012.0046648</v>
      </c>
      <c r="F64" s="19">
        <v>-3.5808305977330598E-3</v>
      </c>
      <c r="G64" s="18">
        <v>1265.46977451783</v>
      </c>
      <c r="H64" s="19">
        <v>-1.17213517046837E-2</v>
      </c>
      <c r="I64" s="18">
        <v>166.39196615602799</v>
      </c>
      <c r="J64" s="19">
        <v>3.9221082318341399E-2</v>
      </c>
      <c r="K64" s="18">
        <v>17456.209949153599</v>
      </c>
      <c r="L64" s="19">
        <v>3.81760561790934E-3</v>
      </c>
      <c r="M64" s="18">
        <v>1544.55204904994</v>
      </c>
      <c r="N64" s="19">
        <v>1.1735113262491E-2</v>
      </c>
      <c r="O64" s="18">
        <v>18655.729895513301</v>
      </c>
      <c r="P64" s="19">
        <v>2.0951518395815301E-3</v>
      </c>
      <c r="Q64" s="18">
        <v>3631.7499644669601</v>
      </c>
      <c r="R64" s="19">
        <v>1.90555605713876E-2</v>
      </c>
      <c r="S64" s="18">
        <v>410.90270069533301</v>
      </c>
      <c r="T64" s="19">
        <v>-7.3256521068241201E-3</v>
      </c>
      <c r="U64" s="18">
        <v>8415.3484151992197</v>
      </c>
      <c r="V64" s="19">
        <v>-2.40918232856989E-2</v>
      </c>
      <c r="W64" s="18">
        <v>14598.047045567</v>
      </c>
      <c r="X64" s="19">
        <v>-1.9499134108554899E-2</v>
      </c>
      <c r="Y64" s="18">
        <v>4443.0498243259399</v>
      </c>
      <c r="Z64" s="19">
        <v>-1.4207681660585499E-2</v>
      </c>
      <c r="AA64" s="18">
        <v>6607.8565466500004</v>
      </c>
      <c r="AB64" s="19">
        <v>-5.3486384890664204E-3</v>
      </c>
      <c r="AC64" s="18">
        <v>3549.4778232724402</v>
      </c>
      <c r="AD64" s="19">
        <v>-8.4471918656235899E-3</v>
      </c>
      <c r="AE64" s="18">
        <v>4060.7517281729702</v>
      </c>
      <c r="AF64" s="19">
        <v>-1.7008198216222299E-2</v>
      </c>
      <c r="AG64" s="18">
        <v>7295.50800106325</v>
      </c>
      <c r="AH64" s="19">
        <v>9.7246436616407195E-3</v>
      </c>
      <c r="AI64" s="18">
        <v>4107.7922871327501</v>
      </c>
      <c r="AJ64" s="19">
        <v>1.13168464072368E-2</v>
      </c>
      <c r="AK64" s="18">
        <v>2457.49754446929</v>
      </c>
      <c r="AL64" s="19">
        <v>5.5006291559376299E-3</v>
      </c>
      <c r="AM64" s="18">
        <v>22039.4085386404</v>
      </c>
      <c r="AN64" s="19">
        <v>-1.87143063459017E-3</v>
      </c>
      <c r="AO64" s="18">
        <v>8800.88055651176</v>
      </c>
      <c r="AP64" s="19">
        <v>1.7367275017599001E-3</v>
      </c>
      <c r="AQ64" s="18">
        <v>6940.85230504429</v>
      </c>
      <c r="AR64" s="19">
        <v>1.6130433173867899E-2</v>
      </c>
      <c r="AS64" s="18">
        <v>5661.0778243642299</v>
      </c>
      <c r="AT64" s="19">
        <v>3.6953040432636799E-3</v>
      </c>
      <c r="AU64" s="18">
        <v>648.45593085085795</v>
      </c>
      <c r="AV64" s="19">
        <v>-2.1174846922602401E-2</v>
      </c>
      <c r="AW64" s="18">
        <v>2590.7781643973399</v>
      </c>
      <c r="AX64" s="19">
        <v>4.4179634660346202E-4</v>
      </c>
      <c r="AY64" s="18">
        <v>421.07058415211998</v>
      </c>
      <c r="AZ64" s="19">
        <v>1.58411607186681E-3</v>
      </c>
      <c r="BA64" s="18">
        <v>2326.1162485660002</v>
      </c>
      <c r="BB64" s="19">
        <v>8.4381449964248106E-3</v>
      </c>
      <c r="BC64" s="18">
        <v>5112.4020400484496</v>
      </c>
      <c r="BD64" s="19">
        <v>-1.9157317634210799E-4</v>
      </c>
      <c r="BE64" s="18">
        <v>-2983.7035989917899</v>
      </c>
      <c r="BF64" s="19">
        <v>-7.7787649995146903E-3</v>
      </c>
      <c r="BG64" s="18"/>
      <c r="BH64" s="19"/>
    </row>
    <row r="65" spans="1:60" x14ac:dyDescent="0.15">
      <c r="A65" s="17">
        <v>1993</v>
      </c>
      <c r="B65" s="17">
        <v>2</v>
      </c>
      <c r="C65" s="18">
        <v>113152.250481785</v>
      </c>
      <c r="D65" s="19">
        <v>9.1748362725438994E-3</v>
      </c>
      <c r="E65" s="18">
        <v>110977.020984439</v>
      </c>
      <c r="F65" s="19">
        <v>8.7719183245460498E-3</v>
      </c>
      <c r="G65" s="18">
        <v>1251.7072933173099</v>
      </c>
      <c r="H65" s="19">
        <v>-1.08753930577032E-2</v>
      </c>
      <c r="I65" s="18">
        <v>164.71746422313899</v>
      </c>
      <c r="J65" s="19">
        <v>-1.0063598451131601E-2</v>
      </c>
      <c r="K65" s="18">
        <v>17627.027063056001</v>
      </c>
      <c r="L65" s="19">
        <v>9.7854639924690508E-3</v>
      </c>
      <c r="M65" s="18">
        <v>1591.90109675094</v>
      </c>
      <c r="N65" s="19">
        <v>3.0655520951930599E-2</v>
      </c>
      <c r="O65" s="18">
        <v>18752.7293904158</v>
      </c>
      <c r="P65" s="19">
        <v>5.1994478610986102E-3</v>
      </c>
      <c r="Q65" s="18">
        <v>3582.5434580702899</v>
      </c>
      <c r="R65" s="19">
        <v>-1.35489796594197E-2</v>
      </c>
      <c r="S65" s="18">
        <v>405.88594124658101</v>
      </c>
      <c r="T65" s="19">
        <v>-1.2209117730944E-2</v>
      </c>
      <c r="U65" s="18">
        <v>8442.2343194560508</v>
      </c>
      <c r="V65" s="19">
        <v>3.1948652545710199E-3</v>
      </c>
      <c r="W65" s="18">
        <v>14691.5812981413</v>
      </c>
      <c r="X65" s="19">
        <v>6.4073127235668697E-3</v>
      </c>
      <c r="Y65" s="18">
        <v>4462.0849874621999</v>
      </c>
      <c r="Z65" s="19">
        <v>4.2842560603397802E-3</v>
      </c>
      <c r="AA65" s="18">
        <v>6557.9972625755499</v>
      </c>
      <c r="AB65" s="19">
        <v>-7.5454549780928897E-3</v>
      </c>
      <c r="AC65" s="18">
        <v>3525.0687127186002</v>
      </c>
      <c r="AD65" s="19">
        <v>-6.8768173148742199E-3</v>
      </c>
      <c r="AE65" s="18">
        <v>4065.2578584193502</v>
      </c>
      <c r="AF65" s="19">
        <v>1.10967883486124E-3</v>
      </c>
      <c r="AG65" s="18">
        <v>7468.8225798105304</v>
      </c>
      <c r="AH65" s="19">
        <v>2.3756341398299099E-2</v>
      </c>
      <c r="AI65" s="18">
        <v>4296.0453160796196</v>
      </c>
      <c r="AJ65" s="19">
        <v>4.58282736292559E-2</v>
      </c>
      <c r="AK65" s="18">
        <v>2467.73163392885</v>
      </c>
      <c r="AL65" s="19">
        <v>4.1644352738410299E-3</v>
      </c>
      <c r="AM65" s="18">
        <v>22515.577057251699</v>
      </c>
      <c r="AN65" s="19">
        <v>2.16053220201631E-2</v>
      </c>
      <c r="AO65" s="18">
        <v>8898.0255715571093</v>
      </c>
      <c r="AP65" s="19">
        <v>1.1038101746929201E-2</v>
      </c>
      <c r="AQ65" s="18">
        <v>6943.9967284590803</v>
      </c>
      <c r="AR65" s="19">
        <v>4.5303131036389399E-4</v>
      </c>
      <c r="AS65" s="18">
        <v>5741.8683290102799</v>
      </c>
      <c r="AT65" s="19">
        <v>1.4271223104960399E-2</v>
      </c>
      <c r="AU65" s="18">
        <v>657.64735096793004</v>
      </c>
      <c r="AV65" s="19">
        <v>1.41743172971094E-2</v>
      </c>
      <c r="AW65" s="18">
        <v>2575.85495198741</v>
      </c>
      <c r="AX65" s="19">
        <v>-5.7601274454898198E-3</v>
      </c>
      <c r="AY65" s="18">
        <v>422.83972900505</v>
      </c>
      <c r="AZ65" s="19">
        <v>4.2015398831347604E-3</v>
      </c>
      <c r="BA65" s="18">
        <v>2390.0101045129099</v>
      </c>
      <c r="BB65" s="19">
        <v>2.7468040768083801E-2</v>
      </c>
      <c r="BC65" s="18">
        <v>5159.6853469505304</v>
      </c>
      <c r="BD65" s="19">
        <v>9.2487458012273597E-3</v>
      </c>
      <c r="BE65" s="18">
        <v>-2961.3244217440001</v>
      </c>
      <c r="BF65" s="19">
        <v>-7.5004693010903801E-3</v>
      </c>
      <c r="BG65" s="18"/>
      <c r="BH65" s="19"/>
    </row>
    <row r="66" spans="1:60" x14ac:dyDescent="0.15">
      <c r="A66" s="17">
        <v>1993</v>
      </c>
      <c r="B66" s="17">
        <v>3</v>
      </c>
      <c r="C66" s="18">
        <v>113583.718606511</v>
      </c>
      <c r="D66" s="19">
        <v>3.8131643240701999E-3</v>
      </c>
      <c r="E66" s="18">
        <v>111350.171447378</v>
      </c>
      <c r="F66" s="19">
        <v>3.3624119626669601E-3</v>
      </c>
      <c r="G66" s="18">
        <v>1229.8914796122699</v>
      </c>
      <c r="H66" s="19">
        <v>-1.74288460421291E-2</v>
      </c>
      <c r="I66" s="18">
        <v>163.29875677931699</v>
      </c>
      <c r="J66" s="19">
        <v>-8.6129752574373199E-3</v>
      </c>
      <c r="K66" s="18">
        <v>17736.3176845696</v>
      </c>
      <c r="L66" s="19">
        <v>6.2001732409366897E-3</v>
      </c>
      <c r="M66" s="18">
        <v>1623.23661713807</v>
      </c>
      <c r="N66" s="19">
        <v>1.96843387136834E-2</v>
      </c>
      <c r="O66" s="18">
        <v>18812.027517995401</v>
      </c>
      <c r="P66" s="19">
        <v>3.1621065043434498E-3</v>
      </c>
      <c r="Q66" s="18">
        <v>3827.1783880938101</v>
      </c>
      <c r="R66" s="19">
        <v>6.8285265171712101E-2</v>
      </c>
      <c r="S66" s="18">
        <v>428.68831537924501</v>
      </c>
      <c r="T66" s="19">
        <v>5.6179265688859802E-2</v>
      </c>
      <c r="U66" s="18">
        <v>8388.2728131151198</v>
      </c>
      <c r="V66" s="19">
        <v>-6.3918512918520499E-3</v>
      </c>
      <c r="W66" s="18">
        <v>14633.2568601768</v>
      </c>
      <c r="X66" s="19">
        <v>-3.9699224188946003E-3</v>
      </c>
      <c r="Y66" s="18">
        <v>4421.64952441074</v>
      </c>
      <c r="Z66" s="19">
        <v>-9.0620109578991598E-3</v>
      </c>
      <c r="AA66" s="18">
        <v>6498.4749918669904</v>
      </c>
      <c r="AB66" s="19">
        <v>-9.0762878246741802E-3</v>
      </c>
      <c r="AC66" s="18">
        <v>3472.2794745535898</v>
      </c>
      <c r="AD66" s="19">
        <v>-1.4975378486820101E-2</v>
      </c>
      <c r="AE66" s="18">
        <v>4025.4477396703901</v>
      </c>
      <c r="AF66" s="19">
        <v>-9.7927659537050404E-3</v>
      </c>
      <c r="AG66" s="18">
        <v>7663.5507085831196</v>
      </c>
      <c r="AH66" s="19">
        <v>2.60721320786177E-2</v>
      </c>
      <c r="AI66" s="18">
        <v>4507.3623927845401</v>
      </c>
      <c r="AJ66" s="19">
        <v>4.9188744800709797E-2</v>
      </c>
      <c r="AK66" s="18">
        <v>2474.0637603695</v>
      </c>
      <c r="AL66" s="19">
        <v>2.5659704457297E-3</v>
      </c>
      <c r="AM66" s="18">
        <v>22675.281146015201</v>
      </c>
      <c r="AN66" s="19">
        <v>7.0930488859986002E-3</v>
      </c>
      <c r="AO66" s="18">
        <v>8923.0561679330494</v>
      </c>
      <c r="AP66" s="19">
        <v>2.81305062282122E-3</v>
      </c>
      <c r="AQ66" s="18">
        <v>6840.1068166822597</v>
      </c>
      <c r="AR66" s="19">
        <v>-1.4961111855229499E-2</v>
      </c>
      <c r="AS66" s="18">
        <v>5786.7945292609102</v>
      </c>
      <c r="AT66" s="19">
        <v>7.8243173957244193E-3</v>
      </c>
      <c r="AU66" s="18">
        <v>633.62331110233094</v>
      </c>
      <c r="AV66" s="19">
        <v>-3.6530276948945797E-2</v>
      </c>
      <c r="AW66" s="18">
        <v>2529.5355880619099</v>
      </c>
      <c r="AX66" s="19">
        <v>-1.79821320644491E-2</v>
      </c>
      <c r="AY66" s="18">
        <v>425.67247898580501</v>
      </c>
      <c r="AZ66" s="19">
        <v>6.6993467889608898E-3</v>
      </c>
      <c r="BA66" s="18">
        <v>2447.14449929185</v>
      </c>
      <c r="BB66" s="19">
        <v>2.3905503441617602E-2</v>
      </c>
      <c r="BC66" s="18">
        <v>5205.0141667462503</v>
      </c>
      <c r="BD66" s="19">
        <v>8.7851907137137496E-3</v>
      </c>
      <c r="BE66" s="18">
        <v>-2944.72667631788</v>
      </c>
      <c r="BF66" s="19">
        <v>-5.6048386000022701E-3</v>
      </c>
      <c r="BG66" s="18"/>
      <c r="BH66" s="19"/>
    </row>
    <row r="67" spans="1:60" x14ac:dyDescent="0.15">
      <c r="A67" s="17">
        <v>1993</v>
      </c>
      <c r="B67" s="17">
        <v>4</v>
      </c>
      <c r="C67" s="18">
        <v>114205.28714665399</v>
      </c>
      <c r="D67" s="19">
        <v>5.4723383577264303E-3</v>
      </c>
      <c r="E67" s="18">
        <v>111888.745488131</v>
      </c>
      <c r="F67" s="19">
        <v>4.8367598698113596E-3</v>
      </c>
      <c r="G67" s="18">
        <v>1204.8692535975799</v>
      </c>
      <c r="H67" s="19">
        <v>-2.0345068186480401E-2</v>
      </c>
      <c r="I67" s="18">
        <v>157.085891078895</v>
      </c>
      <c r="J67" s="19">
        <v>-3.8046007348471397E-2</v>
      </c>
      <c r="K67" s="18">
        <v>17941.304613740402</v>
      </c>
      <c r="L67" s="19">
        <v>1.1557468287183299E-2</v>
      </c>
      <c r="M67" s="18">
        <v>1675.0185887733901</v>
      </c>
      <c r="N67" s="19">
        <v>3.1900445744386101E-2</v>
      </c>
      <c r="O67" s="18">
        <v>18941.803777116402</v>
      </c>
      <c r="P67" s="19">
        <v>6.8985790604874104E-3</v>
      </c>
      <c r="Q67" s="18">
        <v>4084.98693537484</v>
      </c>
      <c r="R67" s="19">
        <v>6.7362563522793004E-2</v>
      </c>
      <c r="S67" s="18">
        <v>421.52645879193801</v>
      </c>
      <c r="T67" s="19">
        <v>-1.6706442257403101E-2</v>
      </c>
      <c r="U67" s="18">
        <v>8460.0084850475905</v>
      </c>
      <c r="V67" s="19">
        <v>8.5519001981331205E-3</v>
      </c>
      <c r="W67" s="18">
        <v>14466.6676835124</v>
      </c>
      <c r="X67" s="19">
        <v>-1.13842856895198E-2</v>
      </c>
      <c r="Y67" s="18">
        <v>4388.3001300571505</v>
      </c>
      <c r="Z67" s="19">
        <v>-7.5422970928566997E-3</v>
      </c>
      <c r="AA67" s="18">
        <v>6460.9679046793999</v>
      </c>
      <c r="AB67" s="19">
        <v>-5.7716752368100997E-3</v>
      </c>
      <c r="AC67" s="18">
        <v>3414.3166472165299</v>
      </c>
      <c r="AD67" s="19">
        <v>-1.6693019027369499E-2</v>
      </c>
      <c r="AE67" s="18">
        <v>3995.1338705212002</v>
      </c>
      <c r="AF67" s="19">
        <v>-7.5305583650856498E-3</v>
      </c>
      <c r="AG67" s="18">
        <v>7901.6968717260697</v>
      </c>
      <c r="AH67" s="19">
        <v>3.1075172879881E-2</v>
      </c>
      <c r="AI67" s="18">
        <v>4770.2029847785398</v>
      </c>
      <c r="AJ67" s="19">
        <v>5.8313614280217897E-2</v>
      </c>
      <c r="AK67" s="18">
        <v>2475.62780211374</v>
      </c>
      <c r="AL67" s="19">
        <v>6.3217519664982003E-4</v>
      </c>
      <c r="AM67" s="18">
        <v>22903.552293627101</v>
      </c>
      <c r="AN67" s="19">
        <v>1.00669599702858E-2</v>
      </c>
      <c r="AO67" s="18">
        <v>9025.2472279612703</v>
      </c>
      <c r="AP67" s="19">
        <v>1.1452473021010399E-2</v>
      </c>
      <c r="AQ67" s="18">
        <v>6629.0861770121701</v>
      </c>
      <c r="AR67" s="19">
        <v>-3.0850488936142301E-2</v>
      </c>
      <c r="AS67" s="18">
        <v>5806.1865374224699</v>
      </c>
      <c r="AT67" s="19">
        <v>3.3510794384536999E-3</v>
      </c>
      <c r="AU67" s="18">
        <v>673.74759224669106</v>
      </c>
      <c r="AV67" s="19">
        <v>6.3325134099871297E-2</v>
      </c>
      <c r="AW67" s="18">
        <v>2451.9571138797101</v>
      </c>
      <c r="AX67" s="19">
        <v>-3.0669058205121801E-2</v>
      </c>
      <c r="AY67" s="18">
        <v>429.59674705004602</v>
      </c>
      <c r="AZ67" s="19">
        <v>9.2189846841654894E-3</v>
      </c>
      <c r="BA67" s="18">
        <v>2528.4748056192998</v>
      </c>
      <c r="BB67" s="19">
        <v>3.3234778882485397E-2</v>
      </c>
      <c r="BC67" s="18">
        <v>5243.5731701655804</v>
      </c>
      <c r="BD67" s="19">
        <v>7.4080496582860098E-3</v>
      </c>
      <c r="BE67" s="18">
        <v>-2892.01392183912</v>
      </c>
      <c r="BF67" s="19">
        <v>-1.79007290906434E-2</v>
      </c>
      <c r="BG67" s="18"/>
      <c r="BH67" s="19"/>
    </row>
    <row r="68" spans="1:60" x14ac:dyDescent="0.15">
      <c r="A68" s="17">
        <v>1994</v>
      </c>
      <c r="B68" s="17">
        <v>1</v>
      </c>
      <c r="C68" s="18">
        <v>114847.66398083</v>
      </c>
      <c r="D68" s="19">
        <v>5.6247556503299396E-3</v>
      </c>
      <c r="E68" s="18">
        <v>112435.547207929</v>
      </c>
      <c r="F68" s="19">
        <v>4.8870126965199203E-3</v>
      </c>
      <c r="G68" s="18">
        <v>1175.0428799793599</v>
      </c>
      <c r="H68" s="19">
        <v>-2.4754863259371599E-2</v>
      </c>
      <c r="I68" s="18">
        <v>155.160545889715</v>
      </c>
      <c r="J68" s="19">
        <v>-1.22566398290553E-2</v>
      </c>
      <c r="K68" s="18">
        <v>18259.281840695301</v>
      </c>
      <c r="L68" s="19">
        <v>1.77231942604275E-2</v>
      </c>
      <c r="M68" s="18">
        <v>1747.1590458672899</v>
      </c>
      <c r="N68" s="19">
        <v>4.30684516443103E-2</v>
      </c>
      <c r="O68" s="18">
        <v>19166.410694842802</v>
      </c>
      <c r="P68" s="19">
        <v>1.1857736484301299E-2</v>
      </c>
      <c r="Q68" s="18">
        <v>4056.6007194095801</v>
      </c>
      <c r="R68" s="19">
        <v>-6.9489123011492503E-3</v>
      </c>
      <c r="S68" s="18">
        <v>413.55177064461401</v>
      </c>
      <c r="T68" s="19">
        <v>-1.8918594505738899E-2</v>
      </c>
      <c r="U68" s="18">
        <v>8561.7054795496806</v>
      </c>
      <c r="V68" s="19">
        <v>1.20209092794441E-2</v>
      </c>
      <c r="W68" s="18">
        <v>14574.548498590701</v>
      </c>
      <c r="X68" s="19">
        <v>7.4571986747971096E-3</v>
      </c>
      <c r="Y68" s="18">
        <v>4384.1626883222198</v>
      </c>
      <c r="Z68" s="19">
        <v>-9.4283472240030996E-4</v>
      </c>
      <c r="AA68" s="18">
        <v>6432.3446525866902</v>
      </c>
      <c r="AB68" s="19">
        <v>-4.4301802013255696E-3</v>
      </c>
      <c r="AC68" s="18">
        <v>3386.1073687090402</v>
      </c>
      <c r="AD68" s="19">
        <v>-8.2620569274038901E-3</v>
      </c>
      <c r="AE68" s="18">
        <v>3951.4779861686602</v>
      </c>
      <c r="AF68" s="19">
        <v>-1.0927264459061401E-2</v>
      </c>
      <c r="AG68" s="18">
        <v>8017.2878130518202</v>
      </c>
      <c r="AH68" s="19">
        <v>1.4628622586036999E-2</v>
      </c>
      <c r="AI68" s="18">
        <v>4847.8963865138903</v>
      </c>
      <c r="AJ68" s="19">
        <v>1.6287231797737799E-2</v>
      </c>
      <c r="AK68" s="18">
        <v>2471.3451339562298</v>
      </c>
      <c r="AL68" s="19">
        <v>-1.7299321626038601E-3</v>
      </c>
      <c r="AM68" s="18">
        <v>23123.243937056999</v>
      </c>
      <c r="AN68" s="19">
        <v>9.5920336117889492E-3</v>
      </c>
      <c r="AO68" s="18">
        <v>9098.4038004666199</v>
      </c>
      <c r="AP68" s="19">
        <v>8.1057693664834396E-3</v>
      </c>
      <c r="AQ68" s="18">
        <v>6310.73901710273</v>
      </c>
      <c r="AR68" s="19">
        <v>-4.8022781935371198E-2</v>
      </c>
      <c r="AS68" s="18">
        <v>5861.6930335712404</v>
      </c>
      <c r="AT68" s="19">
        <v>9.5598885414740504E-3</v>
      </c>
      <c r="AU68" s="18">
        <v>613.17463665709397</v>
      </c>
      <c r="AV68" s="19">
        <v>-8.9904522534335105E-2</v>
      </c>
      <c r="AW68" s="18">
        <v>2308.1888091035698</v>
      </c>
      <c r="AX68" s="19">
        <v>-5.8634102514401598E-2</v>
      </c>
      <c r="AY68" s="18">
        <v>434.67637598140197</v>
      </c>
      <c r="AZ68" s="19">
        <v>1.182417922444E-2</v>
      </c>
      <c r="BA68" s="18">
        <v>2617.9425815602599</v>
      </c>
      <c r="BB68" s="19">
        <v>3.5384088361142901E-2</v>
      </c>
      <c r="BC68" s="18">
        <v>5321.0938851025303</v>
      </c>
      <c r="BD68" s="19">
        <v>1.47839483537704E-2</v>
      </c>
      <c r="BE68" s="18">
        <v>-2871.0238873964099</v>
      </c>
      <c r="BF68" s="19">
        <v>-7.2579299443206197E-3</v>
      </c>
      <c r="BG68" s="18"/>
      <c r="BH68" s="19"/>
    </row>
    <row r="69" spans="1:60" x14ac:dyDescent="0.15">
      <c r="A69" s="17">
        <v>1994</v>
      </c>
      <c r="B69" s="17">
        <v>2</v>
      </c>
      <c r="C69" s="18">
        <v>113892.207624146</v>
      </c>
      <c r="D69" s="19">
        <v>-8.3193364459205298E-3</v>
      </c>
      <c r="E69" s="18">
        <v>111469.69519326001</v>
      </c>
      <c r="F69" s="19">
        <v>-8.5902727264962602E-3</v>
      </c>
      <c r="G69" s="18">
        <v>1162.96325346921</v>
      </c>
      <c r="H69" s="19">
        <v>-1.02801580401508E-2</v>
      </c>
      <c r="I69" s="18">
        <v>147.61000050481499</v>
      </c>
      <c r="J69" s="19">
        <v>-4.8662792088052499E-2</v>
      </c>
      <c r="K69" s="18">
        <v>18232.1053372274</v>
      </c>
      <c r="L69" s="19">
        <v>-1.4883665033996699E-3</v>
      </c>
      <c r="M69" s="18">
        <v>1761.1483460228201</v>
      </c>
      <c r="N69" s="19">
        <v>8.0068841978715392E-3</v>
      </c>
      <c r="O69" s="18">
        <v>19094.154173219598</v>
      </c>
      <c r="P69" s="19">
        <v>-3.7699558239469E-3</v>
      </c>
      <c r="Q69" s="18">
        <v>4319.0305688516</v>
      </c>
      <c r="R69" s="19">
        <v>6.4692058103322805E-2</v>
      </c>
      <c r="S69" s="18">
        <v>416.69993966215799</v>
      </c>
      <c r="T69" s="19">
        <v>7.6125149038472903E-3</v>
      </c>
      <c r="U69" s="18">
        <v>8555.0719985789492</v>
      </c>
      <c r="V69" s="19">
        <v>-7.7478499892058605E-4</v>
      </c>
      <c r="W69" s="18">
        <v>14247.305549328201</v>
      </c>
      <c r="X69" s="19">
        <v>-2.2453041978909499E-2</v>
      </c>
      <c r="Y69" s="18">
        <v>4327.2417240772202</v>
      </c>
      <c r="Z69" s="19">
        <v>-1.29833147835992E-2</v>
      </c>
      <c r="AA69" s="18">
        <v>6404.5784507457402</v>
      </c>
      <c r="AB69" s="19">
        <v>-4.3166533108251999E-3</v>
      </c>
      <c r="AC69" s="18">
        <v>3300.3229157117498</v>
      </c>
      <c r="AD69" s="19">
        <v>-2.5334238893316399E-2</v>
      </c>
      <c r="AE69" s="18">
        <v>3937.8981911259202</v>
      </c>
      <c r="AF69" s="19">
        <v>-3.4366368964404699E-3</v>
      </c>
      <c r="AG69" s="18">
        <v>7644.9813228215799</v>
      </c>
      <c r="AH69" s="19">
        <v>-4.6437959932552501E-2</v>
      </c>
      <c r="AI69" s="18">
        <v>4419.9688829346796</v>
      </c>
      <c r="AJ69" s="19">
        <v>-8.8270761060330605E-2</v>
      </c>
      <c r="AK69" s="18">
        <v>2486.8848036198701</v>
      </c>
      <c r="AL69" s="19">
        <v>6.28793989561549E-3</v>
      </c>
      <c r="AM69" s="18">
        <v>23261.446728850198</v>
      </c>
      <c r="AN69" s="19">
        <v>5.9767908070953403E-3</v>
      </c>
      <c r="AO69" s="18">
        <v>9040.4911467045895</v>
      </c>
      <c r="AP69" s="19">
        <v>-6.36514437390157E-3</v>
      </c>
      <c r="AQ69" s="18">
        <v>6113.8766725209798</v>
      </c>
      <c r="AR69" s="19">
        <v>-3.11948163358097E-2</v>
      </c>
      <c r="AS69" s="18">
        <v>5895.5628661976198</v>
      </c>
      <c r="AT69" s="19">
        <v>5.7781655286957001E-3</v>
      </c>
      <c r="AU69" s="18">
        <v>608.61479724419303</v>
      </c>
      <c r="AV69" s="19">
        <v>-7.4364449217285697E-3</v>
      </c>
      <c r="AW69" s="18">
        <v>2248.29477476699</v>
      </c>
      <c r="AX69" s="19">
        <v>-2.5948498710486101E-2</v>
      </c>
      <c r="AY69" s="18">
        <v>438.47562035892798</v>
      </c>
      <c r="AZ69" s="19">
        <v>8.7403976554936095E-3</v>
      </c>
      <c r="BA69" s="18">
        <v>2624.7003319106302</v>
      </c>
      <c r="BB69" s="19">
        <v>2.58132107173448E-3</v>
      </c>
      <c r="BC69" s="18">
        <v>5311.4326453611602</v>
      </c>
      <c r="BD69" s="19">
        <v>-1.8156491785299401E-3</v>
      </c>
      <c r="BE69" s="18">
        <v>-2852.0300554882601</v>
      </c>
      <c r="BF69" s="19">
        <v>-6.6156997131009403E-3</v>
      </c>
      <c r="BG69" s="18"/>
      <c r="BH69" s="19"/>
    </row>
    <row r="70" spans="1:60" x14ac:dyDescent="0.15">
      <c r="A70" s="17">
        <v>1994</v>
      </c>
      <c r="B70" s="17">
        <v>3</v>
      </c>
      <c r="C70" s="18">
        <v>114828.09928742801</v>
      </c>
      <c r="D70" s="19">
        <v>8.2173458817404992E-3</v>
      </c>
      <c r="E70" s="18">
        <v>112334.835323294</v>
      </c>
      <c r="F70" s="19">
        <v>7.7612137409481799E-3</v>
      </c>
      <c r="G70" s="18">
        <v>1159.53689936521</v>
      </c>
      <c r="H70" s="19">
        <v>-2.9462273152517401E-3</v>
      </c>
      <c r="I70" s="18">
        <v>150.30806593283</v>
      </c>
      <c r="J70" s="19">
        <v>1.8278337638288199E-2</v>
      </c>
      <c r="K70" s="18">
        <v>18369.206247158399</v>
      </c>
      <c r="L70" s="19">
        <v>7.5197519647405304E-3</v>
      </c>
      <c r="M70" s="18">
        <v>1787.70944020979</v>
      </c>
      <c r="N70" s="19">
        <v>1.50816904475748E-2</v>
      </c>
      <c r="O70" s="18">
        <v>19202.632517783899</v>
      </c>
      <c r="P70" s="19">
        <v>5.6812333020983498E-3</v>
      </c>
      <c r="Q70" s="18">
        <v>4531.2506112012397</v>
      </c>
      <c r="R70" s="19">
        <v>4.9136036192971397E-2</v>
      </c>
      <c r="S70" s="18">
        <v>400.74479189473101</v>
      </c>
      <c r="T70" s="19">
        <v>-3.8289297042765798E-2</v>
      </c>
      <c r="U70" s="18">
        <v>8550.9949559359393</v>
      </c>
      <c r="V70" s="19">
        <v>-4.7656438703003201E-4</v>
      </c>
      <c r="W70" s="18">
        <v>14525.941177451799</v>
      </c>
      <c r="X70" s="19">
        <v>1.9557075347262701E-2</v>
      </c>
      <c r="Y70" s="18">
        <v>4334.0089534757299</v>
      </c>
      <c r="Z70" s="19">
        <v>1.5638667377564401E-3</v>
      </c>
      <c r="AA70" s="18">
        <v>6393.7121215798697</v>
      </c>
      <c r="AB70" s="19">
        <v>-1.6966501775927999E-3</v>
      </c>
      <c r="AC70" s="18">
        <v>3279.9213222970998</v>
      </c>
      <c r="AD70" s="19">
        <v>-6.18169613570796E-3</v>
      </c>
      <c r="AE70" s="18">
        <v>3958.7880963903699</v>
      </c>
      <c r="AF70" s="19">
        <v>5.3048362985936796E-3</v>
      </c>
      <c r="AG70" s="18">
        <v>7626.2832085667596</v>
      </c>
      <c r="AH70" s="19">
        <v>-2.4458024768488902E-3</v>
      </c>
      <c r="AI70" s="18">
        <v>4355.7494738453897</v>
      </c>
      <c r="AJ70" s="19">
        <v>-1.4529380362210499E-2</v>
      </c>
      <c r="AK70" s="18">
        <v>2521.7910503041298</v>
      </c>
      <c r="AL70" s="19">
        <v>1.40361333317294E-2</v>
      </c>
      <c r="AM70" s="18">
        <v>23390.055003126399</v>
      </c>
      <c r="AN70" s="19">
        <v>5.5288166628393301E-3</v>
      </c>
      <c r="AO70" s="18">
        <v>9154.6428160603591</v>
      </c>
      <c r="AP70" s="19">
        <v>1.26267110385236E-2</v>
      </c>
      <c r="AQ70" s="18">
        <v>6038.3164874832901</v>
      </c>
      <c r="AR70" s="19">
        <v>-1.23588009842098E-2</v>
      </c>
      <c r="AS70" s="18">
        <v>6090.8269710432896</v>
      </c>
      <c r="AT70" s="19">
        <v>3.3120519495301502E-2</v>
      </c>
      <c r="AU70" s="18">
        <v>619.36309562393103</v>
      </c>
      <c r="AV70" s="19">
        <v>1.7660264634390899E-2</v>
      </c>
      <c r="AW70" s="18">
        <v>2205.30070184851</v>
      </c>
      <c r="AX70" s="19">
        <v>-1.9122969728442098E-2</v>
      </c>
      <c r="AY70" s="18">
        <v>440.93247496279002</v>
      </c>
      <c r="AZ70" s="19">
        <v>5.6031726503997801E-3</v>
      </c>
      <c r="BA70" s="18">
        <v>2693.9014714382301</v>
      </c>
      <c r="BB70" s="19">
        <v>2.6365348716674598E-2</v>
      </c>
      <c r="BC70" s="18">
        <v>5374.8699445775001</v>
      </c>
      <c r="BD70" s="19">
        <v>1.1943538297853201E-2</v>
      </c>
      <c r="BE70" s="18">
        <v>-2840.7756210305201</v>
      </c>
      <c r="BF70" s="19">
        <v>-3.9461135537736097E-3</v>
      </c>
      <c r="BG70" s="18"/>
      <c r="BH70" s="19"/>
    </row>
    <row r="71" spans="1:60" x14ac:dyDescent="0.15">
      <c r="A71" s="17">
        <v>1994</v>
      </c>
      <c r="B71" s="17">
        <v>4</v>
      </c>
      <c r="C71" s="18">
        <v>115224.344425082</v>
      </c>
      <c r="D71" s="19">
        <v>3.4507680621131999E-3</v>
      </c>
      <c r="E71" s="18">
        <v>112707.793038776</v>
      </c>
      <c r="F71" s="19">
        <v>3.32005396553292E-3</v>
      </c>
      <c r="G71" s="18">
        <v>1166.18529542584</v>
      </c>
      <c r="H71" s="19">
        <v>5.7336649349124498E-3</v>
      </c>
      <c r="I71" s="18">
        <v>162.33692529039601</v>
      </c>
      <c r="J71" s="19">
        <v>8.0028036306061701E-2</v>
      </c>
      <c r="K71" s="18">
        <v>18477.952345325899</v>
      </c>
      <c r="L71" s="19">
        <v>5.9200216222923298E-3</v>
      </c>
      <c r="M71" s="18">
        <v>1852.18272106123</v>
      </c>
      <c r="N71" s="19">
        <v>3.6064742626113602E-2</v>
      </c>
      <c r="O71" s="18">
        <v>19174.260439682799</v>
      </c>
      <c r="P71" s="19">
        <v>-1.47750981928063E-3</v>
      </c>
      <c r="Q71" s="18">
        <v>4455.5516927417802</v>
      </c>
      <c r="R71" s="19">
        <v>-1.6705965958346499E-2</v>
      </c>
      <c r="S71" s="18">
        <v>416.231674049422</v>
      </c>
      <c r="T71" s="19">
        <v>3.8645248716692199E-2</v>
      </c>
      <c r="U71" s="18">
        <v>8505.7646129719305</v>
      </c>
      <c r="V71" s="19">
        <v>-5.2894830598184698E-3</v>
      </c>
      <c r="W71" s="18">
        <v>14776.1793934699</v>
      </c>
      <c r="X71" s="19">
        <v>1.72269881146505E-2</v>
      </c>
      <c r="Y71" s="18">
        <v>4341.25482555709</v>
      </c>
      <c r="Z71" s="19">
        <v>1.6718636622905501E-3</v>
      </c>
      <c r="AA71" s="18">
        <v>6411.4475343151298</v>
      </c>
      <c r="AB71" s="19">
        <v>2.7738835277548702E-3</v>
      </c>
      <c r="AC71" s="18">
        <v>3216.62864100154</v>
      </c>
      <c r="AD71" s="19">
        <v>-1.9297012054922302E-2</v>
      </c>
      <c r="AE71" s="18">
        <v>3986.9262044935499</v>
      </c>
      <c r="AF71" s="19">
        <v>7.10775808607589E-3</v>
      </c>
      <c r="AG71" s="18">
        <v>7551.7993042395701</v>
      </c>
      <c r="AH71" s="19">
        <v>-9.7667372545938696E-3</v>
      </c>
      <c r="AI71" s="18">
        <v>4200.1733363491103</v>
      </c>
      <c r="AJ71" s="19">
        <v>-3.5717420946831897E-2</v>
      </c>
      <c r="AK71" s="18">
        <v>2576.4712409003901</v>
      </c>
      <c r="AL71" s="19">
        <v>2.1683077426127201E-2</v>
      </c>
      <c r="AM71" s="18">
        <v>23396.090456430498</v>
      </c>
      <c r="AN71" s="19">
        <v>2.58035019724767E-4</v>
      </c>
      <c r="AO71" s="18">
        <v>9154.6193923948304</v>
      </c>
      <c r="AP71" s="19">
        <v>-2.5586651491993402E-6</v>
      </c>
      <c r="AQ71" s="18">
        <v>6083.9883546014999</v>
      </c>
      <c r="AR71" s="19">
        <v>7.5636756060859503E-3</v>
      </c>
      <c r="AS71" s="18">
        <v>6151.7443039667796</v>
      </c>
      <c r="AT71" s="19">
        <v>1.0001488010265199E-2</v>
      </c>
      <c r="AU71" s="18">
        <v>642.57231543442697</v>
      </c>
      <c r="AV71" s="19">
        <v>3.7472719919024802E-2</v>
      </c>
      <c r="AW71" s="18">
        <v>2192.3820234034201</v>
      </c>
      <c r="AX71" s="19">
        <v>-5.8580122131464104E-3</v>
      </c>
      <c r="AY71" s="18">
        <v>442.10569438985999</v>
      </c>
      <c r="AZ71" s="19">
        <v>2.6607689242412699E-3</v>
      </c>
      <c r="BA71" s="18">
        <v>2716.9583622485802</v>
      </c>
      <c r="BB71" s="19">
        <v>8.5589213469059507E-3</v>
      </c>
      <c r="BC71" s="18">
        <v>5390.2720003984596</v>
      </c>
      <c r="BD71" s="19">
        <v>2.8655680936982E-3</v>
      </c>
      <c r="BE71" s="18">
        <v>-2830.5541066134101</v>
      </c>
      <c r="BF71" s="19">
        <v>-3.5981421205689701E-3</v>
      </c>
      <c r="BG71" s="18"/>
      <c r="BH71" s="19"/>
    </row>
    <row r="72" spans="1:60" x14ac:dyDescent="0.15">
      <c r="A72" s="17">
        <v>1995</v>
      </c>
      <c r="B72" s="17">
        <v>1</v>
      </c>
      <c r="C72" s="18">
        <v>114826.38022875199</v>
      </c>
      <c r="D72" s="19">
        <v>-3.4538204432084099E-3</v>
      </c>
      <c r="E72" s="18">
        <v>112349.61565970699</v>
      </c>
      <c r="F72" s="19">
        <v>-3.1779291334868001E-3</v>
      </c>
      <c r="G72" s="18">
        <v>1194.4314348877101</v>
      </c>
      <c r="H72" s="19">
        <v>2.42209703489367E-2</v>
      </c>
      <c r="I72" s="18">
        <v>185.39896147108399</v>
      </c>
      <c r="J72" s="19">
        <v>0.14206278786808901</v>
      </c>
      <c r="K72" s="18">
        <v>18157.039483076798</v>
      </c>
      <c r="L72" s="19">
        <v>-1.7367338991447299E-2</v>
      </c>
      <c r="M72" s="18">
        <v>1824.08285947952</v>
      </c>
      <c r="N72" s="19">
        <v>-1.51712146227181E-2</v>
      </c>
      <c r="O72" s="18">
        <v>18839.278206328301</v>
      </c>
      <c r="P72" s="19">
        <v>-1.74704121918179E-2</v>
      </c>
      <c r="Q72" s="18">
        <v>4657.5053734244002</v>
      </c>
      <c r="R72" s="19">
        <v>4.5326301793695602E-2</v>
      </c>
      <c r="S72" s="18">
        <v>445.55052339859702</v>
      </c>
      <c r="T72" s="19">
        <v>7.04387752713245E-2</v>
      </c>
      <c r="U72" s="18">
        <v>8253.5037091079594</v>
      </c>
      <c r="V72" s="19">
        <v>-2.9657639888042001E-2</v>
      </c>
      <c r="W72" s="18">
        <v>14758.560621442801</v>
      </c>
      <c r="X72" s="19">
        <v>-1.19237670022576E-3</v>
      </c>
      <c r="Y72" s="18">
        <v>4333.1337813849595</v>
      </c>
      <c r="Z72" s="19">
        <v>-1.8706674679239701E-3</v>
      </c>
      <c r="AA72" s="18">
        <v>6346.1418905158898</v>
      </c>
      <c r="AB72" s="19">
        <v>-1.01857877569321E-2</v>
      </c>
      <c r="AC72" s="18">
        <v>3229.81957911986</v>
      </c>
      <c r="AD72" s="19">
        <v>4.1008582558086397E-3</v>
      </c>
      <c r="AE72" s="18">
        <v>4072.5099740191899</v>
      </c>
      <c r="AF72" s="19">
        <v>2.1466103242438399E-2</v>
      </c>
      <c r="AG72" s="18">
        <v>7403.1713113711103</v>
      </c>
      <c r="AH72" s="19">
        <v>-1.9681136492202499E-2</v>
      </c>
      <c r="AI72" s="18">
        <v>3972.9331841237699</v>
      </c>
      <c r="AJ72" s="19">
        <v>-5.4102565305761199E-2</v>
      </c>
      <c r="AK72" s="18">
        <v>2669.1013664105099</v>
      </c>
      <c r="AL72" s="19">
        <v>3.5952322711646098E-2</v>
      </c>
      <c r="AM72" s="18">
        <v>23125.099277214598</v>
      </c>
      <c r="AN72" s="19">
        <v>-1.15827548077145E-2</v>
      </c>
      <c r="AO72" s="18">
        <v>9068.6597087668997</v>
      </c>
      <c r="AP72" s="19">
        <v>-9.3897605070667502E-3</v>
      </c>
      <c r="AQ72" s="18">
        <v>6396.6368558764098</v>
      </c>
      <c r="AR72" s="19">
        <v>5.1388740913424602E-2</v>
      </c>
      <c r="AS72" s="18">
        <v>6230.9843025215796</v>
      </c>
      <c r="AT72" s="19">
        <v>1.2880899244090501E-2</v>
      </c>
      <c r="AU72" s="18">
        <v>759.50391659029901</v>
      </c>
      <c r="AV72" s="19">
        <v>0.18197422818755801</v>
      </c>
      <c r="AW72" s="18">
        <v>2220.2011982876702</v>
      </c>
      <c r="AX72" s="19">
        <v>1.2689017966432301E-2</v>
      </c>
      <c r="AY72" s="18">
        <v>439.121930828774</v>
      </c>
      <c r="AZ72" s="19">
        <v>-6.7489824242223896E-3</v>
      </c>
      <c r="BA72" s="18">
        <v>2679.3383923848301</v>
      </c>
      <c r="BB72" s="19">
        <v>-1.38463549484142E-2</v>
      </c>
      <c r="BC72" s="18">
        <v>5329.8043956901101</v>
      </c>
      <c r="BD72" s="19">
        <v>-1.1217913438112801E-2</v>
      </c>
      <c r="BE72" s="18">
        <v>-2809.25035677803</v>
      </c>
      <c r="BF72" s="19">
        <v>-7.5263531566485097E-3</v>
      </c>
      <c r="BG72" s="18"/>
      <c r="BH72" s="19"/>
    </row>
    <row r="73" spans="1:60" x14ac:dyDescent="0.15">
      <c r="A73" s="17">
        <v>1995</v>
      </c>
      <c r="B73" s="17">
        <v>2</v>
      </c>
      <c r="C73" s="18">
        <v>115176.684073689</v>
      </c>
      <c r="D73" s="19">
        <v>3.05072618538826E-3</v>
      </c>
      <c r="E73" s="18">
        <v>112681.90655138899</v>
      </c>
      <c r="F73" s="19">
        <v>2.95765045328222E-3</v>
      </c>
      <c r="G73" s="18">
        <v>1191.9366134090701</v>
      </c>
      <c r="H73" s="19">
        <v>-2.08871049921644E-3</v>
      </c>
      <c r="I73" s="18">
        <v>185.170295731077</v>
      </c>
      <c r="J73" s="19">
        <v>-1.2333712022542E-3</v>
      </c>
      <c r="K73" s="18">
        <v>18252.0809587851</v>
      </c>
      <c r="L73" s="19">
        <v>5.2344147732241702E-3</v>
      </c>
      <c r="M73" s="18">
        <v>1885.1883101897499</v>
      </c>
      <c r="N73" s="19">
        <v>3.3499273562422702E-2</v>
      </c>
      <c r="O73" s="18">
        <v>18810.2847073907</v>
      </c>
      <c r="P73" s="19">
        <v>-1.5389920261332801E-3</v>
      </c>
      <c r="Q73" s="18">
        <v>4564.5220991263404</v>
      </c>
      <c r="R73" s="19">
        <v>-1.9964179714881101E-2</v>
      </c>
      <c r="S73" s="18">
        <v>464.49473195972598</v>
      </c>
      <c r="T73" s="19">
        <v>4.2518654038661501E-2</v>
      </c>
      <c r="U73" s="18">
        <v>8194.3393086288706</v>
      </c>
      <c r="V73" s="19">
        <v>-7.1683981208847704E-3</v>
      </c>
      <c r="W73" s="18">
        <v>14864.8392674104</v>
      </c>
      <c r="X73" s="19">
        <v>7.2011525170845303E-3</v>
      </c>
      <c r="Y73" s="18">
        <v>4342.0587378954297</v>
      </c>
      <c r="Z73" s="19">
        <v>2.0597001986915101E-3</v>
      </c>
      <c r="AA73" s="18">
        <v>6318.8021676866301</v>
      </c>
      <c r="AB73" s="19">
        <v>-4.3080856528151497E-3</v>
      </c>
      <c r="AC73" s="18">
        <v>3133.6659475839201</v>
      </c>
      <c r="AD73" s="19">
        <v>-2.9770589093445501E-2</v>
      </c>
      <c r="AE73" s="18">
        <v>4075.6093078098102</v>
      </c>
      <c r="AF73" s="19">
        <v>7.6103774094771204E-4</v>
      </c>
      <c r="AG73" s="18">
        <v>7572.7464348604899</v>
      </c>
      <c r="AH73" s="19">
        <v>2.2905740844996199E-2</v>
      </c>
      <c r="AI73" s="18">
        <v>4077.5458395417299</v>
      </c>
      <c r="AJ73" s="19">
        <v>2.6331340238995499E-2</v>
      </c>
      <c r="AK73" s="18">
        <v>2704.2846684522201</v>
      </c>
      <c r="AL73" s="19">
        <v>1.3181703207107799E-2</v>
      </c>
      <c r="AM73" s="18">
        <v>23226.725170703099</v>
      </c>
      <c r="AN73" s="19">
        <v>4.3946143655551103E-3</v>
      </c>
      <c r="AO73" s="18">
        <v>9042.8521840537705</v>
      </c>
      <c r="AP73" s="19">
        <v>-2.8457926024255701E-3</v>
      </c>
      <c r="AQ73" s="18">
        <v>6394.7455696460402</v>
      </c>
      <c r="AR73" s="19">
        <v>-2.9566884489151701E-4</v>
      </c>
      <c r="AS73" s="18">
        <v>6226.1769428505004</v>
      </c>
      <c r="AT73" s="19">
        <v>-7.7152492089205304E-4</v>
      </c>
      <c r="AU73" s="18">
        <v>776.94385227048804</v>
      </c>
      <c r="AV73" s="19">
        <v>2.2962272213793E-2</v>
      </c>
      <c r="AW73" s="18">
        <v>2203.3028141960299</v>
      </c>
      <c r="AX73" s="19">
        <v>-7.6111949244370702E-3</v>
      </c>
      <c r="AY73" s="18">
        <v>440.90139725523699</v>
      </c>
      <c r="AZ73" s="19">
        <v>4.0523287532114897E-3</v>
      </c>
      <c r="BA73" s="18">
        <v>2697.89890171761</v>
      </c>
      <c r="BB73" s="19">
        <v>6.9272733095346898E-3</v>
      </c>
      <c r="BC73" s="18">
        <v>5367.33863706801</v>
      </c>
      <c r="BD73" s="19">
        <v>7.0423299977488999E-3</v>
      </c>
      <c r="BE73" s="18">
        <v>-2829.3803344227199</v>
      </c>
      <c r="BF73" s="19">
        <v>7.16560473014205E-3</v>
      </c>
      <c r="BG73" s="18"/>
      <c r="BH73" s="19"/>
    </row>
    <row r="74" spans="1:60" x14ac:dyDescent="0.15">
      <c r="A74" s="17">
        <v>1995</v>
      </c>
      <c r="B74" s="17">
        <v>3</v>
      </c>
      <c r="C74" s="18">
        <v>115742.41128796</v>
      </c>
      <c r="D74" s="19">
        <v>4.9118206416576297E-3</v>
      </c>
      <c r="E74" s="18">
        <v>113214.732096188</v>
      </c>
      <c r="F74" s="19">
        <v>4.7285811991093496E-3</v>
      </c>
      <c r="G74" s="18">
        <v>1194.7909435791601</v>
      </c>
      <c r="H74" s="19">
        <v>2.3946996324959399E-3</v>
      </c>
      <c r="I74" s="18">
        <v>179.45570068883501</v>
      </c>
      <c r="J74" s="19">
        <v>-3.0861294570386302E-2</v>
      </c>
      <c r="K74" s="18">
        <v>18234.721429446901</v>
      </c>
      <c r="L74" s="19">
        <v>-9.51098637868242E-4</v>
      </c>
      <c r="M74" s="18">
        <v>1939.5159500080699</v>
      </c>
      <c r="N74" s="19">
        <v>2.8818150168164799E-2</v>
      </c>
      <c r="O74" s="18">
        <v>18653.494141802901</v>
      </c>
      <c r="P74" s="19">
        <v>-8.3353637665107803E-3</v>
      </c>
      <c r="Q74" s="18">
        <v>4563.3048018059599</v>
      </c>
      <c r="R74" s="19">
        <v>-2.6668669664353699E-4</v>
      </c>
      <c r="S74" s="18">
        <v>461.59832526931802</v>
      </c>
      <c r="T74" s="19">
        <v>-6.2356071901795698E-3</v>
      </c>
      <c r="U74" s="18">
        <v>8278.6230544826903</v>
      </c>
      <c r="V74" s="19">
        <v>1.02856060359948E-2</v>
      </c>
      <c r="W74" s="18">
        <v>14916.492171669501</v>
      </c>
      <c r="X74" s="19">
        <v>3.4748377247733101E-3</v>
      </c>
      <c r="Y74" s="18">
        <v>4351.15616392634</v>
      </c>
      <c r="Z74" s="19">
        <v>2.0951872326160398E-3</v>
      </c>
      <c r="AA74" s="18">
        <v>6227.0125862763898</v>
      </c>
      <c r="AB74" s="19">
        <v>-1.45264211434941E-2</v>
      </c>
      <c r="AC74" s="18">
        <v>3084.9146187073502</v>
      </c>
      <c r="AD74" s="19">
        <v>-1.55572832880135E-2</v>
      </c>
      <c r="AE74" s="18">
        <v>4097.38178432119</v>
      </c>
      <c r="AF74" s="19">
        <v>5.34214024628543E-3</v>
      </c>
      <c r="AG74" s="18">
        <v>7824.4118769977704</v>
      </c>
      <c r="AH74" s="19">
        <v>3.3233047521407301E-2</v>
      </c>
      <c r="AI74" s="18">
        <v>4306.1895213972603</v>
      </c>
      <c r="AJ74" s="19">
        <v>5.6073847076904902E-2</v>
      </c>
      <c r="AK74" s="18">
        <v>2723.7903544802698</v>
      </c>
      <c r="AL74" s="19">
        <v>7.2128819334735797E-3</v>
      </c>
      <c r="AM74" s="18">
        <v>23408.685735262599</v>
      </c>
      <c r="AN74" s="19">
        <v>7.8341033108266806E-3</v>
      </c>
      <c r="AO74" s="18">
        <v>9041.7844791952393</v>
      </c>
      <c r="AP74" s="19">
        <v>-1.18071692072119E-4</v>
      </c>
      <c r="AQ74" s="18">
        <v>6361.9501815424001</v>
      </c>
      <c r="AR74" s="19">
        <v>-5.1284899057302304E-3</v>
      </c>
      <c r="AS74" s="18">
        <v>6311.27337912855</v>
      </c>
      <c r="AT74" s="19">
        <v>1.36675261655972E-2</v>
      </c>
      <c r="AU74" s="18">
        <v>770.56644417790801</v>
      </c>
      <c r="AV74" s="19">
        <v>-8.2083255745473097E-3</v>
      </c>
      <c r="AW74" s="18">
        <v>2191.8430044013598</v>
      </c>
      <c r="AX74" s="19">
        <v>-5.2011960048487004E-3</v>
      </c>
      <c r="AY74" s="18">
        <v>441.05002083188799</v>
      </c>
      <c r="AZ74" s="19">
        <v>3.3709028271578E-4</v>
      </c>
      <c r="BA74" s="18">
        <v>2731.6546448602498</v>
      </c>
      <c r="BB74" s="19">
        <v>1.2511863628822201E-2</v>
      </c>
      <c r="BC74" s="18">
        <v>5423.3545106987804</v>
      </c>
      <c r="BD74" s="19">
        <v>1.04364336626566E-2</v>
      </c>
      <c r="BE74" s="18">
        <v>-2852.6188560324099</v>
      </c>
      <c r="BF74" s="19">
        <v>8.2132901423570496E-3</v>
      </c>
      <c r="BG74" s="18"/>
      <c r="BH74" s="19"/>
    </row>
    <row r="75" spans="1:60" x14ac:dyDescent="0.15">
      <c r="A75" s="17">
        <v>1995</v>
      </c>
      <c r="B75" s="17">
        <v>4</v>
      </c>
      <c r="C75" s="18">
        <v>115529.78697318801</v>
      </c>
      <c r="D75" s="19">
        <v>-1.83704756455116E-3</v>
      </c>
      <c r="E75" s="18">
        <v>113002.993783753</v>
      </c>
      <c r="F75" s="19">
        <v>-1.8702363951657E-3</v>
      </c>
      <c r="G75" s="18">
        <v>1198.2446124048599</v>
      </c>
      <c r="H75" s="19">
        <v>2.8906051257477899E-3</v>
      </c>
      <c r="I75" s="18">
        <v>176.56779729117699</v>
      </c>
      <c r="J75" s="19">
        <v>-1.6092569846334399E-2</v>
      </c>
      <c r="K75" s="18">
        <v>18231.235871524201</v>
      </c>
      <c r="L75" s="19">
        <v>-1.9114950212784101E-4</v>
      </c>
      <c r="M75" s="18">
        <v>1938.48527168691</v>
      </c>
      <c r="N75" s="19">
        <v>-5.3141007742540903E-4</v>
      </c>
      <c r="O75" s="18">
        <v>18651.5619073743</v>
      </c>
      <c r="P75" s="19">
        <v>-1.03585656068717E-4</v>
      </c>
      <c r="Q75" s="18">
        <v>4445.7868079853997</v>
      </c>
      <c r="R75" s="19">
        <v>-2.5752825841057099E-2</v>
      </c>
      <c r="S75" s="18">
        <v>455.22801810018098</v>
      </c>
      <c r="T75" s="19">
        <v>-1.38005422039166E-2</v>
      </c>
      <c r="U75" s="18">
        <v>8233.9321514864296</v>
      </c>
      <c r="V75" s="19">
        <v>-5.3983497862079002E-3</v>
      </c>
      <c r="W75" s="18">
        <v>14643.998459477099</v>
      </c>
      <c r="X75" s="19">
        <v>-1.82679485938388E-2</v>
      </c>
      <c r="Y75" s="18">
        <v>4285.1498323260103</v>
      </c>
      <c r="Z75" s="19">
        <v>-1.5169837421041299E-2</v>
      </c>
      <c r="AA75" s="18">
        <v>6549.5066973645899</v>
      </c>
      <c r="AB75" s="19">
        <v>5.1789538983578999E-2</v>
      </c>
      <c r="AC75" s="18">
        <v>3052.6006988151598</v>
      </c>
      <c r="AD75" s="19">
        <v>-1.0474818231996899E-2</v>
      </c>
      <c r="AE75" s="18">
        <v>4094.63491403645</v>
      </c>
      <c r="AF75" s="19">
        <v>-6.7039647007049996E-4</v>
      </c>
      <c r="AG75" s="18">
        <v>7772.7540415032099</v>
      </c>
      <c r="AH75" s="19">
        <v>-6.6021365320021496E-3</v>
      </c>
      <c r="AI75" s="18">
        <v>4240.4499045335397</v>
      </c>
      <c r="AJ75" s="19">
        <v>-1.52663083073942E-2</v>
      </c>
      <c r="AK75" s="18">
        <v>2727.3593265789</v>
      </c>
      <c r="AL75" s="19">
        <v>1.31029618074763E-3</v>
      </c>
      <c r="AM75" s="18">
        <v>23533.290309260501</v>
      </c>
      <c r="AN75" s="19">
        <v>5.3230059733877502E-3</v>
      </c>
      <c r="AO75" s="18">
        <v>9027.9899466119896</v>
      </c>
      <c r="AP75" s="19">
        <v>-1.5256427107942501E-3</v>
      </c>
      <c r="AQ75" s="18">
        <v>6337.0213196560799</v>
      </c>
      <c r="AR75" s="19">
        <v>-3.9184308545261396E-3</v>
      </c>
      <c r="AS75" s="18">
        <v>6350.79092443837</v>
      </c>
      <c r="AT75" s="19">
        <v>6.2614218931642497E-3</v>
      </c>
      <c r="AU75" s="18">
        <v>806.62896910101904</v>
      </c>
      <c r="AV75" s="19">
        <v>4.6800019901702697E-2</v>
      </c>
      <c r="AW75" s="18">
        <v>2174.0862890754402</v>
      </c>
      <c r="AX75" s="19">
        <v>-8.1012715282374696E-3</v>
      </c>
      <c r="AY75" s="18">
        <v>437.34513035101099</v>
      </c>
      <c r="AZ75" s="19">
        <v>-8.4001594057040406E-3</v>
      </c>
      <c r="BA75" s="18">
        <v>2730.3366766724198</v>
      </c>
      <c r="BB75" s="19">
        <v>-4.8247980040494503E-4</v>
      </c>
      <c r="BC75" s="18">
        <v>5442.2171841260297</v>
      </c>
      <c r="BD75" s="19">
        <v>3.4780454403331401E-3</v>
      </c>
      <c r="BE75" s="18">
        <v>-2874.6939580886401</v>
      </c>
      <c r="BF75" s="19">
        <v>7.7385389252224704E-3</v>
      </c>
      <c r="BG75" s="18"/>
      <c r="BH75" s="19"/>
    </row>
    <row r="76" spans="1:60" x14ac:dyDescent="0.15">
      <c r="A76" s="17">
        <v>1996</v>
      </c>
      <c r="B76" s="17">
        <v>1</v>
      </c>
      <c r="C76" s="18">
        <v>116408.979888003</v>
      </c>
      <c r="D76" s="19">
        <v>7.6100972558652601E-3</v>
      </c>
      <c r="E76" s="18">
        <v>113848.13451393999</v>
      </c>
      <c r="F76" s="19">
        <v>7.4789233620160501E-3</v>
      </c>
      <c r="G76" s="18">
        <v>1190.9262003598999</v>
      </c>
      <c r="H76" s="19">
        <v>-6.1076110580449098E-3</v>
      </c>
      <c r="I76" s="18">
        <v>161.75245096656201</v>
      </c>
      <c r="J76" s="19">
        <v>-8.3907408666276995E-2</v>
      </c>
      <c r="K76" s="18">
        <v>18484.4768473685</v>
      </c>
      <c r="L76" s="19">
        <v>1.38904996692946E-2</v>
      </c>
      <c r="M76" s="18">
        <v>1939.59352978179</v>
      </c>
      <c r="N76" s="19">
        <v>5.7171344609896501E-4</v>
      </c>
      <c r="O76" s="18">
        <v>18977.333818235202</v>
      </c>
      <c r="P76" s="19">
        <v>1.7466200014707198E-2</v>
      </c>
      <c r="Q76" s="18">
        <v>4395.9206446052203</v>
      </c>
      <c r="R76" s="19">
        <v>-1.12164990211877E-2</v>
      </c>
      <c r="S76" s="18">
        <v>438.99967792539002</v>
      </c>
      <c r="T76" s="19">
        <v>-3.5648816701831003E-2</v>
      </c>
      <c r="U76" s="18">
        <v>8037.9231704184504</v>
      </c>
      <c r="V76" s="19">
        <v>-2.38050274719106E-2</v>
      </c>
      <c r="W76" s="18">
        <v>14755.0611695519</v>
      </c>
      <c r="X76" s="19">
        <v>7.5841793060957797E-3</v>
      </c>
      <c r="Y76" s="18">
        <v>4268.65493190703</v>
      </c>
      <c r="Z76" s="19">
        <v>-3.8493170751109401E-3</v>
      </c>
      <c r="AA76" s="18">
        <v>6618.5624550191696</v>
      </c>
      <c r="AB76" s="19">
        <v>1.0543657842563101E-2</v>
      </c>
      <c r="AC76" s="18">
        <v>3016.9208267607</v>
      </c>
      <c r="AD76" s="19">
        <v>-1.1688352187140399E-2</v>
      </c>
      <c r="AE76" s="18">
        <v>4162.3134770042298</v>
      </c>
      <c r="AF76" s="19">
        <v>1.6528595195575101E-2</v>
      </c>
      <c r="AG76" s="18">
        <v>8068.24254138787</v>
      </c>
      <c r="AH76" s="19">
        <v>3.8015933388200598E-2</v>
      </c>
      <c r="AI76" s="18">
        <v>4574.0227018448104</v>
      </c>
      <c r="AJ76" s="19">
        <v>7.8664482500934593E-2</v>
      </c>
      <c r="AK76" s="18">
        <v>2714.3106326401098</v>
      </c>
      <c r="AL76" s="19">
        <v>-4.7843691924364098E-3</v>
      </c>
      <c r="AM76" s="18">
        <v>23703.276084413901</v>
      </c>
      <c r="AN76" s="19">
        <v>7.2232047843496803E-3</v>
      </c>
      <c r="AO76" s="18">
        <v>9048.8166928078408</v>
      </c>
      <c r="AP76" s="19">
        <v>2.30690843908876E-3</v>
      </c>
      <c r="AQ76" s="18">
        <v>6414.8934627393</v>
      </c>
      <c r="AR76" s="19">
        <v>1.22884458099692E-2</v>
      </c>
      <c r="AS76" s="18">
        <v>6373.7796349089904</v>
      </c>
      <c r="AT76" s="19">
        <v>3.6198184988514002E-3</v>
      </c>
      <c r="AU76" s="18">
        <v>787.81105579694804</v>
      </c>
      <c r="AV76" s="19">
        <v>-2.3329081926034299E-2</v>
      </c>
      <c r="AW76" s="18">
        <v>2144.5308268752601</v>
      </c>
      <c r="AX76" s="19">
        <v>-1.35944292315767E-2</v>
      </c>
      <c r="AY76" s="18">
        <v>429.754560564033</v>
      </c>
      <c r="AZ76" s="19">
        <v>-1.7356017616762798E-2</v>
      </c>
      <c r="BA76" s="18">
        <v>2759.74091161666</v>
      </c>
      <c r="BB76" s="19">
        <v>1.0769453890233399E-2</v>
      </c>
      <c r="BC76" s="18">
        <v>5492.453640406</v>
      </c>
      <c r="BD76" s="19">
        <v>9.2308804629306403E-3</v>
      </c>
      <c r="BE76" s="18">
        <v>-2896.82496417427</v>
      </c>
      <c r="BF76" s="19">
        <v>7.6985607540462899E-3</v>
      </c>
      <c r="BG76" s="18"/>
      <c r="BH76" s="19"/>
    </row>
    <row r="77" spans="1:60" x14ac:dyDescent="0.15">
      <c r="A77" s="17">
        <v>1996</v>
      </c>
      <c r="B77" s="17">
        <v>2</v>
      </c>
      <c r="C77" s="18">
        <v>115687.561946281</v>
      </c>
      <c r="D77" s="19">
        <v>-6.1972705406124796E-3</v>
      </c>
      <c r="E77" s="18">
        <v>113094.162695144</v>
      </c>
      <c r="F77" s="19">
        <v>-6.6226102168038797E-3</v>
      </c>
      <c r="G77" s="18">
        <v>1192.7378472149901</v>
      </c>
      <c r="H77" s="19">
        <v>1.5212083289006799E-3</v>
      </c>
      <c r="I77" s="18">
        <v>162.69262937012499</v>
      </c>
      <c r="J77" s="19">
        <v>5.8124522870892604E-3</v>
      </c>
      <c r="K77" s="18">
        <v>18302.003217277499</v>
      </c>
      <c r="L77" s="19">
        <v>-9.8717227215957496E-3</v>
      </c>
      <c r="M77" s="18">
        <v>1924.8084579095901</v>
      </c>
      <c r="N77" s="19">
        <v>-7.6227681961114103E-3</v>
      </c>
      <c r="O77" s="18">
        <v>18780.0043947841</v>
      </c>
      <c r="P77" s="19">
        <v>-1.0398163690487299E-2</v>
      </c>
      <c r="Q77" s="18">
        <v>4258.1891906872397</v>
      </c>
      <c r="R77" s="19">
        <v>-3.1331651559042703E-2</v>
      </c>
      <c r="S77" s="18">
        <v>424.51892918659001</v>
      </c>
      <c r="T77" s="19">
        <v>-3.2985784425248202E-2</v>
      </c>
      <c r="U77" s="18">
        <v>7857.6542171288802</v>
      </c>
      <c r="V77" s="19">
        <v>-2.24273048482223E-2</v>
      </c>
      <c r="W77" s="18">
        <v>14510.1957077077</v>
      </c>
      <c r="X77" s="19">
        <v>-1.6595353894532799E-2</v>
      </c>
      <c r="Y77" s="18">
        <v>4232.14408236688</v>
      </c>
      <c r="Z77" s="19">
        <v>-8.5532445518712308E-3</v>
      </c>
      <c r="AA77" s="18">
        <v>6533.0206434284</v>
      </c>
      <c r="AB77" s="19">
        <v>-1.29245303904186E-2</v>
      </c>
      <c r="AC77" s="18">
        <v>3086.4472720762701</v>
      </c>
      <c r="AD77" s="19">
        <v>2.3045498807543301E-2</v>
      </c>
      <c r="AE77" s="18">
        <v>4136.9704356548</v>
      </c>
      <c r="AF77" s="19">
        <v>-6.0886911784614499E-3</v>
      </c>
      <c r="AG77" s="18">
        <v>8075.8298964841597</v>
      </c>
      <c r="AH77" s="19">
        <v>9.4039749764207603E-4</v>
      </c>
      <c r="AI77" s="18">
        <v>4574.3370946696596</v>
      </c>
      <c r="AJ77" s="19">
        <v>6.8734425984651195E-5</v>
      </c>
      <c r="AK77" s="18">
        <v>2716.37367665081</v>
      </c>
      <c r="AL77" s="19">
        <v>7.6006186833854595E-4</v>
      </c>
      <c r="AM77" s="18">
        <v>23794.0372414638</v>
      </c>
      <c r="AN77" s="19">
        <v>3.82905538992495E-3</v>
      </c>
      <c r="AO77" s="18">
        <v>9049.1839363244708</v>
      </c>
      <c r="AP77" s="19">
        <v>4.05847006406113E-5</v>
      </c>
      <c r="AQ77" s="18">
        <v>6421.5731550631099</v>
      </c>
      <c r="AR77" s="19">
        <v>1.0412787620888201E-3</v>
      </c>
      <c r="AS77" s="18">
        <v>6379.3719998176402</v>
      </c>
      <c r="AT77" s="19">
        <v>8.7740167200367502E-4</v>
      </c>
      <c r="AU77" s="18">
        <v>768.72629575426595</v>
      </c>
      <c r="AV77" s="19">
        <v>-2.4225047239755201E-2</v>
      </c>
      <c r="AW77" s="18">
        <v>2132.1776482775599</v>
      </c>
      <c r="AX77" s="19">
        <v>-5.7603175682511302E-3</v>
      </c>
      <c r="AY77" s="18">
        <v>428.29136690659601</v>
      </c>
      <c r="AZ77" s="19">
        <v>-3.4047193251827098E-3</v>
      </c>
      <c r="BA77" s="18">
        <v>2781.0100368010999</v>
      </c>
      <c r="BB77" s="19">
        <v>7.7069282463868597E-3</v>
      </c>
      <c r="BC77" s="18">
        <v>5523.05026455801</v>
      </c>
      <c r="BD77" s="19">
        <v>5.5706658909091501E-3</v>
      </c>
      <c r="BE77" s="18">
        <v>-2904.8296984016301</v>
      </c>
      <c r="BF77" s="19">
        <v>2.7632785295448299E-3</v>
      </c>
      <c r="BG77" s="18"/>
      <c r="BH77" s="19"/>
    </row>
    <row r="78" spans="1:60" x14ac:dyDescent="0.15">
      <c r="A78" s="17">
        <v>1996</v>
      </c>
      <c r="B78" s="17">
        <v>3</v>
      </c>
      <c r="C78" s="18">
        <v>115440.921469336</v>
      </c>
      <c r="D78" s="19">
        <v>-2.13195327825089E-3</v>
      </c>
      <c r="E78" s="18">
        <v>112791.60329904</v>
      </c>
      <c r="F78" s="19">
        <v>-2.6752874674864599E-3</v>
      </c>
      <c r="G78" s="18">
        <v>1192.66982673031</v>
      </c>
      <c r="H78" s="19">
        <v>-5.7028864172248297E-5</v>
      </c>
      <c r="I78" s="18">
        <v>163.75955329442101</v>
      </c>
      <c r="J78" s="19">
        <v>6.5579118637837403E-3</v>
      </c>
      <c r="K78" s="18">
        <v>18357.2584905644</v>
      </c>
      <c r="L78" s="19">
        <v>3.0190833555705501E-3</v>
      </c>
      <c r="M78" s="18">
        <v>1906.3053996492099</v>
      </c>
      <c r="N78" s="19">
        <v>-9.6129348270214098E-3</v>
      </c>
      <c r="O78" s="18">
        <v>18892.389782527502</v>
      </c>
      <c r="P78" s="19">
        <v>5.9843110459854004E-3</v>
      </c>
      <c r="Q78" s="18">
        <v>4100.2609212281704</v>
      </c>
      <c r="R78" s="19">
        <v>-3.7088128870474697E-2</v>
      </c>
      <c r="S78" s="18">
        <v>417.35655473024798</v>
      </c>
      <c r="T78" s="19">
        <v>-1.6871743434539E-2</v>
      </c>
      <c r="U78" s="18">
        <v>7665.5906871071402</v>
      </c>
      <c r="V78" s="19">
        <v>-2.4442858480978401E-2</v>
      </c>
      <c r="W78" s="18">
        <v>14404.957193167</v>
      </c>
      <c r="X78" s="19">
        <v>-7.2527288163872798E-3</v>
      </c>
      <c r="Y78" s="18">
        <v>4226.8631491148699</v>
      </c>
      <c r="Z78" s="19">
        <v>-1.2478150907046001E-3</v>
      </c>
      <c r="AA78" s="18">
        <v>6391.6119752811501</v>
      </c>
      <c r="AB78" s="19">
        <v>-2.1645219855457198E-2</v>
      </c>
      <c r="AC78" s="18">
        <v>3153.7307618687501</v>
      </c>
      <c r="AD78" s="19">
        <v>2.17996563237004E-2</v>
      </c>
      <c r="AE78" s="18">
        <v>4068.7898538516001</v>
      </c>
      <c r="AF78" s="19">
        <v>-1.6480799866389801E-2</v>
      </c>
      <c r="AG78" s="18">
        <v>8248.1774894133905</v>
      </c>
      <c r="AH78" s="19">
        <v>2.1341161854370599E-2</v>
      </c>
      <c r="AI78" s="18">
        <v>4720.1419749773804</v>
      </c>
      <c r="AJ78" s="19">
        <v>3.1874537728673998E-2</v>
      </c>
      <c r="AK78" s="18">
        <v>2732.8276437006598</v>
      </c>
      <c r="AL78" s="19">
        <v>6.0573282649884997E-3</v>
      </c>
      <c r="AM78" s="18">
        <v>23805.923324232699</v>
      </c>
      <c r="AN78" s="19">
        <v>4.9954039528254902E-4</v>
      </c>
      <c r="AO78" s="18">
        <v>9026.9083505815997</v>
      </c>
      <c r="AP78" s="19">
        <v>-2.4616126602803302E-3</v>
      </c>
      <c r="AQ78" s="18">
        <v>6377.9155785938601</v>
      </c>
      <c r="AR78" s="19">
        <v>-6.7985796338432304E-3</v>
      </c>
      <c r="AS78" s="18">
        <v>6394.5781729089103</v>
      </c>
      <c r="AT78" s="19">
        <v>2.3836473389087201E-3</v>
      </c>
      <c r="AU78" s="18">
        <v>783.715900814169</v>
      </c>
      <c r="AV78" s="19">
        <v>1.94992745047122E-2</v>
      </c>
      <c r="AW78" s="18">
        <v>2106.3335066623999</v>
      </c>
      <c r="AX78" s="19">
        <v>-1.21210076637067E-2</v>
      </c>
      <c r="AY78" s="18">
        <v>428.01562803602297</v>
      </c>
      <c r="AZ78" s="19">
        <v>-6.4381141409364196E-4</v>
      </c>
      <c r="BA78" s="18">
        <v>2824.5696635781601</v>
      </c>
      <c r="BB78" s="19">
        <v>1.5663239686528201E-2</v>
      </c>
      <c r="BC78" s="18">
        <v>5560.6357503195604</v>
      </c>
      <c r="BD78" s="19">
        <v>6.8052043637432096E-3</v>
      </c>
      <c r="BE78" s="18">
        <v>-2890.61622745657</v>
      </c>
      <c r="BF78" s="19">
        <v>-4.8930479307892601E-3</v>
      </c>
      <c r="BG78" s="18"/>
      <c r="BH78" s="19"/>
    </row>
    <row r="79" spans="1:60" x14ac:dyDescent="0.15">
      <c r="A79" s="17">
        <v>1996</v>
      </c>
      <c r="B79" s="17">
        <v>4</v>
      </c>
      <c r="C79" s="18">
        <v>115948.912954495</v>
      </c>
      <c r="D79" s="19">
        <v>4.4004455152730796E-3</v>
      </c>
      <c r="E79" s="18">
        <v>113158.748854501</v>
      </c>
      <c r="F79" s="19">
        <v>3.25507878886877E-3</v>
      </c>
      <c r="G79" s="18">
        <v>1192.7952812417</v>
      </c>
      <c r="H79" s="19">
        <v>1.05187964501985E-4</v>
      </c>
      <c r="I79" s="18">
        <v>169.166299948182</v>
      </c>
      <c r="J79" s="19">
        <v>3.30163739763032E-2</v>
      </c>
      <c r="K79" s="18">
        <v>18364.3516876746</v>
      </c>
      <c r="L79" s="19">
        <v>3.8639740862800298E-4</v>
      </c>
      <c r="M79" s="18">
        <v>1908.13002678149</v>
      </c>
      <c r="N79" s="19">
        <v>9.57153629536744E-4</v>
      </c>
      <c r="O79" s="18">
        <v>18897.197818567602</v>
      </c>
      <c r="P79" s="19">
        <v>2.5449591584036902E-4</v>
      </c>
      <c r="Q79" s="18">
        <v>4250.2812659660603</v>
      </c>
      <c r="R79" s="19">
        <v>3.6587999549295501E-2</v>
      </c>
      <c r="S79" s="18">
        <v>418.49147749198499</v>
      </c>
      <c r="T79" s="19">
        <v>2.7193121777377999E-3</v>
      </c>
      <c r="U79" s="18">
        <v>7386.2018060313303</v>
      </c>
      <c r="V79" s="19">
        <v>-3.6447143146544E-2</v>
      </c>
      <c r="W79" s="18">
        <v>14464.803559047499</v>
      </c>
      <c r="X79" s="19">
        <v>4.1545674227274603E-3</v>
      </c>
      <c r="Y79" s="18">
        <v>4243.38821880266</v>
      </c>
      <c r="Z79" s="19">
        <v>3.9095350629581001E-3</v>
      </c>
      <c r="AA79" s="18">
        <v>6415.2851500084698</v>
      </c>
      <c r="AB79" s="19">
        <v>3.7037878423895601E-3</v>
      </c>
      <c r="AC79" s="18">
        <v>3275.1278765048801</v>
      </c>
      <c r="AD79" s="19">
        <v>3.8493176432152797E-2</v>
      </c>
      <c r="AE79" s="18">
        <v>4028.0027297515899</v>
      </c>
      <c r="AF79" s="19">
        <v>-1.00243869959035E-2</v>
      </c>
      <c r="AG79" s="18">
        <v>8509.4860620748095</v>
      </c>
      <c r="AH79" s="19">
        <v>3.16807649928494E-2</v>
      </c>
      <c r="AI79" s="18">
        <v>4923.2681671999799</v>
      </c>
      <c r="AJ79" s="19">
        <v>4.3033915780378303E-2</v>
      </c>
      <c r="AK79" s="18">
        <v>2763.33265507742</v>
      </c>
      <c r="AL79" s="19">
        <v>1.1162435160182E-2</v>
      </c>
      <c r="AM79" s="18">
        <v>23846.271357578698</v>
      </c>
      <c r="AN79" s="19">
        <v>1.69487369998067E-3</v>
      </c>
      <c r="AO79" s="18">
        <v>9012.2668967243008</v>
      </c>
      <c r="AP79" s="19">
        <v>-1.62197878705228E-3</v>
      </c>
      <c r="AQ79" s="18">
        <v>6332.7266535648696</v>
      </c>
      <c r="AR79" s="19">
        <v>-7.0852184341639902E-3</v>
      </c>
      <c r="AS79" s="18">
        <v>6433.0920184407596</v>
      </c>
      <c r="AT79" s="19">
        <v>6.0228907193615698E-3</v>
      </c>
      <c r="AU79" s="18">
        <v>791.65518298716199</v>
      </c>
      <c r="AV79" s="19">
        <v>1.01303063581391E-2</v>
      </c>
      <c r="AW79" s="18">
        <v>2099.3935269876902</v>
      </c>
      <c r="AX79" s="19">
        <v>-3.29481520982544E-3</v>
      </c>
      <c r="AY79" s="18">
        <v>425.67078050739701</v>
      </c>
      <c r="AZ79" s="19">
        <v>-5.4784156816548597E-3</v>
      </c>
      <c r="BA79" s="18">
        <v>2939.3685982381699</v>
      </c>
      <c r="BB79" s="19">
        <v>4.0642982235596502E-2</v>
      </c>
      <c r="BC79" s="18">
        <v>5657.6617302985196</v>
      </c>
      <c r="BD79" s="19">
        <v>1.74487206743206E-2</v>
      </c>
      <c r="BE79" s="18">
        <v>-2850.68164885333</v>
      </c>
      <c r="BF79" s="19">
        <v>-1.3815247497718799E-2</v>
      </c>
      <c r="BG79" s="18"/>
      <c r="BH79" s="19"/>
    </row>
    <row r="80" spans="1:60" x14ac:dyDescent="0.15">
      <c r="A80" s="17">
        <v>1997</v>
      </c>
      <c r="B80" s="17">
        <v>1</v>
      </c>
      <c r="C80" s="18">
        <v>116635.67727013001</v>
      </c>
      <c r="D80" s="19">
        <v>5.9229905493323196E-3</v>
      </c>
      <c r="E80" s="18">
        <v>113723.154957217</v>
      </c>
      <c r="F80" s="19">
        <v>4.9877372136908297E-3</v>
      </c>
      <c r="G80" s="18">
        <v>1206.58264014721</v>
      </c>
      <c r="H80" s="19">
        <v>1.15588643938602E-2</v>
      </c>
      <c r="I80" s="18">
        <v>184.22061398616</v>
      </c>
      <c r="J80" s="19">
        <v>8.8991211858325106E-2</v>
      </c>
      <c r="K80" s="18">
        <v>18535.669836123001</v>
      </c>
      <c r="L80" s="19">
        <v>9.3288427145123993E-3</v>
      </c>
      <c r="M80" s="18">
        <v>1930.16782947211</v>
      </c>
      <c r="N80" s="19">
        <v>1.1549423981232401E-2</v>
      </c>
      <c r="O80" s="18">
        <v>19063.816366985098</v>
      </c>
      <c r="P80" s="19">
        <v>8.8171034677824202E-3</v>
      </c>
      <c r="Q80" s="18">
        <v>4289.3492754056997</v>
      </c>
      <c r="R80" s="19">
        <v>9.1918644896453704E-3</v>
      </c>
      <c r="S80" s="18">
        <v>427.44729100793597</v>
      </c>
      <c r="T80" s="19">
        <v>2.1400229150716901E-2</v>
      </c>
      <c r="U80" s="18">
        <v>7305.0351711243602</v>
      </c>
      <c r="V80" s="19">
        <v>-1.09889544096523E-2</v>
      </c>
      <c r="W80" s="18">
        <v>14495.631015721099</v>
      </c>
      <c r="X80" s="19">
        <v>2.1312046546473301E-3</v>
      </c>
      <c r="Y80" s="18">
        <v>4279.77518408182</v>
      </c>
      <c r="Z80" s="19">
        <v>8.5749790975828705E-3</v>
      </c>
      <c r="AA80" s="18">
        <v>6118.95378445199</v>
      </c>
      <c r="AB80" s="19">
        <v>-4.6191456595827803E-2</v>
      </c>
      <c r="AC80" s="18">
        <v>3510.6715163321801</v>
      </c>
      <c r="AD80" s="19">
        <v>7.1918913919987199E-2</v>
      </c>
      <c r="AE80" s="18">
        <v>3954.5628492685701</v>
      </c>
      <c r="AF80" s="19">
        <v>-1.823233135881E-2</v>
      </c>
      <c r="AG80" s="18">
        <v>8840.5459981069998</v>
      </c>
      <c r="AH80" s="19">
        <v>3.8904809716730597E-2</v>
      </c>
      <c r="AI80" s="18">
        <v>5132.2745370641496</v>
      </c>
      <c r="AJ80" s="19">
        <v>4.2452769738732E-2</v>
      </c>
      <c r="AK80" s="18">
        <v>2807.9207714775098</v>
      </c>
      <c r="AL80" s="19">
        <v>1.6135631125757902E-2</v>
      </c>
      <c r="AM80" s="18">
        <v>23812.293101507101</v>
      </c>
      <c r="AN80" s="19">
        <v>-1.4248875877546101E-3</v>
      </c>
      <c r="AO80" s="18">
        <v>9008.6006636512102</v>
      </c>
      <c r="AP80" s="19">
        <v>-4.0680476012322497E-4</v>
      </c>
      <c r="AQ80" s="18">
        <v>6374.83257465308</v>
      </c>
      <c r="AR80" s="19">
        <v>6.6489402419582797E-3</v>
      </c>
      <c r="AS80" s="18">
        <v>6418.6403811871996</v>
      </c>
      <c r="AT80" s="19">
        <v>-2.2464527496469698E-3</v>
      </c>
      <c r="AU80" s="18">
        <v>785.43477065447803</v>
      </c>
      <c r="AV80" s="19">
        <v>-7.8574769247546899E-3</v>
      </c>
      <c r="AW80" s="18">
        <v>2080.4544127230502</v>
      </c>
      <c r="AX80" s="19">
        <v>-9.0212311418369495E-3</v>
      </c>
      <c r="AY80" s="18">
        <v>424.65686436477398</v>
      </c>
      <c r="AZ80" s="19">
        <v>-2.3819256313873899E-3</v>
      </c>
      <c r="BA80" s="18">
        <v>3053.7019755139199</v>
      </c>
      <c r="BB80" s="19">
        <v>3.8897257507709303E-2</v>
      </c>
      <c r="BC80" s="18">
        <v>5720.5406723117003</v>
      </c>
      <c r="BD80" s="19">
        <v>1.1113945126207401E-2</v>
      </c>
      <c r="BE80" s="18">
        <v>-2783.3413415803702</v>
      </c>
      <c r="BF80" s="19">
        <v>-2.36225280715039E-2</v>
      </c>
      <c r="BG80" s="18"/>
      <c r="BH80" s="19"/>
    </row>
    <row r="81" spans="1:60" x14ac:dyDescent="0.15">
      <c r="A81" s="17">
        <v>1997</v>
      </c>
      <c r="B81" s="17">
        <v>2</v>
      </c>
      <c r="C81" s="18">
        <v>117715.56003325801</v>
      </c>
      <c r="D81" s="19">
        <v>9.2585972697452092E-3</v>
      </c>
      <c r="E81" s="18">
        <v>114707.55125350499</v>
      </c>
      <c r="F81" s="19">
        <v>8.6560762112042298E-3</v>
      </c>
      <c r="G81" s="18">
        <v>1203.1127391065199</v>
      </c>
      <c r="H81" s="19">
        <v>-2.8758088548927999E-3</v>
      </c>
      <c r="I81" s="18">
        <v>193.51382273814599</v>
      </c>
      <c r="J81" s="19">
        <v>5.0446085000479299E-2</v>
      </c>
      <c r="K81" s="18">
        <v>18778.005426533498</v>
      </c>
      <c r="L81" s="19">
        <v>1.3074013108407501E-2</v>
      </c>
      <c r="M81" s="18">
        <v>1971.0051333153101</v>
      </c>
      <c r="N81" s="19">
        <v>2.1157384979507501E-2</v>
      </c>
      <c r="O81" s="18">
        <v>19277.236363202501</v>
      </c>
      <c r="P81" s="19">
        <v>1.11950300039079E-2</v>
      </c>
      <c r="Q81" s="18">
        <v>4186.5376532155296</v>
      </c>
      <c r="R81" s="19">
        <v>-2.39690488204523E-2</v>
      </c>
      <c r="S81" s="18">
        <v>424.53685126365002</v>
      </c>
      <c r="T81" s="19">
        <v>-6.80888569307037E-3</v>
      </c>
      <c r="U81" s="18">
        <v>7222.9527259794404</v>
      </c>
      <c r="V81" s="19">
        <v>-1.1236420252894E-2</v>
      </c>
      <c r="W81" s="18">
        <v>14668.304654178501</v>
      </c>
      <c r="X81" s="19">
        <v>1.1912116021029999E-2</v>
      </c>
      <c r="Y81" s="18">
        <v>4300.6878349444096</v>
      </c>
      <c r="Z81" s="19">
        <v>4.8863900469282599E-3</v>
      </c>
      <c r="AA81" s="18">
        <v>6190.94616742378</v>
      </c>
      <c r="AB81" s="19">
        <v>1.17654725804144E-2</v>
      </c>
      <c r="AC81" s="18">
        <v>3689.5393086060299</v>
      </c>
      <c r="AD81" s="19">
        <v>5.0949737519369001E-2</v>
      </c>
      <c r="AE81" s="18">
        <v>3914.9340368568401</v>
      </c>
      <c r="AF81" s="19">
        <v>-1.00210349214842E-2</v>
      </c>
      <c r="AG81" s="18">
        <v>9165.13586984424</v>
      </c>
      <c r="AH81" s="19">
        <v>3.67160435347249E-2</v>
      </c>
      <c r="AI81" s="18">
        <v>5343.2291842032901</v>
      </c>
      <c r="AJ81" s="19">
        <v>4.1103539106427202E-2</v>
      </c>
      <c r="AK81" s="18">
        <v>2849.4955172120899</v>
      </c>
      <c r="AL81" s="19">
        <v>1.48062388928094E-2</v>
      </c>
      <c r="AM81" s="18">
        <v>23855.2872284798</v>
      </c>
      <c r="AN81" s="19">
        <v>1.8055433296340099E-3</v>
      </c>
      <c r="AO81" s="18">
        <v>9017.3630355123496</v>
      </c>
      <c r="AP81" s="19">
        <v>9.7266736403312003E-4</v>
      </c>
      <c r="AQ81" s="18">
        <v>6416.4140218657003</v>
      </c>
      <c r="AR81" s="19">
        <v>6.5227512606294002E-3</v>
      </c>
      <c r="AS81" s="18">
        <v>6436.6176860830601</v>
      </c>
      <c r="AT81" s="19">
        <v>2.80079640363584E-3</v>
      </c>
      <c r="AU81" s="18">
        <v>783.17724612108896</v>
      </c>
      <c r="AV81" s="19">
        <v>-2.8742355415555302E-3</v>
      </c>
      <c r="AW81" s="18">
        <v>2045.05009979589</v>
      </c>
      <c r="AX81" s="19">
        <v>-1.70175864996857E-2</v>
      </c>
      <c r="AY81" s="18">
        <v>427.365573219905</v>
      </c>
      <c r="AZ81" s="19">
        <v>6.3785825272888504E-3</v>
      </c>
      <c r="BA81" s="18">
        <v>3140.0181907729502</v>
      </c>
      <c r="BB81" s="19">
        <v>2.8266090126396901E-2</v>
      </c>
      <c r="BC81" s="18">
        <v>5816.7524408600602</v>
      </c>
      <c r="BD81" s="19">
        <v>1.68186495052873E-2</v>
      </c>
      <c r="BE81" s="18">
        <v>-2785.2155775973802</v>
      </c>
      <c r="BF81" s="19">
        <v>6.7337627225594299E-4</v>
      </c>
      <c r="BG81" s="18"/>
      <c r="BH81" s="19"/>
    </row>
    <row r="82" spans="1:60" x14ac:dyDescent="0.15">
      <c r="A82" s="17">
        <v>1997</v>
      </c>
      <c r="B82" s="17">
        <v>3</v>
      </c>
      <c r="C82" s="18">
        <v>119444.84215412701</v>
      </c>
      <c r="D82" s="19">
        <v>1.4690344423290201E-2</v>
      </c>
      <c r="E82" s="18">
        <v>116381.831301122</v>
      </c>
      <c r="F82" s="19">
        <v>1.45960752306211E-2</v>
      </c>
      <c r="G82" s="18">
        <v>1199.0858544248299</v>
      </c>
      <c r="H82" s="19">
        <v>-3.3470551435408301E-3</v>
      </c>
      <c r="I82" s="18">
        <v>201.48658616028899</v>
      </c>
      <c r="J82" s="19">
        <v>4.1199968608605801E-2</v>
      </c>
      <c r="K82" s="18">
        <v>19150.012499603701</v>
      </c>
      <c r="L82" s="19">
        <v>1.9810787387700899E-2</v>
      </c>
      <c r="M82" s="18">
        <v>2032.6205304411001</v>
      </c>
      <c r="N82" s="19">
        <v>3.1260901397120601E-2</v>
      </c>
      <c r="O82" s="18">
        <v>19607.320126916398</v>
      </c>
      <c r="P82" s="19">
        <v>1.7122981608713901E-2</v>
      </c>
      <c r="Q82" s="18">
        <v>4285.5523367966098</v>
      </c>
      <c r="R82" s="19">
        <v>2.3650732844842998E-2</v>
      </c>
      <c r="S82" s="18">
        <v>418.98802608715499</v>
      </c>
      <c r="T82" s="19">
        <v>-1.30703027545868E-2</v>
      </c>
      <c r="U82" s="18">
        <v>7099.4902159242502</v>
      </c>
      <c r="V82" s="19">
        <v>-1.7093080176354799E-2</v>
      </c>
      <c r="W82" s="18">
        <v>14840.3184799012</v>
      </c>
      <c r="X82" s="19">
        <v>1.1726905718021799E-2</v>
      </c>
      <c r="Y82" s="18">
        <v>4302.2903725300803</v>
      </c>
      <c r="Z82" s="19">
        <v>3.7262355399270098E-4</v>
      </c>
      <c r="AA82" s="18">
        <v>6386.9409079326997</v>
      </c>
      <c r="AB82" s="19">
        <v>3.16582853748959E-2</v>
      </c>
      <c r="AC82" s="18">
        <v>3863.8909770117002</v>
      </c>
      <c r="AD82" s="19">
        <v>4.7255674441246003E-2</v>
      </c>
      <c r="AE82" s="18">
        <v>4042.3274155681402</v>
      </c>
      <c r="AF82" s="19">
        <v>3.2540364029625603E-2</v>
      </c>
      <c r="AG82" s="18">
        <v>9472.0871408378298</v>
      </c>
      <c r="AH82" s="19">
        <v>3.3491186093983001E-2</v>
      </c>
      <c r="AI82" s="18">
        <v>5532.5072894862797</v>
      </c>
      <c r="AJ82" s="19">
        <v>3.5423916653729598E-2</v>
      </c>
      <c r="AK82" s="18">
        <v>2888.3819753576299</v>
      </c>
      <c r="AL82" s="19">
        <v>1.3646786917421E-2</v>
      </c>
      <c r="AM82" s="18">
        <v>23956.300713557499</v>
      </c>
      <c r="AN82" s="19">
        <v>4.2344275342471897E-3</v>
      </c>
      <c r="AO82" s="18">
        <v>9024.3318602961499</v>
      </c>
      <c r="AP82" s="19">
        <v>7.72822914676619E-4</v>
      </c>
      <c r="AQ82" s="18">
        <v>6502.2438299886799</v>
      </c>
      <c r="AR82" s="19">
        <v>1.3376600672976101E-2</v>
      </c>
      <c r="AS82" s="18">
        <v>6459.2093618137196</v>
      </c>
      <c r="AT82" s="19">
        <v>3.5098675783564702E-3</v>
      </c>
      <c r="AU82" s="18">
        <v>830.27848381600404</v>
      </c>
      <c r="AV82" s="19">
        <v>6.0141223366993797E-2</v>
      </c>
      <c r="AW82" s="18">
        <v>2071.5046859961099</v>
      </c>
      <c r="AX82" s="19">
        <v>1.2935911058052699E-2</v>
      </c>
      <c r="AY82" s="18">
        <v>429.04985608060298</v>
      </c>
      <c r="AZ82" s="19">
        <v>3.9410822168215497E-3</v>
      </c>
      <c r="BA82" s="18">
        <v>3195.3043759469801</v>
      </c>
      <c r="BB82" s="19">
        <v>1.7606963340686999E-2</v>
      </c>
      <c r="BC82" s="18">
        <v>5926.4555160678801</v>
      </c>
      <c r="BD82" s="19">
        <v>1.88598494302787E-2</v>
      </c>
      <c r="BE82" s="18">
        <v>-2842.80164561826</v>
      </c>
      <c r="BF82" s="19">
        <v>2.06756232745735E-2</v>
      </c>
      <c r="BG82" s="18"/>
      <c r="BH82" s="19"/>
    </row>
    <row r="83" spans="1:60" x14ac:dyDescent="0.15">
      <c r="A83" s="17">
        <v>1997</v>
      </c>
      <c r="B83" s="17">
        <v>4</v>
      </c>
      <c r="C83" s="18">
        <v>119990.64207323801</v>
      </c>
      <c r="D83" s="19">
        <v>4.5694724800764402E-3</v>
      </c>
      <c r="E83" s="18">
        <v>116945.50457782899</v>
      </c>
      <c r="F83" s="19">
        <v>4.8433099084776998E-3</v>
      </c>
      <c r="G83" s="18">
        <v>1200.39289903492</v>
      </c>
      <c r="H83" s="19">
        <v>1.09003421669995E-3</v>
      </c>
      <c r="I83" s="18">
        <v>209.418179855012</v>
      </c>
      <c r="J83" s="19">
        <v>3.9365368414218602E-2</v>
      </c>
      <c r="K83" s="18">
        <v>19299.0426532399</v>
      </c>
      <c r="L83" s="19">
        <v>7.7822483739526903E-3</v>
      </c>
      <c r="M83" s="18">
        <v>2123.0204078311499</v>
      </c>
      <c r="N83" s="19">
        <v>4.4474547037286698E-2</v>
      </c>
      <c r="O83" s="18">
        <v>19588.680557632699</v>
      </c>
      <c r="P83" s="19">
        <v>-9.5064339048311897E-4</v>
      </c>
      <c r="Q83" s="18">
        <v>4113.8964556051596</v>
      </c>
      <c r="R83" s="19">
        <v>-4.0054552529338497E-2</v>
      </c>
      <c r="S83" s="18">
        <v>408.56028909461401</v>
      </c>
      <c r="T83" s="19">
        <v>-2.4887911690278E-2</v>
      </c>
      <c r="U83" s="18">
        <v>7052.8071753559798</v>
      </c>
      <c r="V83" s="19">
        <v>-6.5755482645163399E-3</v>
      </c>
      <c r="W83" s="18">
        <v>15069.299033191401</v>
      </c>
      <c r="X83" s="19">
        <v>1.54296252873731E-2</v>
      </c>
      <c r="Y83" s="18">
        <v>4346.8472263806198</v>
      </c>
      <c r="Z83" s="19">
        <v>1.0356542676671399E-2</v>
      </c>
      <c r="AA83" s="18">
        <v>6462.2354141423302</v>
      </c>
      <c r="AB83" s="19">
        <v>1.1788821486686101E-2</v>
      </c>
      <c r="AC83" s="18">
        <v>3914.2342406571902</v>
      </c>
      <c r="AD83" s="19">
        <v>1.3029162557900899E-2</v>
      </c>
      <c r="AE83" s="18">
        <v>4231.45989696796</v>
      </c>
      <c r="AF83" s="19">
        <v>4.6788016396548802E-2</v>
      </c>
      <c r="AG83" s="18">
        <v>9325.9761207952306</v>
      </c>
      <c r="AH83" s="19">
        <v>-1.54254303059208E-2</v>
      </c>
      <c r="AI83" s="18">
        <v>5303.2837150079004</v>
      </c>
      <c r="AJ83" s="19">
        <v>-4.14321323921229E-2</v>
      </c>
      <c r="AK83" s="18">
        <v>2924.8340684367799</v>
      </c>
      <c r="AL83" s="19">
        <v>1.2620246695258699E-2</v>
      </c>
      <c r="AM83" s="18">
        <v>24125.771534832002</v>
      </c>
      <c r="AN83" s="19">
        <v>7.0741648846748299E-3</v>
      </c>
      <c r="AO83" s="18">
        <v>9015.8283732423006</v>
      </c>
      <c r="AP83" s="19">
        <v>-9.4228439129806496E-4</v>
      </c>
      <c r="AQ83" s="18">
        <v>6533.7603501957101</v>
      </c>
      <c r="AR83" s="19">
        <v>4.8470222020398097E-3</v>
      </c>
      <c r="AS83" s="18">
        <v>6489.9099258695196</v>
      </c>
      <c r="AT83" s="19">
        <v>4.7529910142407603E-3</v>
      </c>
      <c r="AU83" s="18">
        <v>820.93107491568696</v>
      </c>
      <c r="AV83" s="19">
        <v>-1.1258161065858301E-2</v>
      </c>
      <c r="AW83" s="18">
        <v>2065.22516714521</v>
      </c>
      <c r="AX83" s="19">
        <v>-3.0313804710866399E-3</v>
      </c>
      <c r="AY83" s="18">
        <v>429.21207064201798</v>
      </c>
      <c r="AZ83" s="19">
        <v>3.78078582513375E-4</v>
      </c>
      <c r="BA83" s="18">
        <v>3182.9096899972901</v>
      </c>
      <c r="BB83" s="19">
        <v>-3.8790313821088799E-3</v>
      </c>
      <c r="BC83" s="18">
        <v>6005.2186685176102</v>
      </c>
      <c r="BD83" s="19">
        <v>1.3290094262276E-2</v>
      </c>
      <c r="BE83" s="18">
        <v>-2951.10679555468</v>
      </c>
      <c r="BF83" s="19">
        <v>3.80980326585076E-2</v>
      </c>
      <c r="BG83" s="18"/>
      <c r="BH83" s="19"/>
    </row>
    <row r="84" spans="1:60" x14ac:dyDescent="0.15">
      <c r="A84" s="17">
        <v>1998</v>
      </c>
      <c r="B84" s="17">
        <v>1</v>
      </c>
      <c r="C84" s="18">
        <v>120800.000345762</v>
      </c>
      <c r="D84" s="19">
        <v>6.74517827840537E-3</v>
      </c>
      <c r="E84" s="18">
        <v>117838.861738969</v>
      </c>
      <c r="F84" s="19">
        <v>7.6390893721367502E-3</v>
      </c>
      <c r="G84" s="18">
        <v>1207.98952146498</v>
      </c>
      <c r="H84" s="19">
        <v>6.32844665789567E-3</v>
      </c>
      <c r="I84" s="18">
        <v>215.22775296734801</v>
      </c>
      <c r="J84" s="19">
        <v>2.7741493677187801E-2</v>
      </c>
      <c r="K84" s="18">
        <v>19300.633994855601</v>
      </c>
      <c r="L84" s="19">
        <v>8.2457023607984694E-5</v>
      </c>
      <c r="M84" s="18">
        <v>2191.3691130112702</v>
      </c>
      <c r="N84" s="19">
        <v>3.2194087691289397E-2</v>
      </c>
      <c r="O84" s="18">
        <v>19443.282591800598</v>
      </c>
      <c r="P84" s="19">
        <v>-7.4225502531572998E-3</v>
      </c>
      <c r="Q84" s="18">
        <v>4128.0446123787297</v>
      </c>
      <c r="R84" s="19">
        <v>3.4391134843212399E-3</v>
      </c>
      <c r="S84" s="18">
        <v>401.08634927515902</v>
      </c>
      <c r="T84" s="19">
        <v>-1.8293358456391601E-2</v>
      </c>
      <c r="U84" s="18">
        <v>7148.0421795871198</v>
      </c>
      <c r="V84" s="19">
        <v>1.3503134548170899E-2</v>
      </c>
      <c r="W84" s="18">
        <v>14922.315621059901</v>
      </c>
      <c r="X84" s="19">
        <v>-9.7538320666241702E-3</v>
      </c>
      <c r="Y84" s="18">
        <v>4339.1810807625097</v>
      </c>
      <c r="Z84" s="19">
        <v>-1.7636105477963899E-3</v>
      </c>
      <c r="AA84" s="18">
        <v>6751.5766930708996</v>
      </c>
      <c r="AB84" s="19">
        <v>4.47741780337114E-2</v>
      </c>
      <c r="AC84" s="18">
        <v>3872.9205142656001</v>
      </c>
      <c r="AD84" s="19">
        <v>-1.0554740429805099E-2</v>
      </c>
      <c r="AE84" s="18">
        <v>4345.59366314831</v>
      </c>
      <c r="AF84" s="19">
        <v>2.6972668761941401E-2</v>
      </c>
      <c r="AG84" s="18">
        <v>9576.7150955187299</v>
      </c>
      <c r="AH84" s="19">
        <v>2.6886083716684401E-2</v>
      </c>
      <c r="AI84" s="18">
        <v>5436.4660620345303</v>
      </c>
      <c r="AJ84" s="19">
        <v>2.5113185374135101E-2</v>
      </c>
      <c r="AK84" s="18">
        <v>2959.0412798969001</v>
      </c>
      <c r="AL84" s="19">
        <v>1.1695436616137899E-2</v>
      </c>
      <c r="AM84" s="18">
        <v>24344.6937508187</v>
      </c>
      <c r="AN84" s="19">
        <v>9.0742057998263199E-3</v>
      </c>
      <c r="AO84" s="18">
        <v>8978.2107457055099</v>
      </c>
      <c r="AP84" s="19">
        <v>-4.1723983620217701E-3</v>
      </c>
      <c r="AQ84" s="18">
        <v>6533.2827293156397</v>
      </c>
      <c r="AR84" s="19">
        <v>-7.3100458919395095E-5</v>
      </c>
      <c r="AS84" s="18">
        <v>6651.3111088178703</v>
      </c>
      <c r="AT84" s="19">
        <v>2.4869556710639201E-2</v>
      </c>
      <c r="AU84" s="18">
        <v>842.63198944775604</v>
      </c>
      <c r="AV84" s="19">
        <v>2.6434514656784099E-2</v>
      </c>
      <c r="AW84" s="18">
        <v>2065.482816446</v>
      </c>
      <c r="AX84" s="19">
        <v>1.2475603381512099E-4</v>
      </c>
      <c r="AY84" s="18">
        <v>428.56568189354601</v>
      </c>
      <c r="AZ84" s="19">
        <v>-1.5059892129887201E-3</v>
      </c>
      <c r="BA84" s="18">
        <v>3112.8332475461798</v>
      </c>
      <c r="BB84" s="19">
        <v>-2.20164721202545E-2</v>
      </c>
      <c r="BC84" s="18">
        <v>6064.1204826292596</v>
      </c>
      <c r="BD84" s="19">
        <v>9.8084378543024098E-3</v>
      </c>
      <c r="BE84" s="18">
        <v>-3103.6667308242399</v>
      </c>
      <c r="BF84" s="19">
        <v>5.1695836795660997E-2</v>
      </c>
      <c r="BG84" s="18"/>
      <c r="BH84" s="19"/>
    </row>
    <row r="85" spans="1:60" x14ac:dyDescent="0.15">
      <c r="A85" s="17">
        <v>1998</v>
      </c>
      <c r="B85" s="17">
        <v>2</v>
      </c>
      <c r="C85" s="18">
        <v>122013.71473397</v>
      </c>
      <c r="D85" s="19">
        <v>1.0047304509386699E-2</v>
      </c>
      <c r="E85" s="18">
        <v>119050.209273286</v>
      </c>
      <c r="F85" s="19">
        <v>1.0279694800515301E-2</v>
      </c>
      <c r="G85" s="18">
        <v>1213.95515219701</v>
      </c>
      <c r="H85" s="19">
        <v>4.9384788742190501E-3</v>
      </c>
      <c r="I85" s="18">
        <v>212.82919302350001</v>
      </c>
      <c r="J85" s="19">
        <v>-1.11442874386755E-2</v>
      </c>
      <c r="K85" s="18">
        <v>19510.410897515099</v>
      </c>
      <c r="L85" s="19">
        <v>1.08689125297889E-2</v>
      </c>
      <c r="M85" s="18">
        <v>2231.1831225697701</v>
      </c>
      <c r="N85" s="19">
        <v>1.81685546821444E-2</v>
      </c>
      <c r="O85" s="18">
        <v>19618.979491839</v>
      </c>
      <c r="P85" s="19">
        <v>9.0363805190212306E-3</v>
      </c>
      <c r="Q85" s="18">
        <v>4059.06579062847</v>
      </c>
      <c r="R85" s="19">
        <v>-1.6709805301865902E-2</v>
      </c>
      <c r="S85" s="18">
        <v>402.99040453270698</v>
      </c>
      <c r="T85" s="19">
        <v>4.7472452278389801E-3</v>
      </c>
      <c r="U85" s="18">
        <v>7245.9466373727901</v>
      </c>
      <c r="V85" s="19">
        <v>1.36966815983903E-2</v>
      </c>
      <c r="W85" s="18">
        <v>15073.4200948589</v>
      </c>
      <c r="X85" s="19">
        <v>1.0126074105129401E-2</v>
      </c>
      <c r="Y85" s="18">
        <v>4381.7510009687803</v>
      </c>
      <c r="Z85" s="19">
        <v>9.8105885451515995E-3</v>
      </c>
      <c r="AA85" s="18">
        <v>6778.8043821371903</v>
      </c>
      <c r="AB85" s="19">
        <v>4.0327897177319097E-3</v>
      </c>
      <c r="AC85" s="18">
        <v>3890.2664046638602</v>
      </c>
      <c r="AD85" s="19">
        <v>4.4787623020847702E-3</v>
      </c>
      <c r="AE85" s="18">
        <v>4461.8969452519104</v>
      </c>
      <c r="AF85" s="19">
        <v>2.6763496801341002E-2</v>
      </c>
      <c r="AG85" s="18">
        <v>9816.6104031471496</v>
      </c>
      <c r="AH85" s="19">
        <v>2.5049853236281502E-2</v>
      </c>
      <c r="AI85" s="18">
        <v>5592.6219058414199</v>
      </c>
      <c r="AJ85" s="19">
        <v>2.8723777914737299E-2</v>
      </c>
      <c r="AK85" s="18">
        <v>2983.3456664833798</v>
      </c>
      <c r="AL85" s="19">
        <v>8.2136017336413795E-3</v>
      </c>
      <c r="AM85" s="18">
        <v>24457.464575059901</v>
      </c>
      <c r="AN85" s="19">
        <v>4.6322547901183099E-3</v>
      </c>
      <c r="AO85" s="18">
        <v>8972.82550597097</v>
      </c>
      <c r="AP85" s="19">
        <v>-5.9981213262560995E-4</v>
      </c>
      <c r="AQ85" s="18">
        <v>6551.8865717714698</v>
      </c>
      <c r="AR85" s="19">
        <v>2.8475489622319401E-3</v>
      </c>
      <c r="AS85" s="18">
        <v>6803.1113212373002</v>
      </c>
      <c r="AT85" s="19">
        <v>2.2822599925926602E-2</v>
      </c>
      <c r="AU85" s="18">
        <v>857.23725240643</v>
      </c>
      <c r="AV85" s="19">
        <v>1.7332908246512999E-2</v>
      </c>
      <c r="AW85" s="18">
        <v>2054.0662824179399</v>
      </c>
      <c r="AX85" s="19">
        <v>-5.5272955732951204E-3</v>
      </c>
      <c r="AY85" s="18">
        <v>430.63517519945202</v>
      </c>
      <c r="AZ85" s="19">
        <v>4.8288824638533798E-3</v>
      </c>
      <c r="BA85" s="18">
        <v>3119.6741626743401</v>
      </c>
      <c r="BB85" s="19">
        <v>2.1976490817683398E-3</v>
      </c>
      <c r="BC85" s="18">
        <v>6137.2246543255897</v>
      </c>
      <c r="BD85" s="19">
        <v>1.20551977662275E-2</v>
      </c>
      <c r="BE85" s="18">
        <v>-3179.0338951128001</v>
      </c>
      <c r="BF85" s="19">
        <v>2.42832658352281E-2</v>
      </c>
      <c r="BG85" s="18"/>
      <c r="BH85" s="19"/>
    </row>
    <row r="86" spans="1:60" x14ac:dyDescent="0.15">
      <c r="A86" s="17">
        <v>1998</v>
      </c>
      <c r="B86" s="17">
        <v>3</v>
      </c>
      <c r="C86" s="18">
        <v>121967.075965011</v>
      </c>
      <c r="D86" s="19">
        <v>-3.8224202140268998E-4</v>
      </c>
      <c r="E86" s="18">
        <v>118982.37168937099</v>
      </c>
      <c r="F86" s="19">
        <v>-5.6982330672994397E-4</v>
      </c>
      <c r="G86" s="18">
        <v>1219.7650064469001</v>
      </c>
      <c r="H86" s="19">
        <v>4.7858887038603201E-3</v>
      </c>
      <c r="I86" s="18">
        <v>215.24558390739301</v>
      </c>
      <c r="J86" s="19">
        <v>1.13536627638609E-2</v>
      </c>
      <c r="K86" s="18">
        <v>19500.936545755001</v>
      </c>
      <c r="L86" s="19">
        <v>-4.8560493214866402E-4</v>
      </c>
      <c r="M86" s="18">
        <v>2198.6792623771998</v>
      </c>
      <c r="N86" s="19">
        <v>-1.4567993036420099E-2</v>
      </c>
      <c r="O86" s="18">
        <v>19679.4391283925</v>
      </c>
      <c r="P86" s="19">
        <v>3.0816912051243599E-3</v>
      </c>
      <c r="Q86" s="18">
        <v>4072.92997763224</v>
      </c>
      <c r="R86" s="19">
        <v>3.4156103199380898E-3</v>
      </c>
      <c r="S86" s="18">
        <v>408.62439183284198</v>
      </c>
      <c r="T86" s="19">
        <v>1.39804502458754E-2</v>
      </c>
      <c r="U86" s="18">
        <v>7435.5118869184998</v>
      </c>
      <c r="V86" s="19">
        <v>2.6161557493121299E-2</v>
      </c>
      <c r="W86" s="18">
        <v>14988.9621522706</v>
      </c>
      <c r="X86" s="19">
        <v>-5.60310414337006E-3</v>
      </c>
      <c r="Y86" s="18">
        <v>4397.9770879535099</v>
      </c>
      <c r="Z86" s="19">
        <v>3.70310567194432E-3</v>
      </c>
      <c r="AA86" s="18">
        <v>6546.3974940755297</v>
      </c>
      <c r="AB86" s="19">
        <v>-3.4284347941073802E-2</v>
      </c>
      <c r="AC86" s="18">
        <v>3891.2227853275499</v>
      </c>
      <c r="AD86" s="19">
        <v>2.4583937556088602E-4</v>
      </c>
      <c r="AE86" s="18">
        <v>4529.0650200472201</v>
      </c>
      <c r="AF86" s="19">
        <v>1.5053703754137801E-2</v>
      </c>
      <c r="AG86" s="18">
        <v>9671.3947036320806</v>
      </c>
      <c r="AH86" s="19">
        <v>-1.47928555327527E-2</v>
      </c>
      <c r="AI86" s="18">
        <v>5430.0144866644896</v>
      </c>
      <c r="AJ86" s="19">
        <v>-2.9075346396487501E-2</v>
      </c>
      <c r="AK86" s="18">
        <v>2997.6151547069999</v>
      </c>
      <c r="AL86" s="19">
        <v>4.7830489051052796E-3</v>
      </c>
      <c r="AM86" s="18">
        <v>24502.824800160699</v>
      </c>
      <c r="AN86" s="19">
        <v>1.8546577042608499E-3</v>
      </c>
      <c r="AO86" s="18">
        <v>8995.7701815905093</v>
      </c>
      <c r="AP86" s="19">
        <v>2.5571293684771802E-3</v>
      </c>
      <c r="AQ86" s="18">
        <v>6624.9798275877301</v>
      </c>
      <c r="AR86" s="19">
        <v>1.11560624585871E-2</v>
      </c>
      <c r="AS86" s="18">
        <v>6835.3012179417701</v>
      </c>
      <c r="AT86" s="19">
        <v>4.7316433885165E-3</v>
      </c>
      <c r="AU86" s="18">
        <v>868.17235864504698</v>
      </c>
      <c r="AV86" s="19">
        <v>1.27562191306076E-2</v>
      </c>
      <c r="AW86" s="18">
        <v>2046.9919504122199</v>
      </c>
      <c r="AX86" s="19">
        <v>-3.4440621835227802E-3</v>
      </c>
      <c r="AY86" s="18">
        <v>432.646406189245</v>
      </c>
      <c r="AZ86" s="19">
        <v>4.6703825084930496E-3</v>
      </c>
      <c r="BA86" s="18">
        <v>3138.26727352732</v>
      </c>
      <c r="BB86" s="19">
        <v>5.9599528295086702E-3</v>
      </c>
      <c r="BC86" s="18">
        <v>6138.0324464847499</v>
      </c>
      <c r="BD86" s="19">
        <v>1.3162173533776101E-4</v>
      </c>
      <c r="BE86" s="18">
        <v>-3156.9637679049602</v>
      </c>
      <c r="BF86" s="19">
        <v>-6.9424007217314702E-3</v>
      </c>
      <c r="BG86" s="18"/>
      <c r="BH86" s="19"/>
    </row>
    <row r="87" spans="1:60" x14ac:dyDescent="0.15">
      <c r="A87" s="17">
        <v>1998</v>
      </c>
      <c r="B87" s="17">
        <v>4</v>
      </c>
      <c r="C87" s="18">
        <v>121295.85763003799</v>
      </c>
      <c r="D87" s="19">
        <v>-5.5032747949594896E-3</v>
      </c>
      <c r="E87" s="18">
        <v>118177.342569334</v>
      </c>
      <c r="F87" s="19">
        <v>-6.7659528769357102E-3</v>
      </c>
      <c r="G87" s="18">
        <v>1225.0278124721899</v>
      </c>
      <c r="H87" s="19">
        <v>4.31460649999815E-3</v>
      </c>
      <c r="I87" s="18">
        <v>205.63843042557701</v>
      </c>
      <c r="J87" s="19">
        <v>-4.4633452205691801E-2</v>
      </c>
      <c r="K87" s="18">
        <v>19184.5444664526</v>
      </c>
      <c r="L87" s="19">
        <v>-1.6224455608072601E-2</v>
      </c>
      <c r="M87" s="18">
        <v>2149.6638165037102</v>
      </c>
      <c r="N87" s="19">
        <v>-2.2293131477709099E-2</v>
      </c>
      <c r="O87" s="18">
        <v>19389.871699352301</v>
      </c>
      <c r="P87" s="19">
        <v>-1.47142114747798E-2</v>
      </c>
      <c r="Q87" s="18">
        <v>4130.3185643575598</v>
      </c>
      <c r="R87" s="19">
        <v>1.40902463436596E-2</v>
      </c>
      <c r="S87" s="18">
        <v>422.86100844503301</v>
      </c>
      <c r="T87" s="19">
        <v>3.4840349466987101E-2</v>
      </c>
      <c r="U87" s="18">
        <v>7089.5509024514204</v>
      </c>
      <c r="V87" s="19">
        <v>-4.6528200039023603E-2</v>
      </c>
      <c r="W87" s="18">
        <v>15004.577874050001</v>
      </c>
      <c r="X87" s="19">
        <v>1.04181474479415E-3</v>
      </c>
      <c r="Y87" s="18">
        <v>4416.5192385117898</v>
      </c>
      <c r="Z87" s="19">
        <v>4.2160634736065896E-3</v>
      </c>
      <c r="AA87" s="18">
        <v>6249.6249609810702</v>
      </c>
      <c r="AB87" s="19">
        <v>-4.5333717264042998E-2</v>
      </c>
      <c r="AC87" s="18">
        <v>3872.0023432497001</v>
      </c>
      <c r="AD87" s="19">
        <v>-4.9394350152150998E-3</v>
      </c>
      <c r="AE87" s="18">
        <v>4585.3204642435603</v>
      </c>
      <c r="AF87" s="19">
        <v>1.24209840104599E-2</v>
      </c>
      <c r="AG87" s="18">
        <v>9533.1341983080292</v>
      </c>
      <c r="AH87" s="19">
        <v>-1.4295818706699E-2</v>
      </c>
      <c r="AI87" s="18">
        <v>5333.5425859581301</v>
      </c>
      <c r="AJ87" s="19">
        <v>-1.7766416819565398E-2</v>
      </c>
      <c r="AK87" s="18">
        <v>3001.4520414160202</v>
      </c>
      <c r="AL87" s="19">
        <v>1.2799797542353301E-3</v>
      </c>
      <c r="AM87" s="18">
        <v>24685.4910024409</v>
      </c>
      <c r="AN87" s="19">
        <v>7.4549038231312998E-3</v>
      </c>
      <c r="AO87" s="18">
        <v>8976.8868627172105</v>
      </c>
      <c r="AP87" s="19">
        <v>-2.0991330916775301E-3</v>
      </c>
      <c r="AQ87" s="18">
        <v>6627.1764767864697</v>
      </c>
      <c r="AR87" s="19">
        <v>3.3157069997313799E-4</v>
      </c>
      <c r="AS87" s="18">
        <v>6866.0819883720696</v>
      </c>
      <c r="AT87" s="19">
        <v>4.5032061424738999E-3</v>
      </c>
      <c r="AU87" s="18">
        <v>873.61690614718702</v>
      </c>
      <c r="AV87" s="19">
        <v>6.27127487753443E-3</v>
      </c>
      <c r="AW87" s="18">
        <v>2009.4042969233001</v>
      </c>
      <c r="AX87" s="19">
        <v>-1.83623846109153E-2</v>
      </c>
      <c r="AY87" s="18">
        <v>433.99013196278702</v>
      </c>
      <c r="AZ87" s="19">
        <v>3.1058290426526601E-3</v>
      </c>
      <c r="BA87" s="18">
        <v>3252.72475316697</v>
      </c>
      <c r="BB87" s="19">
        <v>3.6471552504513199E-2</v>
      </c>
      <c r="BC87" s="18">
        <v>6172.3557060360999</v>
      </c>
      <c r="BD87" s="19">
        <v>5.5918993342907201E-3</v>
      </c>
      <c r="BE87" s="18">
        <v>-3054.7582375264901</v>
      </c>
      <c r="BF87" s="19">
        <v>-3.23746288815661E-2</v>
      </c>
      <c r="BG87" s="18"/>
      <c r="BH87" s="19"/>
    </row>
    <row r="88" spans="1:60" x14ac:dyDescent="0.15">
      <c r="A88" s="17">
        <v>1999</v>
      </c>
      <c r="B88" s="17">
        <v>1</v>
      </c>
      <c r="C88" s="18">
        <v>122033.12157200099</v>
      </c>
      <c r="D88" s="19">
        <v>6.0782285262537296E-3</v>
      </c>
      <c r="E88" s="18">
        <v>118656.161852983</v>
      </c>
      <c r="F88" s="19">
        <v>4.0517012249423603E-3</v>
      </c>
      <c r="G88" s="18">
        <v>1229.7655258679699</v>
      </c>
      <c r="H88" s="19">
        <v>3.86743333297757E-3</v>
      </c>
      <c r="I88" s="18">
        <v>204.50465630597</v>
      </c>
      <c r="J88" s="19">
        <v>-5.5134349997729704E-3</v>
      </c>
      <c r="K88" s="18">
        <v>19463.234685828898</v>
      </c>
      <c r="L88" s="19">
        <v>1.45268093210993E-2</v>
      </c>
      <c r="M88" s="18">
        <v>2100.10527515989</v>
      </c>
      <c r="N88" s="19">
        <v>-2.3054089185174199E-2</v>
      </c>
      <c r="O88" s="18">
        <v>19843.715361141702</v>
      </c>
      <c r="P88" s="19">
        <v>2.3406223043993798E-2</v>
      </c>
      <c r="Q88" s="18">
        <v>4088.4577241605998</v>
      </c>
      <c r="R88" s="19">
        <v>-1.0135014901319701E-2</v>
      </c>
      <c r="S88" s="18">
        <v>418.914258172801</v>
      </c>
      <c r="T88" s="19">
        <v>-9.3334457266348592E-3</v>
      </c>
      <c r="U88" s="18">
        <v>7038.3268544950197</v>
      </c>
      <c r="V88" s="19">
        <v>-7.2252881263171797E-3</v>
      </c>
      <c r="W88" s="18">
        <v>15272.9095198166</v>
      </c>
      <c r="X88" s="19">
        <v>1.7883318545779198E-2</v>
      </c>
      <c r="Y88" s="18">
        <v>4427.0415047644201</v>
      </c>
      <c r="Z88" s="19">
        <v>2.3824794333215898E-3</v>
      </c>
      <c r="AA88" s="18">
        <v>5780.8053073707797</v>
      </c>
      <c r="AB88" s="19">
        <v>-7.5015645984730303E-2</v>
      </c>
      <c r="AC88" s="18">
        <v>3821.1230795118499</v>
      </c>
      <c r="AD88" s="19">
        <v>-1.3140297765199101E-2</v>
      </c>
      <c r="AE88" s="18">
        <v>4555.31436790319</v>
      </c>
      <c r="AF88" s="19">
        <v>-6.5439474894643003E-3</v>
      </c>
      <c r="AG88" s="18">
        <v>9696.0263039188194</v>
      </c>
      <c r="AH88" s="19">
        <v>1.7086941421605099E-2</v>
      </c>
      <c r="AI88" s="18">
        <v>5488.4797104978197</v>
      </c>
      <c r="AJ88" s="19">
        <v>2.90495710951288E-2</v>
      </c>
      <c r="AK88" s="18">
        <v>2994.1824663597499</v>
      </c>
      <c r="AL88" s="19">
        <v>-2.4220193945988502E-3</v>
      </c>
      <c r="AM88" s="18">
        <v>24839.724219444299</v>
      </c>
      <c r="AN88" s="19">
        <v>6.2479298867552701E-3</v>
      </c>
      <c r="AO88" s="18">
        <v>8985.5626842601596</v>
      </c>
      <c r="AP88" s="19">
        <v>9.6646216841422795E-4</v>
      </c>
      <c r="AQ88" s="18">
        <v>6659.1971204053298</v>
      </c>
      <c r="AR88" s="19">
        <v>4.8317173582166396E-3</v>
      </c>
      <c r="AS88" s="18">
        <v>6853.5288692971499</v>
      </c>
      <c r="AT88" s="19">
        <v>-1.8282798102576801E-3</v>
      </c>
      <c r="AU88" s="18">
        <v>881.47027488986498</v>
      </c>
      <c r="AV88" s="19">
        <v>8.9894880552536804E-3</v>
      </c>
      <c r="AW88" s="18">
        <v>1970.7921370573699</v>
      </c>
      <c r="AX88" s="19">
        <v>-1.9215724742429899E-2</v>
      </c>
      <c r="AY88" s="18">
        <v>435.22572298032298</v>
      </c>
      <c r="AZ88" s="19">
        <v>2.8470486458955801E-3</v>
      </c>
      <c r="BA88" s="18">
        <v>3456.6332705268201</v>
      </c>
      <c r="BB88" s="19">
        <v>6.2688525108471393E-2</v>
      </c>
      <c r="BC88" s="18">
        <v>6218.8807184103198</v>
      </c>
      <c r="BD88" s="19">
        <v>7.5376427720659197E-3</v>
      </c>
      <c r="BE88" s="18">
        <v>-2831.6862240800001</v>
      </c>
      <c r="BF88" s="19">
        <v>-7.3024441249110103E-2</v>
      </c>
      <c r="BG88" s="18"/>
      <c r="BH88" s="19"/>
    </row>
    <row r="89" spans="1:60" x14ac:dyDescent="0.15">
      <c r="A89" s="17">
        <v>1999</v>
      </c>
      <c r="B89" s="17">
        <v>2</v>
      </c>
      <c r="C89" s="18">
        <v>122672.372534821</v>
      </c>
      <c r="D89" s="19">
        <v>5.2383398423743203E-3</v>
      </c>
      <c r="E89" s="18">
        <v>119079.852030992</v>
      </c>
      <c r="F89" s="19">
        <v>3.5707389434538302E-3</v>
      </c>
      <c r="G89" s="18">
        <v>1241.09466441227</v>
      </c>
      <c r="H89" s="19">
        <v>9.2124379046227799E-3</v>
      </c>
      <c r="I89" s="18">
        <v>205.88883809746099</v>
      </c>
      <c r="J89" s="19">
        <v>6.7684610047229503E-3</v>
      </c>
      <c r="K89" s="18">
        <v>19269.757384344099</v>
      </c>
      <c r="L89" s="19">
        <v>-9.9406550148473105E-3</v>
      </c>
      <c r="M89" s="18">
        <v>2082.7269839881701</v>
      </c>
      <c r="N89" s="19">
        <v>-8.2749619160875608E-3</v>
      </c>
      <c r="O89" s="18">
        <v>19638.928816751399</v>
      </c>
      <c r="P89" s="19">
        <v>-1.03199698576302E-2</v>
      </c>
      <c r="Q89" s="18">
        <v>4223.0775450134197</v>
      </c>
      <c r="R89" s="19">
        <v>3.2926797813584999E-2</v>
      </c>
      <c r="S89" s="18">
        <v>414.21089019562203</v>
      </c>
      <c r="T89" s="19">
        <v>-1.12275194396452E-2</v>
      </c>
      <c r="U89" s="18">
        <v>7003.2028942777997</v>
      </c>
      <c r="V89" s="19">
        <v>-4.9903849229155899E-3</v>
      </c>
      <c r="W89" s="18">
        <v>15351.488552209599</v>
      </c>
      <c r="X89" s="19">
        <v>5.14499429798221E-3</v>
      </c>
      <c r="Y89" s="18">
        <v>4435.9496451505102</v>
      </c>
      <c r="Z89" s="19">
        <v>2.01221072278424E-3</v>
      </c>
      <c r="AA89" s="18">
        <v>5652.72869122258</v>
      </c>
      <c r="AB89" s="19">
        <v>-2.21554972600259E-2</v>
      </c>
      <c r="AC89" s="18">
        <v>3826.8401655693301</v>
      </c>
      <c r="AD89" s="19">
        <v>1.4961795101915401E-3</v>
      </c>
      <c r="AE89" s="18">
        <v>4656.7130282909002</v>
      </c>
      <c r="AF89" s="19">
        <v>2.2259421018705001E-2</v>
      </c>
      <c r="AG89" s="18">
        <v>9912.3267338288897</v>
      </c>
      <c r="AH89" s="19">
        <v>2.2308152136783201E-2</v>
      </c>
      <c r="AI89" s="18">
        <v>5686.6620924774998</v>
      </c>
      <c r="AJ89" s="19">
        <v>3.6108793770452098E-2</v>
      </c>
      <c r="AK89" s="18">
        <v>3003.9925456178698</v>
      </c>
      <c r="AL89" s="19">
        <v>3.2763799028066001E-3</v>
      </c>
      <c r="AM89" s="18">
        <v>24828.417527901802</v>
      </c>
      <c r="AN89" s="19">
        <v>-4.5518587253978699E-4</v>
      </c>
      <c r="AO89" s="18">
        <v>9035.0121330359907</v>
      </c>
      <c r="AP89" s="19">
        <v>5.5032111525365997E-3</v>
      </c>
      <c r="AQ89" s="18">
        <v>6678.7705340488101</v>
      </c>
      <c r="AR89" s="19">
        <v>2.9393053381025999E-3</v>
      </c>
      <c r="AS89" s="18">
        <v>6946.3250808149596</v>
      </c>
      <c r="AT89" s="19">
        <v>1.3539916922728599E-2</v>
      </c>
      <c r="AU89" s="18">
        <v>896.79656657065505</v>
      </c>
      <c r="AV89" s="19">
        <v>1.73871906034548E-2</v>
      </c>
      <c r="AW89" s="18">
        <v>1960.7998952253899</v>
      </c>
      <c r="AX89" s="19">
        <v>-5.07016526202531E-3</v>
      </c>
      <c r="AY89" s="18">
        <v>437.74598513418698</v>
      </c>
      <c r="AZ89" s="19">
        <v>5.7907012862319397E-3</v>
      </c>
      <c r="BA89" s="18">
        <v>3633.8754265716598</v>
      </c>
      <c r="BB89" s="19">
        <v>5.12759503752118E-2</v>
      </c>
      <c r="BC89" s="18">
        <v>6285.5184685210097</v>
      </c>
      <c r="BD89" s="19">
        <v>1.07153928702017E-2</v>
      </c>
      <c r="BE89" s="18">
        <v>-2675.2476086441202</v>
      </c>
      <c r="BF89" s="19">
        <v>-5.5245745134315898E-2</v>
      </c>
      <c r="BG89" s="18"/>
      <c r="BH89" s="19"/>
    </row>
    <row r="90" spans="1:60" x14ac:dyDescent="0.15">
      <c r="A90" s="17">
        <v>1999</v>
      </c>
      <c r="B90" s="17">
        <v>3</v>
      </c>
      <c r="C90" s="18">
        <v>123545.10922142099</v>
      </c>
      <c r="D90" s="19">
        <v>7.1143703228886404E-3</v>
      </c>
      <c r="E90" s="18">
        <v>119774.068920748</v>
      </c>
      <c r="F90" s="19">
        <v>5.8298434026826697E-3</v>
      </c>
      <c r="G90" s="18">
        <v>1256.269590849</v>
      </c>
      <c r="H90" s="19">
        <v>1.2227049935722699E-2</v>
      </c>
      <c r="I90" s="18">
        <v>206.96632578439699</v>
      </c>
      <c r="J90" s="19">
        <v>5.2333467753402597E-3</v>
      </c>
      <c r="K90" s="18">
        <v>19554.425244935599</v>
      </c>
      <c r="L90" s="19">
        <v>1.47727786558831E-2</v>
      </c>
      <c r="M90" s="18">
        <v>2270.4721949506602</v>
      </c>
      <c r="N90" s="19">
        <v>9.0143937446364397E-2</v>
      </c>
      <c r="O90" s="18">
        <v>19591.277848253801</v>
      </c>
      <c r="P90" s="19">
        <v>-2.42635272738978E-3</v>
      </c>
      <c r="Q90" s="18">
        <v>4248.5075157944202</v>
      </c>
      <c r="R90" s="19">
        <v>6.0216679684295098E-3</v>
      </c>
      <c r="S90" s="18">
        <v>406.14486320114798</v>
      </c>
      <c r="T90" s="19">
        <v>-1.9473237390411999E-2</v>
      </c>
      <c r="U90" s="18">
        <v>6952.99840451409</v>
      </c>
      <c r="V90" s="19">
        <v>-7.16878984110636E-3</v>
      </c>
      <c r="W90" s="18">
        <v>15555.366154408501</v>
      </c>
      <c r="X90" s="19">
        <v>1.32806406040369E-2</v>
      </c>
      <c r="Y90" s="18">
        <v>4437.8042215589803</v>
      </c>
      <c r="Z90" s="19">
        <v>4.1807877834942902E-4</v>
      </c>
      <c r="AA90" s="18">
        <v>5660.7922643047696</v>
      </c>
      <c r="AB90" s="19">
        <v>1.4264921461217799E-3</v>
      </c>
      <c r="AC90" s="18">
        <v>3834.03298383129</v>
      </c>
      <c r="AD90" s="19">
        <v>1.87957112154091E-3</v>
      </c>
      <c r="AE90" s="18">
        <v>4794.4660038725397</v>
      </c>
      <c r="AF90" s="19">
        <v>2.9581590006674499E-2</v>
      </c>
      <c r="AG90" s="18">
        <v>9869.9993404689794</v>
      </c>
      <c r="AH90" s="19">
        <v>-4.27017737575708E-3</v>
      </c>
      <c r="AI90" s="18">
        <v>5604.4912750028097</v>
      </c>
      <c r="AJ90" s="19">
        <v>-1.4449745059301E-2</v>
      </c>
      <c r="AK90" s="18">
        <v>3030.3665328601201</v>
      </c>
      <c r="AL90" s="19">
        <v>8.7796447034222992E-3</v>
      </c>
      <c r="AM90" s="18">
        <v>24853.020784735199</v>
      </c>
      <c r="AN90" s="19">
        <v>9.9093133123640009E-4</v>
      </c>
      <c r="AO90" s="18">
        <v>9060.7222674002296</v>
      </c>
      <c r="AP90" s="19">
        <v>2.8456114928971901E-3</v>
      </c>
      <c r="AQ90" s="18">
        <v>6655.4588707128996</v>
      </c>
      <c r="AR90" s="19">
        <v>-3.4904123771083398E-3</v>
      </c>
      <c r="AS90" s="18">
        <v>6951.8402147993002</v>
      </c>
      <c r="AT90" s="19">
        <v>7.9396427897937495E-4</v>
      </c>
      <c r="AU90" s="18">
        <v>898.30910046903796</v>
      </c>
      <c r="AV90" s="19">
        <v>1.6865964420085301E-3</v>
      </c>
      <c r="AW90" s="18">
        <v>1956.0738124890099</v>
      </c>
      <c r="AX90" s="19">
        <v>-2.41028304207902E-3</v>
      </c>
      <c r="AY90" s="18">
        <v>439.72503779353002</v>
      </c>
      <c r="AZ90" s="19">
        <v>4.5210069916144001E-3</v>
      </c>
      <c r="BA90" s="18">
        <v>3782.8067761955199</v>
      </c>
      <c r="BB90" s="19">
        <v>4.0984164876659797E-2</v>
      </c>
      <c r="BC90" s="18">
        <v>6358.1710519650196</v>
      </c>
      <c r="BD90" s="19">
        <v>1.1558725633829601E-2</v>
      </c>
      <c r="BE90" s="18">
        <v>-2563.7179027510902</v>
      </c>
      <c r="BF90" s="19">
        <v>-4.1689489052403002E-2</v>
      </c>
      <c r="BG90" s="18"/>
      <c r="BH90" s="19"/>
    </row>
    <row r="91" spans="1:60" x14ac:dyDescent="0.15">
      <c r="A91" s="17">
        <v>1999</v>
      </c>
      <c r="B91" s="17">
        <v>4</v>
      </c>
      <c r="C91" s="18">
        <v>126448.89339992301</v>
      </c>
      <c r="D91" s="19">
        <v>2.3503837560238099E-2</v>
      </c>
      <c r="E91" s="18">
        <v>122425.854243815</v>
      </c>
      <c r="F91" s="19">
        <v>2.2139895112207798E-2</v>
      </c>
      <c r="G91" s="18">
        <v>1272.6607031188</v>
      </c>
      <c r="H91" s="19">
        <v>1.30474480869391E-2</v>
      </c>
      <c r="I91" s="18">
        <v>201.87452992340999</v>
      </c>
      <c r="J91" s="19">
        <v>-2.46020498343812E-2</v>
      </c>
      <c r="K91" s="18">
        <v>20196.926963636299</v>
      </c>
      <c r="L91" s="19">
        <v>3.2857100664064998E-2</v>
      </c>
      <c r="M91" s="18">
        <v>2490.2172981191402</v>
      </c>
      <c r="N91" s="19">
        <v>9.6783877669667506E-2</v>
      </c>
      <c r="O91" s="18">
        <v>19922.6805226244</v>
      </c>
      <c r="P91" s="19">
        <v>1.6915827386937199E-2</v>
      </c>
      <c r="Q91" s="18">
        <v>4349.1232196630499</v>
      </c>
      <c r="R91" s="19">
        <v>2.3682599947056199E-2</v>
      </c>
      <c r="S91" s="18">
        <v>403.32098704890097</v>
      </c>
      <c r="T91" s="19">
        <v>-6.9528791525023097E-3</v>
      </c>
      <c r="U91" s="18">
        <v>7050.0329538795204</v>
      </c>
      <c r="V91" s="19">
        <v>1.39557847881047E-2</v>
      </c>
      <c r="W91" s="18">
        <v>15914.140036262599</v>
      </c>
      <c r="X91" s="19">
        <v>2.3064316088268401E-2</v>
      </c>
      <c r="Y91" s="18">
        <v>4492.1318456393001</v>
      </c>
      <c r="Z91" s="19">
        <v>1.22420055883485E-2</v>
      </c>
      <c r="AA91" s="18">
        <v>5624.8534619533602</v>
      </c>
      <c r="AB91" s="19">
        <v>-6.3487230538436003E-3</v>
      </c>
      <c r="AC91" s="18">
        <v>3866.9229891243299</v>
      </c>
      <c r="AD91" s="19">
        <v>8.5784356659785992E-3</v>
      </c>
      <c r="AE91" s="18">
        <v>4962.2979099327204</v>
      </c>
      <c r="AF91" s="19">
        <v>3.5005338639302101E-2</v>
      </c>
      <c r="AG91" s="18">
        <v>10636.833939480201</v>
      </c>
      <c r="AH91" s="19">
        <v>7.7693480268738097E-2</v>
      </c>
      <c r="AI91" s="18">
        <v>6242.7016585098099</v>
      </c>
      <c r="AJ91" s="19">
        <v>0.113874810788547</v>
      </c>
      <c r="AK91" s="18">
        <v>3073.2271381440701</v>
      </c>
      <c r="AL91" s="19">
        <v>1.4143703350463201E-2</v>
      </c>
      <c r="AM91" s="18">
        <v>24778.2239190908</v>
      </c>
      <c r="AN91" s="19">
        <v>-3.0095683857613901E-3</v>
      </c>
      <c r="AO91" s="18">
        <v>9122.2956542679094</v>
      </c>
      <c r="AP91" s="19">
        <v>6.7956378145719301E-3</v>
      </c>
      <c r="AQ91" s="18">
        <v>6650.8168514262998</v>
      </c>
      <c r="AR91" s="19">
        <v>-6.9747546739773502E-4</v>
      </c>
      <c r="AS91" s="18">
        <v>6988.2592861113899</v>
      </c>
      <c r="AT91" s="19">
        <v>5.2387670295639399E-3</v>
      </c>
      <c r="AU91" s="18">
        <v>895.24535774826495</v>
      </c>
      <c r="AV91" s="19">
        <v>-3.41056627298308E-3</v>
      </c>
      <c r="AW91" s="18">
        <v>1952.1511356226799</v>
      </c>
      <c r="AX91" s="19">
        <v>-2.00538284459784E-3</v>
      </c>
      <c r="AY91" s="18">
        <v>440.18171390258999</v>
      </c>
      <c r="AZ91" s="19">
        <v>1.0385492519404699E-3</v>
      </c>
      <c r="BA91" s="18">
        <v>4003.0952057681302</v>
      </c>
      <c r="BB91" s="19">
        <v>5.8234121541402797E-2</v>
      </c>
      <c r="BC91" s="18">
        <v>6555.8572632494197</v>
      </c>
      <c r="BD91" s="19">
        <v>3.1091678671229198E-2</v>
      </c>
      <c r="BE91" s="18">
        <v>-2506.64298741738</v>
      </c>
      <c r="BF91" s="19">
        <v>-2.2262556762761201E-2</v>
      </c>
      <c r="BG91" s="18"/>
      <c r="BH91" s="19"/>
    </row>
    <row r="92" spans="1:60" x14ac:dyDescent="0.15">
      <c r="A92" s="17">
        <v>2000</v>
      </c>
      <c r="B92" s="17">
        <v>1</v>
      </c>
      <c r="C92" s="18">
        <v>127028.66963485</v>
      </c>
      <c r="D92" s="19">
        <v>4.58506373079293E-3</v>
      </c>
      <c r="E92" s="18">
        <v>122901.605907622</v>
      </c>
      <c r="F92" s="19">
        <v>3.88603916015429E-3</v>
      </c>
      <c r="G92" s="18">
        <v>1282.4133291094699</v>
      </c>
      <c r="H92" s="19">
        <v>7.6631783842877601E-3</v>
      </c>
      <c r="I92" s="18">
        <v>201.94277402876199</v>
      </c>
      <c r="J92" s="19">
        <v>3.38052083029394E-4</v>
      </c>
      <c r="K92" s="18">
        <v>19816.847357442701</v>
      </c>
      <c r="L92" s="19">
        <v>-1.8818684984998099E-2</v>
      </c>
      <c r="M92" s="18">
        <v>2408.8319438806002</v>
      </c>
      <c r="N92" s="19">
        <v>-3.2682029114489801E-2</v>
      </c>
      <c r="O92" s="18">
        <v>19628.0053855593</v>
      </c>
      <c r="P92" s="19">
        <v>-1.47909382339635E-2</v>
      </c>
      <c r="Q92" s="18">
        <v>4224.9883870850099</v>
      </c>
      <c r="R92" s="19">
        <v>-2.85424961097459E-2</v>
      </c>
      <c r="S92" s="18">
        <v>398.71709020385902</v>
      </c>
      <c r="T92" s="19">
        <v>-1.14149696962945E-2</v>
      </c>
      <c r="U92" s="18">
        <v>7022.3056363785499</v>
      </c>
      <c r="V92" s="19">
        <v>-3.9329344532663697E-3</v>
      </c>
      <c r="W92" s="18">
        <v>15940.0383317552</v>
      </c>
      <c r="X92" s="19">
        <v>1.62737637306609E-3</v>
      </c>
      <c r="Y92" s="18">
        <v>4481.7442449108103</v>
      </c>
      <c r="Z92" s="19">
        <v>-2.31239889776935E-3</v>
      </c>
      <c r="AA92" s="18">
        <v>5931.5797467312104</v>
      </c>
      <c r="AB92" s="19">
        <v>5.4530537880241897E-2</v>
      </c>
      <c r="AC92" s="18">
        <v>3857.3255323115</v>
      </c>
      <c r="AD92" s="19">
        <v>-2.4819363715857801E-3</v>
      </c>
      <c r="AE92" s="18">
        <v>5140.9200133514696</v>
      </c>
      <c r="AF92" s="19">
        <v>3.5995844397252598E-2</v>
      </c>
      <c r="AG92" s="18">
        <v>11072.928164102001</v>
      </c>
      <c r="AH92" s="19">
        <v>4.0998498905135503E-2</v>
      </c>
      <c r="AI92" s="18">
        <v>6546.43113379648</v>
      </c>
      <c r="AJ92" s="19">
        <v>4.8653530458665502E-2</v>
      </c>
      <c r="AK92" s="18">
        <v>3132.9334820048398</v>
      </c>
      <c r="AL92" s="19">
        <v>1.9427898159468E-2</v>
      </c>
      <c r="AM92" s="18">
        <v>24687.322782147199</v>
      </c>
      <c r="AN92" s="19">
        <v>-3.66858969555062E-3</v>
      </c>
      <c r="AO92" s="18">
        <v>9151.1613735790306</v>
      </c>
      <c r="AP92" s="19">
        <v>3.1643042941300599E-3</v>
      </c>
      <c r="AQ92" s="18">
        <v>6595.8435423610399</v>
      </c>
      <c r="AR92" s="19">
        <v>-8.2656477081422004E-3</v>
      </c>
      <c r="AS92" s="18">
        <v>7062.8792008442297</v>
      </c>
      <c r="AT92" s="19">
        <v>1.06778972670836E-2</v>
      </c>
      <c r="AU92" s="18">
        <v>883.86787591253096</v>
      </c>
      <c r="AV92" s="19">
        <v>-1.27087861861142E-2</v>
      </c>
      <c r="AW92" s="18">
        <v>1959.21824472259</v>
      </c>
      <c r="AX92" s="19">
        <v>3.6201649405871398E-3</v>
      </c>
      <c r="AY92" s="18">
        <v>440.08671558028499</v>
      </c>
      <c r="AZ92" s="19">
        <v>-2.1581614888710501E-4</v>
      </c>
      <c r="BA92" s="18">
        <v>4072.51181787309</v>
      </c>
      <c r="BB92" s="19">
        <v>1.7340734740693298E-2</v>
      </c>
      <c r="BC92" s="18">
        <v>6628.04354023832</v>
      </c>
      <c r="BD92" s="19">
        <v>1.1010959221694899E-2</v>
      </c>
      <c r="BE92" s="18">
        <v>-2482.1709121071599</v>
      </c>
      <c r="BF92" s="19">
        <v>-9.7628882266297401E-3</v>
      </c>
      <c r="BG92" s="18"/>
      <c r="BH92" s="19"/>
    </row>
    <row r="93" spans="1:60" x14ac:dyDescent="0.15">
      <c r="A93" s="17">
        <v>2000</v>
      </c>
      <c r="B93" s="17">
        <v>2</v>
      </c>
      <c r="C93" s="18">
        <v>127253.70406089901</v>
      </c>
      <c r="D93" s="19">
        <v>1.7715247014404899E-3</v>
      </c>
      <c r="E93" s="18">
        <v>123084.79868341101</v>
      </c>
      <c r="F93" s="19">
        <v>1.4905645409235601E-3</v>
      </c>
      <c r="G93" s="18">
        <v>1289.5284442362899</v>
      </c>
      <c r="H93" s="19">
        <v>5.5482229990215801E-3</v>
      </c>
      <c r="I93" s="18">
        <v>195.826834030572</v>
      </c>
      <c r="J93" s="19">
        <v>-3.0285510474954799E-2</v>
      </c>
      <c r="K93" s="18">
        <v>19666.580400364899</v>
      </c>
      <c r="L93" s="19">
        <v>-7.5827882390847598E-3</v>
      </c>
      <c r="M93" s="18">
        <v>2369.2408940466398</v>
      </c>
      <c r="N93" s="19">
        <v>-1.6435787450652401E-2</v>
      </c>
      <c r="O93" s="18">
        <v>19524.213030445801</v>
      </c>
      <c r="P93" s="19">
        <v>-5.2879726225193401E-3</v>
      </c>
      <c r="Q93" s="18">
        <v>4287.0303973795399</v>
      </c>
      <c r="R93" s="19">
        <v>1.4684539840200499E-2</v>
      </c>
      <c r="S93" s="18">
        <v>395.69868296148599</v>
      </c>
      <c r="T93" s="19">
        <v>-7.5702981300071999E-3</v>
      </c>
      <c r="U93" s="18">
        <v>6911.8236357106298</v>
      </c>
      <c r="V93" s="19">
        <v>-1.5733009411549599E-2</v>
      </c>
      <c r="W93" s="18">
        <v>16077.9311789817</v>
      </c>
      <c r="X93" s="19">
        <v>8.6507224359526607E-3</v>
      </c>
      <c r="Y93" s="18">
        <v>4516.1142566363496</v>
      </c>
      <c r="Z93" s="19">
        <v>7.6688918080431998E-3</v>
      </c>
      <c r="AA93" s="18">
        <v>5962.0542423124098</v>
      </c>
      <c r="AB93" s="19">
        <v>5.1376693701186103E-3</v>
      </c>
      <c r="AC93" s="18">
        <v>3963.71014464061</v>
      </c>
      <c r="AD93" s="19">
        <v>2.75798895991437E-2</v>
      </c>
      <c r="AE93" s="18">
        <v>5398.2839055967997</v>
      </c>
      <c r="AF93" s="19">
        <v>5.0061835542457099E-2</v>
      </c>
      <c r="AG93" s="18">
        <v>10882.7885350291</v>
      </c>
      <c r="AH93" s="19">
        <v>-1.71715761409303E-2</v>
      </c>
      <c r="AI93" s="18">
        <v>6257.9274608037204</v>
      </c>
      <c r="AJ93" s="19">
        <v>-4.4070374696731501E-2</v>
      </c>
      <c r="AK93" s="18">
        <v>3184.5309915036401</v>
      </c>
      <c r="AL93" s="19">
        <v>1.64693919596994E-2</v>
      </c>
      <c r="AM93" s="18">
        <v>24621.028055052499</v>
      </c>
      <c r="AN93" s="19">
        <v>-2.68537531103386E-3</v>
      </c>
      <c r="AO93" s="18">
        <v>9212.9196572019791</v>
      </c>
      <c r="AP93" s="19">
        <v>6.7486826099749696E-3</v>
      </c>
      <c r="AQ93" s="18">
        <v>6546.3119424323804</v>
      </c>
      <c r="AR93" s="19">
        <v>-7.5095171088495104E-3</v>
      </c>
      <c r="AS93" s="18">
        <v>7192.7967625106803</v>
      </c>
      <c r="AT93" s="19">
        <v>1.8394419325608299E-2</v>
      </c>
      <c r="AU93" s="18">
        <v>905.49301252796295</v>
      </c>
      <c r="AV93" s="19">
        <v>2.44664810259176E-2</v>
      </c>
      <c r="AW93" s="18">
        <v>1962.5132536859501</v>
      </c>
      <c r="AX93" s="19">
        <v>1.6817978151391099E-3</v>
      </c>
      <c r="AY93" s="18">
        <v>441.1729806678</v>
      </c>
      <c r="AZ93" s="19">
        <v>2.4682978355365899E-3</v>
      </c>
      <c r="BA93" s="18">
        <v>4105.4980869944702</v>
      </c>
      <c r="BB93" s="19">
        <v>8.0997356414313996E-3</v>
      </c>
      <c r="BC93" s="18">
        <v>6672.2006248137304</v>
      </c>
      <c r="BD93" s="19">
        <v>6.6621597017790801E-3</v>
      </c>
      <c r="BE93" s="18">
        <v>-2490.3534694059599</v>
      </c>
      <c r="BF93" s="19">
        <v>3.2965325872158502E-3</v>
      </c>
      <c r="BG93" s="18"/>
      <c r="BH93" s="19"/>
    </row>
    <row r="94" spans="1:60" x14ac:dyDescent="0.15">
      <c r="A94" s="17">
        <v>2000</v>
      </c>
      <c r="B94" s="17">
        <v>3</v>
      </c>
      <c r="C94" s="18">
        <v>128096.05836482601</v>
      </c>
      <c r="D94" s="19">
        <v>6.6194875044562904E-3</v>
      </c>
      <c r="E94" s="18">
        <v>123905.0008429</v>
      </c>
      <c r="F94" s="19">
        <v>6.6637161393055004E-3</v>
      </c>
      <c r="G94" s="18">
        <v>1284.3246550553399</v>
      </c>
      <c r="H94" s="19">
        <v>-4.0354202376899897E-3</v>
      </c>
      <c r="I94" s="18">
        <v>195.00844945269401</v>
      </c>
      <c r="J94" s="19">
        <v>-4.1791237749901899E-3</v>
      </c>
      <c r="K94" s="18">
        <v>19900.789386568398</v>
      </c>
      <c r="L94" s="19">
        <v>1.19089837397053E-2</v>
      </c>
      <c r="M94" s="18">
        <v>2420.66055700167</v>
      </c>
      <c r="N94" s="19">
        <v>2.1703011747027798E-2</v>
      </c>
      <c r="O94" s="18">
        <v>19707.715110508801</v>
      </c>
      <c r="P94" s="19">
        <v>9.3986927809526204E-3</v>
      </c>
      <c r="Q94" s="18">
        <v>4016.8431389051302</v>
      </c>
      <c r="R94" s="19">
        <v>-6.3024339328119794E-2</v>
      </c>
      <c r="S94" s="18">
        <v>397.78902460115398</v>
      </c>
      <c r="T94" s="19">
        <v>5.2826600887918599E-3</v>
      </c>
      <c r="U94" s="18">
        <v>6916.7415151396899</v>
      </c>
      <c r="V94" s="19">
        <v>7.1151691482040902E-4</v>
      </c>
      <c r="W94" s="18">
        <v>16302.750111843399</v>
      </c>
      <c r="X94" s="19">
        <v>1.3983075954173E-2</v>
      </c>
      <c r="Y94" s="18">
        <v>4560.9906658416703</v>
      </c>
      <c r="Z94" s="19">
        <v>9.9369516923482094E-3</v>
      </c>
      <c r="AA94" s="18">
        <v>6030.7087509204102</v>
      </c>
      <c r="AB94" s="19">
        <v>1.1515243876979201E-2</v>
      </c>
      <c r="AC94" s="18">
        <v>3929.4870259525001</v>
      </c>
      <c r="AD94" s="19">
        <v>-8.6341123440577504E-3</v>
      </c>
      <c r="AE94" s="18">
        <v>5476.80114903704</v>
      </c>
      <c r="AF94" s="19">
        <v>1.45448525519081E-2</v>
      </c>
      <c r="AG94" s="18">
        <v>11035.2702474377</v>
      </c>
      <c r="AH94" s="19">
        <v>1.4011272195338501E-2</v>
      </c>
      <c r="AI94" s="18">
        <v>6309.6303807337199</v>
      </c>
      <c r="AJ94" s="19">
        <v>8.2619877353704609E-3</v>
      </c>
      <c r="AK94" s="18">
        <v>3228.61005816954</v>
      </c>
      <c r="AL94" s="19">
        <v>1.3841619624207499E-2</v>
      </c>
      <c r="AM94" s="18">
        <v>24663.0073752922</v>
      </c>
      <c r="AN94" s="19">
        <v>1.7050189840086499E-3</v>
      </c>
      <c r="AO94" s="18">
        <v>9252.4305585939892</v>
      </c>
      <c r="AP94" s="19">
        <v>4.2886406114626104E-3</v>
      </c>
      <c r="AQ94" s="18">
        <v>6531.0274901438397</v>
      </c>
      <c r="AR94" s="19">
        <v>-2.3348188144640702E-3</v>
      </c>
      <c r="AS94" s="18">
        <v>7302.9273795855397</v>
      </c>
      <c r="AT94" s="19">
        <v>1.5311237160053399E-2</v>
      </c>
      <c r="AU94" s="18">
        <v>895.56612185303402</v>
      </c>
      <c r="AV94" s="19">
        <v>-1.0962967728724101E-2</v>
      </c>
      <c r="AW94" s="18">
        <v>1969.41729338656</v>
      </c>
      <c r="AX94" s="19">
        <v>3.5179582546243102E-3</v>
      </c>
      <c r="AY94" s="18">
        <v>442.71009770641399</v>
      </c>
      <c r="AZ94" s="19">
        <v>3.484159515589E-3</v>
      </c>
      <c r="BA94" s="18">
        <v>4128.3852469390404</v>
      </c>
      <c r="BB94" s="19">
        <v>5.5747583994909498E-3</v>
      </c>
      <c r="BC94" s="18">
        <v>6717.5001701117699</v>
      </c>
      <c r="BD94" s="19">
        <v>6.7892960426836303E-3</v>
      </c>
      <c r="BE94" s="18">
        <v>-2514.37632220354</v>
      </c>
      <c r="BF94" s="19">
        <v>9.6463626921636791E-3</v>
      </c>
      <c r="BG94" s="18"/>
      <c r="BH94" s="19"/>
    </row>
    <row r="95" spans="1:60" x14ac:dyDescent="0.15">
      <c r="A95" s="17">
        <v>2000</v>
      </c>
      <c r="B95" s="17">
        <v>4</v>
      </c>
      <c r="C95" s="18">
        <v>129934.167329408</v>
      </c>
      <c r="D95" s="19">
        <v>1.4349457649557799E-2</v>
      </c>
      <c r="E95" s="18">
        <v>125717.20163279701</v>
      </c>
      <c r="F95" s="19">
        <v>1.4625727594271399E-2</v>
      </c>
      <c r="G95" s="18">
        <v>1258.17013751728</v>
      </c>
      <c r="H95" s="19">
        <v>-2.0364412872642498E-2</v>
      </c>
      <c r="I95" s="18">
        <v>200.17463930739299</v>
      </c>
      <c r="J95" s="19">
        <v>2.6492133388057899E-2</v>
      </c>
      <c r="K95" s="18">
        <v>20714.6085364399</v>
      </c>
      <c r="L95" s="19">
        <v>4.0893812504779303E-2</v>
      </c>
      <c r="M95" s="18">
        <v>2510.4710822994002</v>
      </c>
      <c r="N95" s="19">
        <v>3.71016601389864E-2</v>
      </c>
      <c r="O95" s="18">
        <v>20533.0273287077</v>
      </c>
      <c r="P95" s="19">
        <v>4.18776206968203E-2</v>
      </c>
      <c r="Q95" s="18">
        <v>4333.0047468378198</v>
      </c>
      <c r="R95" s="19">
        <v>7.8708975431604197E-2</v>
      </c>
      <c r="S95" s="18">
        <v>395.21011180859398</v>
      </c>
      <c r="T95" s="19">
        <v>-6.4831170119533698E-3</v>
      </c>
      <c r="U95" s="18">
        <v>6939.9736770067202</v>
      </c>
      <c r="V95" s="19">
        <v>3.3588304284872801E-3</v>
      </c>
      <c r="W95" s="18">
        <v>16448.692598056099</v>
      </c>
      <c r="X95" s="19">
        <v>8.9520163905791907E-3</v>
      </c>
      <c r="Y95" s="18">
        <v>4610.2187530136198</v>
      </c>
      <c r="Z95" s="19">
        <v>1.07932882960333E-2</v>
      </c>
      <c r="AA95" s="18">
        <v>5993.7457285339597</v>
      </c>
      <c r="AB95" s="19">
        <v>-6.1291340558953201E-3</v>
      </c>
      <c r="AC95" s="18">
        <v>3896.1904150736</v>
      </c>
      <c r="AD95" s="19">
        <v>-8.4735261012425199E-3</v>
      </c>
      <c r="AE95" s="18">
        <v>5549.0925864700303</v>
      </c>
      <c r="AF95" s="19">
        <v>1.3199573156988101E-2</v>
      </c>
      <c r="AG95" s="18">
        <v>11063.614822495299</v>
      </c>
      <c r="AH95" s="19">
        <v>2.5685438074452001E-3</v>
      </c>
      <c r="AI95" s="18">
        <v>6286.1230259411705</v>
      </c>
      <c r="AJ95" s="19">
        <v>-3.7256310392322898E-3</v>
      </c>
      <c r="AK95" s="18">
        <v>3265.5620559271802</v>
      </c>
      <c r="AL95" s="19">
        <v>1.1445172099410201E-2</v>
      </c>
      <c r="AM95" s="18">
        <v>24963.325793256201</v>
      </c>
      <c r="AN95" s="19">
        <v>1.217687743405E-2</v>
      </c>
      <c r="AO95" s="18">
        <v>9322.0491466056101</v>
      </c>
      <c r="AP95" s="19">
        <v>7.52435671586293E-3</v>
      </c>
      <c r="AQ95" s="18">
        <v>6522.0270127927597</v>
      </c>
      <c r="AR95" s="19">
        <v>-1.3781104680186101E-3</v>
      </c>
      <c r="AS95" s="18">
        <v>7409.3248240316498</v>
      </c>
      <c r="AT95" s="19">
        <v>1.45691500018923E-2</v>
      </c>
      <c r="AU95" s="18">
        <v>922.09266088648303</v>
      </c>
      <c r="AV95" s="19">
        <v>2.9619855403376399E-2</v>
      </c>
      <c r="AW95" s="18">
        <v>1966.8856182388299</v>
      </c>
      <c r="AX95" s="19">
        <v>-1.2854945248180799E-3</v>
      </c>
      <c r="AY95" s="18">
        <v>444.82972402630099</v>
      </c>
      <c r="AZ95" s="19">
        <v>4.7878427234173699E-3</v>
      </c>
      <c r="BA95" s="18">
        <v>4162.2108439864396</v>
      </c>
      <c r="BB95" s="19">
        <v>8.1934206776086392E-3</v>
      </c>
      <c r="BC95" s="18">
        <v>6785.6493855524996</v>
      </c>
      <c r="BD95" s="19">
        <v>1.01450262322209E-2</v>
      </c>
      <c r="BE95" s="18">
        <v>-2551.38153112093</v>
      </c>
      <c r="BF95" s="19">
        <v>1.47174504431218E-2</v>
      </c>
      <c r="BG95" s="18"/>
      <c r="BH95" s="19"/>
    </row>
    <row r="96" spans="1:60" x14ac:dyDescent="0.15">
      <c r="A96" s="17">
        <v>2001</v>
      </c>
      <c r="B96" s="17">
        <v>1</v>
      </c>
      <c r="C96" s="18">
        <v>129982.925034931</v>
      </c>
      <c r="D96" s="19">
        <v>3.7524930143573198E-4</v>
      </c>
      <c r="E96" s="18">
        <v>125902.39435085301</v>
      </c>
      <c r="F96" s="19">
        <v>1.4730897255976799E-3</v>
      </c>
      <c r="G96" s="18">
        <v>1200.5142145433199</v>
      </c>
      <c r="H96" s="19">
        <v>-4.5825219701794997E-2</v>
      </c>
      <c r="I96" s="18">
        <v>198.25146722763</v>
      </c>
      <c r="J96" s="19">
        <v>-9.6074711882416803E-3</v>
      </c>
      <c r="K96" s="18">
        <v>21093.880090457002</v>
      </c>
      <c r="L96" s="19">
        <v>1.8309375885616999E-2</v>
      </c>
      <c r="M96" s="18">
        <v>2683.6843498828898</v>
      </c>
      <c r="N96" s="19">
        <v>6.8996320572966896E-2</v>
      </c>
      <c r="O96" s="18">
        <v>20652.822835724699</v>
      </c>
      <c r="P96" s="19">
        <v>5.8342837176050804E-3</v>
      </c>
      <c r="Q96" s="18">
        <v>4388.3468910050296</v>
      </c>
      <c r="R96" s="19">
        <v>1.2772232527001E-2</v>
      </c>
      <c r="S96" s="18">
        <v>398.55033564438099</v>
      </c>
      <c r="T96" s="19">
        <v>8.4517671384987097E-3</v>
      </c>
      <c r="U96" s="18">
        <v>6871.2780204521696</v>
      </c>
      <c r="V96" s="19">
        <v>-9.8985471345739394E-3</v>
      </c>
      <c r="W96" s="18">
        <v>16508.5083515849</v>
      </c>
      <c r="X96" s="19">
        <v>3.63650503966806E-3</v>
      </c>
      <c r="Y96" s="18">
        <v>4700.9531708490504</v>
      </c>
      <c r="Z96" s="19">
        <v>1.9681152391330899E-2</v>
      </c>
      <c r="AA96" s="18">
        <v>5940.0620469308496</v>
      </c>
      <c r="AB96" s="19">
        <v>-8.9566164523032805E-3</v>
      </c>
      <c r="AC96" s="18">
        <v>4043.7572579513399</v>
      </c>
      <c r="AD96" s="19">
        <v>3.7874648607222297E-2</v>
      </c>
      <c r="AE96" s="18">
        <v>5633.3280231427798</v>
      </c>
      <c r="AF96" s="19">
        <v>1.5180038062102601E-2</v>
      </c>
      <c r="AG96" s="18">
        <v>10282.640620092299</v>
      </c>
      <c r="AH96" s="19">
        <v>-7.0589424427092803E-2</v>
      </c>
      <c r="AI96" s="18">
        <v>5546.5853364814802</v>
      </c>
      <c r="AJ96" s="19">
        <v>-0.11764607316907701</v>
      </c>
      <c r="AK96" s="18">
        <v>3295.5897009948199</v>
      </c>
      <c r="AL96" s="19">
        <v>9.1952455820407692E-3</v>
      </c>
      <c r="AM96" s="18">
        <v>25455.908609279901</v>
      </c>
      <c r="AN96" s="19">
        <v>1.9732259239142201E-2</v>
      </c>
      <c r="AO96" s="18">
        <v>9444.9257507372495</v>
      </c>
      <c r="AP96" s="19">
        <v>1.3181286882228501E-2</v>
      </c>
      <c r="AQ96" s="18">
        <v>6496.0114084964198</v>
      </c>
      <c r="AR96" s="19">
        <v>-3.9888832483075997E-3</v>
      </c>
      <c r="AS96" s="18">
        <v>7643.7432560692696</v>
      </c>
      <c r="AT96" s="19">
        <v>3.1638298712090902E-2</v>
      </c>
      <c r="AU96" s="18">
        <v>963.41880585549995</v>
      </c>
      <c r="AV96" s="19">
        <v>4.4817778865397603E-2</v>
      </c>
      <c r="AW96" s="18">
        <v>1978.5422618901</v>
      </c>
      <c r="AX96" s="19">
        <v>5.9264471422120204E-3</v>
      </c>
      <c r="AY96" s="18">
        <v>447.611461741911</v>
      </c>
      <c r="AZ96" s="19">
        <v>6.2534888415977097E-3</v>
      </c>
      <c r="BA96" s="18">
        <v>4063.4327664771299</v>
      </c>
      <c r="BB96" s="19">
        <v>-2.3732117668192401E-2</v>
      </c>
      <c r="BC96" s="18">
        <v>6719.5766602373096</v>
      </c>
      <c r="BD96" s="19">
        <v>-9.7371263325023404E-3</v>
      </c>
      <c r="BE96" s="18">
        <v>-2610.53439611161</v>
      </c>
      <c r="BF96" s="19">
        <v>2.3184641053933999E-2</v>
      </c>
      <c r="BG96" s="18"/>
      <c r="BH96" s="19"/>
    </row>
    <row r="97" spans="1:60" x14ac:dyDescent="0.15">
      <c r="A97" s="17">
        <v>2001</v>
      </c>
      <c r="B97" s="17">
        <v>2</v>
      </c>
      <c r="C97" s="18">
        <v>130582.181199536</v>
      </c>
      <c r="D97" s="19">
        <v>4.61026834443223E-3</v>
      </c>
      <c r="E97" s="18">
        <v>126582.55941262</v>
      </c>
      <c r="F97" s="19">
        <v>5.4023203075215199E-3</v>
      </c>
      <c r="G97" s="18">
        <v>1173.3375141049</v>
      </c>
      <c r="H97" s="19">
        <v>-2.26375499008621E-2</v>
      </c>
      <c r="I97" s="18">
        <v>197.90199734120401</v>
      </c>
      <c r="J97" s="19">
        <v>-1.7627606560179901E-3</v>
      </c>
      <c r="K97" s="18">
        <v>21356.354759647598</v>
      </c>
      <c r="L97" s="19">
        <v>1.24431668363087E-2</v>
      </c>
      <c r="M97" s="18">
        <v>2801.1479910595699</v>
      </c>
      <c r="N97" s="19">
        <v>4.37695443511468E-2</v>
      </c>
      <c r="O97" s="18">
        <v>20740.606168644801</v>
      </c>
      <c r="P97" s="19">
        <v>4.2504278285995199E-3</v>
      </c>
      <c r="Q97" s="18">
        <v>4411.4790261765802</v>
      </c>
      <c r="R97" s="19">
        <v>5.2712640422667399E-3</v>
      </c>
      <c r="S97" s="18">
        <v>402.82919022918099</v>
      </c>
      <c r="T97" s="19">
        <v>1.07360456186352E-2</v>
      </c>
      <c r="U97" s="18">
        <v>6890.6198398745701</v>
      </c>
      <c r="V97" s="19">
        <v>2.8148794685400901E-3</v>
      </c>
      <c r="W97" s="18">
        <v>16686.409769678601</v>
      </c>
      <c r="X97" s="19">
        <v>1.07763472207709E-2</v>
      </c>
      <c r="Y97" s="18">
        <v>4778.2556776780302</v>
      </c>
      <c r="Z97" s="19">
        <v>1.6444006995930401E-2</v>
      </c>
      <c r="AA97" s="18">
        <v>5923.9917070204701</v>
      </c>
      <c r="AB97" s="19">
        <v>-2.70541616963127E-3</v>
      </c>
      <c r="AC97" s="18">
        <v>3968.93812839154</v>
      </c>
      <c r="AD97" s="19">
        <v>-1.8502379046783101E-2</v>
      </c>
      <c r="AE97" s="18">
        <v>5684.7924215392204</v>
      </c>
      <c r="AF97" s="19">
        <v>9.1357006346894903E-3</v>
      </c>
      <c r="AG97" s="18">
        <v>10253.6027300899</v>
      </c>
      <c r="AH97" s="19">
        <v>-2.8239720783012098E-3</v>
      </c>
      <c r="AI97" s="18">
        <v>5536.8898241226698</v>
      </c>
      <c r="AJ97" s="19">
        <v>-1.74801463795049E-3</v>
      </c>
      <c r="AK97" s="18">
        <v>3301.2458839185401</v>
      </c>
      <c r="AL97" s="19">
        <v>1.7162885665091799E-3</v>
      </c>
      <c r="AM97" s="18">
        <v>25826.015340080899</v>
      </c>
      <c r="AN97" s="19">
        <v>1.45391286746714E-2</v>
      </c>
      <c r="AO97" s="18">
        <v>9375.5514495998304</v>
      </c>
      <c r="AP97" s="19">
        <v>-7.3451399162141103E-3</v>
      </c>
      <c r="AQ97" s="18">
        <v>6551.1480428688201</v>
      </c>
      <c r="AR97" s="19">
        <v>8.4877674784071804E-3</v>
      </c>
      <c r="AS97" s="18">
        <v>7604.1099526886501</v>
      </c>
      <c r="AT97" s="19">
        <v>-5.1850647062420298E-3</v>
      </c>
      <c r="AU97" s="18">
        <v>929.97012173150199</v>
      </c>
      <c r="AV97" s="19">
        <v>-3.4718736981987998E-2</v>
      </c>
      <c r="AW97" s="18">
        <v>1996.5479050905601</v>
      </c>
      <c r="AX97" s="19">
        <v>9.1004592357124495E-3</v>
      </c>
      <c r="AY97" s="18">
        <v>449.91165691132898</v>
      </c>
      <c r="AZ97" s="19">
        <v>5.1388209776101999E-3</v>
      </c>
      <c r="BA97" s="18">
        <v>4009.3886979221202</v>
      </c>
      <c r="BB97" s="19">
        <v>-1.3300101579350101E-2</v>
      </c>
      <c r="BC97" s="18">
        <v>6704.7236358305699</v>
      </c>
      <c r="BD97" s="19">
        <v>-2.2104107383180702E-3</v>
      </c>
      <c r="BE97" s="18">
        <v>-2669.67070046047</v>
      </c>
      <c r="BF97" s="19">
        <v>2.2652949693729101E-2</v>
      </c>
      <c r="BG97" s="18"/>
      <c r="BH97" s="19"/>
    </row>
    <row r="98" spans="1:60" x14ac:dyDescent="0.15">
      <c r="A98" s="17">
        <v>2001</v>
      </c>
      <c r="B98" s="17">
        <v>3</v>
      </c>
      <c r="C98" s="18">
        <v>130498.507691969</v>
      </c>
      <c r="D98" s="19">
        <v>-6.4077278230578695E-4</v>
      </c>
      <c r="E98" s="18">
        <v>126574.98488377</v>
      </c>
      <c r="F98" s="19">
        <v>-5.9838645110832401E-5</v>
      </c>
      <c r="G98" s="18">
        <v>1163.95090337946</v>
      </c>
      <c r="H98" s="19">
        <v>-7.9999238178276606E-3</v>
      </c>
      <c r="I98" s="18">
        <v>199.11445242715499</v>
      </c>
      <c r="J98" s="19">
        <v>6.1265429467125499E-3</v>
      </c>
      <c r="K98" s="18">
        <v>21181.435775276499</v>
      </c>
      <c r="L98" s="19">
        <v>-8.1904887954758997E-3</v>
      </c>
      <c r="M98" s="18">
        <v>2820.54076514698</v>
      </c>
      <c r="N98" s="19">
        <v>6.9231522751751502E-3</v>
      </c>
      <c r="O98" s="18">
        <v>20485.5240916484</v>
      </c>
      <c r="P98" s="19">
        <v>-1.2298679938393699E-2</v>
      </c>
      <c r="Q98" s="18">
        <v>4324.7310611555604</v>
      </c>
      <c r="R98" s="19">
        <v>-1.96641454048125E-2</v>
      </c>
      <c r="S98" s="18">
        <v>402.61011220639398</v>
      </c>
      <c r="T98" s="19">
        <v>-5.4384843030363895E-4</v>
      </c>
      <c r="U98" s="18">
        <v>6953.1889520673103</v>
      </c>
      <c r="V98" s="19">
        <v>9.08033147187437E-3</v>
      </c>
      <c r="W98" s="18">
        <v>16738.626754912599</v>
      </c>
      <c r="X98" s="19">
        <v>3.1293121740831901E-3</v>
      </c>
      <c r="Y98" s="18">
        <v>4816.5487565026697</v>
      </c>
      <c r="Z98" s="19">
        <v>8.0140288439414196E-3</v>
      </c>
      <c r="AA98" s="18">
        <v>6005.3333218580401</v>
      </c>
      <c r="AB98" s="19">
        <v>1.37308792551438E-2</v>
      </c>
      <c r="AC98" s="18">
        <v>3993.0367773763401</v>
      </c>
      <c r="AD98" s="19">
        <v>6.0718127129286703E-3</v>
      </c>
      <c r="AE98" s="18">
        <v>5723.7815762846203</v>
      </c>
      <c r="AF98" s="19">
        <v>6.8585010417738798E-3</v>
      </c>
      <c r="AG98" s="18">
        <v>10195.378525555099</v>
      </c>
      <c r="AH98" s="19">
        <v>-5.6784143161686699E-3</v>
      </c>
      <c r="AI98" s="18">
        <v>5535.1864689916902</v>
      </c>
      <c r="AJ98" s="19">
        <v>-3.0763753390172799E-4</v>
      </c>
      <c r="AK98" s="18">
        <v>3281.9049022886502</v>
      </c>
      <c r="AL98" s="19">
        <v>-5.8586916303664501E-3</v>
      </c>
      <c r="AM98" s="18">
        <v>25721.911728558702</v>
      </c>
      <c r="AN98" s="19">
        <v>-4.0309590988520903E-3</v>
      </c>
      <c r="AO98" s="18">
        <v>9419.4563276872796</v>
      </c>
      <c r="AP98" s="19">
        <v>4.6829115410935698E-3</v>
      </c>
      <c r="AQ98" s="18">
        <v>6606.3971521239901</v>
      </c>
      <c r="AR98" s="19">
        <v>8.4335003412590002E-3</v>
      </c>
      <c r="AS98" s="18">
        <v>7689.2728936859003</v>
      </c>
      <c r="AT98" s="19">
        <v>1.1199593578618701E-2</v>
      </c>
      <c r="AU98" s="18">
        <v>948.769076774474</v>
      </c>
      <c r="AV98" s="19">
        <v>2.0214579590976899E-2</v>
      </c>
      <c r="AW98" s="18">
        <v>2015.3333871996399</v>
      </c>
      <c r="AX98" s="19">
        <v>9.4089814029392205E-3</v>
      </c>
      <c r="AY98" s="18">
        <v>451.63035273879598</v>
      </c>
      <c r="AZ98" s="19">
        <v>3.82007401023055E-3</v>
      </c>
      <c r="BA98" s="18">
        <v>3953.1840266355898</v>
      </c>
      <c r="BB98" s="19">
        <v>-1.4018264508917201E-2</v>
      </c>
      <c r="BC98" s="18">
        <v>6682.7820006690799</v>
      </c>
      <c r="BD98" s="19">
        <v>-3.2725636958748101E-3</v>
      </c>
      <c r="BE98" s="18">
        <v>-2722.99086983406</v>
      </c>
      <c r="BF98" s="19">
        <v>1.9972564168453801E-2</v>
      </c>
      <c r="BG98" s="18"/>
      <c r="BH98" s="19"/>
    </row>
    <row r="99" spans="1:60" x14ac:dyDescent="0.15">
      <c r="A99" s="17">
        <v>2001</v>
      </c>
      <c r="B99" s="17">
        <v>4</v>
      </c>
      <c r="C99" s="18">
        <v>130450.316243699</v>
      </c>
      <c r="D99" s="19">
        <v>-3.69287351421832E-4</v>
      </c>
      <c r="E99" s="18">
        <v>126563.027543331</v>
      </c>
      <c r="F99" s="19">
        <v>-9.4468432687455598E-5</v>
      </c>
      <c r="G99" s="18">
        <v>1177.1864136239999</v>
      </c>
      <c r="H99" s="19">
        <v>1.13711928966405E-2</v>
      </c>
      <c r="I99" s="18">
        <v>201.89554540162001</v>
      </c>
      <c r="J99" s="19">
        <v>1.39673084528251E-2</v>
      </c>
      <c r="K99" s="18">
        <v>21211.752951103699</v>
      </c>
      <c r="L99" s="19">
        <v>1.4313088191391099E-3</v>
      </c>
      <c r="M99" s="18">
        <v>2879.6760822030101</v>
      </c>
      <c r="N99" s="19">
        <v>2.0965950142171699E-2</v>
      </c>
      <c r="O99" s="18">
        <v>20403.952045021899</v>
      </c>
      <c r="P99" s="19">
        <v>-3.9819360374467897E-3</v>
      </c>
      <c r="Q99" s="18">
        <v>3998.9370611343202</v>
      </c>
      <c r="R99" s="19">
        <v>-7.5332776862704703E-2</v>
      </c>
      <c r="S99" s="18">
        <v>406.26534205626302</v>
      </c>
      <c r="T99" s="19">
        <v>9.0788326945805391E-3</v>
      </c>
      <c r="U99" s="18">
        <v>6926.1829084936899</v>
      </c>
      <c r="V99" s="19">
        <v>-3.8839795322384001E-3</v>
      </c>
      <c r="W99" s="18">
        <v>16803.700493945998</v>
      </c>
      <c r="X99" s="19">
        <v>3.8876390510582701E-3</v>
      </c>
      <c r="Y99" s="18">
        <v>4823.9790414177496</v>
      </c>
      <c r="Z99" s="19">
        <v>1.5426574692187799E-3</v>
      </c>
      <c r="AA99" s="18">
        <v>6063.8517462734799</v>
      </c>
      <c r="AB99" s="19">
        <v>9.7444090576028798E-3</v>
      </c>
      <c r="AC99" s="18">
        <v>3959.8930313436899</v>
      </c>
      <c r="AD99" s="19">
        <v>-8.3003858668255805E-3</v>
      </c>
      <c r="AE99" s="18">
        <v>5729.00218081604</v>
      </c>
      <c r="AF99" s="19">
        <v>9.1209010369186505E-4</v>
      </c>
      <c r="AG99" s="18">
        <v>10208.8632572272</v>
      </c>
      <c r="AH99" s="19">
        <v>1.3226317824657199E-3</v>
      </c>
      <c r="AI99" s="18">
        <v>5584.7915868923101</v>
      </c>
      <c r="AJ99" s="19">
        <v>8.9617790075375795E-3</v>
      </c>
      <c r="AK99" s="18">
        <v>3236.2793640454902</v>
      </c>
      <c r="AL99" s="19">
        <v>-1.3902151220572499E-2</v>
      </c>
      <c r="AM99" s="18">
        <v>25482.292177625499</v>
      </c>
      <c r="AN99" s="19">
        <v>-9.3157753382362395E-3</v>
      </c>
      <c r="AO99" s="18">
        <v>9428.4049775127405</v>
      </c>
      <c r="AP99" s="19">
        <v>9.5001765645030801E-4</v>
      </c>
      <c r="AQ99" s="18">
        <v>6691.4080505615502</v>
      </c>
      <c r="AR99" s="19">
        <v>1.2867966681389601E-2</v>
      </c>
      <c r="AS99" s="18">
        <v>7810.6323567126801</v>
      </c>
      <c r="AT99" s="19">
        <v>1.5782956945959801E-2</v>
      </c>
      <c r="AU99" s="18">
        <v>1011.40482099894</v>
      </c>
      <c r="AV99" s="19">
        <v>6.6017902309178894E-2</v>
      </c>
      <c r="AW99" s="18">
        <v>2047.7752519821499</v>
      </c>
      <c r="AX99" s="19">
        <v>1.6097517655673001E-2</v>
      </c>
      <c r="AY99" s="18">
        <v>451.73478512244498</v>
      </c>
      <c r="AZ99" s="19">
        <v>2.3123420074910899E-4</v>
      </c>
      <c r="BA99" s="18">
        <v>3926.3085778560098</v>
      </c>
      <c r="BB99" s="19">
        <v>-6.7984309858844004E-3</v>
      </c>
      <c r="BC99" s="18">
        <v>6678.27861080813</v>
      </c>
      <c r="BD99" s="19">
        <v>-6.7387951013375702E-4</v>
      </c>
      <c r="BE99" s="18">
        <v>-2756.0296038496599</v>
      </c>
      <c r="BF99" s="19">
        <v>1.21332518524437E-2</v>
      </c>
      <c r="BG99" s="18"/>
      <c r="BH99" s="19"/>
    </row>
    <row r="100" spans="1:60" x14ac:dyDescent="0.15">
      <c r="A100" s="17">
        <v>2002</v>
      </c>
      <c r="B100" s="17">
        <v>1</v>
      </c>
      <c r="C100" s="18">
        <v>130351.57689010901</v>
      </c>
      <c r="D100" s="19">
        <v>-7.5691156934631898E-4</v>
      </c>
      <c r="E100" s="18">
        <v>126515.695231155</v>
      </c>
      <c r="F100" s="19">
        <v>-3.7398214229100702E-4</v>
      </c>
      <c r="G100" s="18">
        <v>1221.6470104662001</v>
      </c>
      <c r="H100" s="19">
        <v>3.7768526995922001E-2</v>
      </c>
      <c r="I100" s="18">
        <v>202.042065453059</v>
      </c>
      <c r="J100" s="19">
        <v>7.2572206161214403E-4</v>
      </c>
      <c r="K100" s="18">
        <v>21374.6556047714</v>
      </c>
      <c r="L100" s="19">
        <v>7.6798298586251397E-3</v>
      </c>
      <c r="M100" s="18">
        <v>3064.76064622388</v>
      </c>
      <c r="N100" s="19">
        <v>6.4272702462866399E-2</v>
      </c>
      <c r="O100" s="18">
        <v>20242.994713534899</v>
      </c>
      <c r="P100" s="19">
        <v>-7.8885370408552404E-3</v>
      </c>
      <c r="Q100" s="18">
        <v>3672.4626762855901</v>
      </c>
      <c r="R100" s="19">
        <v>-8.1640290871727597E-2</v>
      </c>
      <c r="S100" s="18">
        <v>412.29032389112899</v>
      </c>
      <c r="T100" s="19">
        <v>1.4830164454520799E-2</v>
      </c>
      <c r="U100" s="18">
        <v>7099.2760270782401</v>
      </c>
      <c r="V100" s="19">
        <v>2.4991127273333202E-2</v>
      </c>
      <c r="W100" s="18">
        <v>16964.5036016542</v>
      </c>
      <c r="X100" s="19">
        <v>9.5695057029916396E-3</v>
      </c>
      <c r="Y100" s="18">
        <v>4790.4689177587097</v>
      </c>
      <c r="Z100" s="19">
        <v>-6.9465732274790496E-3</v>
      </c>
      <c r="AA100" s="18">
        <v>5956.1209497812197</v>
      </c>
      <c r="AB100" s="19">
        <v>-1.77660670148264E-2</v>
      </c>
      <c r="AC100" s="18">
        <v>3902.8884809484798</v>
      </c>
      <c r="AD100" s="19">
        <v>-1.4395477338403399E-2</v>
      </c>
      <c r="AE100" s="18">
        <v>5814.3582344482802</v>
      </c>
      <c r="AF100" s="19">
        <v>1.48989389318206E-2</v>
      </c>
      <c r="AG100" s="18">
        <v>10027.75838689</v>
      </c>
      <c r="AH100" s="19">
        <v>-1.7739964359799298E-2</v>
      </c>
      <c r="AI100" s="18">
        <v>5454.8285491668903</v>
      </c>
      <c r="AJ100" s="19">
        <v>-2.3270884097169799E-2</v>
      </c>
      <c r="AK100" s="18">
        <v>3162.3861094543799</v>
      </c>
      <c r="AL100" s="19">
        <v>-2.2832779954677002E-2</v>
      </c>
      <c r="AM100" s="18">
        <v>25120.311682948701</v>
      </c>
      <c r="AN100" s="19">
        <v>-1.42051779390013E-2</v>
      </c>
      <c r="AO100" s="18">
        <v>9476.6645981087804</v>
      </c>
      <c r="AP100" s="19">
        <v>5.1185349707762997E-3</v>
      </c>
      <c r="AQ100" s="18">
        <v>6797.9429133650601</v>
      </c>
      <c r="AR100" s="19">
        <v>1.5921142754785799E-2</v>
      </c>
      <c r="AS100" s="18">
        <v>7856.4123355094498</v>
      </c>
      <c r="AT100" s="19">
        <v>5.8612384639289399E-3</v>
      </c>
      <c r="AU100" s="18">
        <v>1008.2401051636</v>
      </c>
      <c r="AV100" s="19">
        <v>-3.1290298104482699E-3</v>
      </c>
      <c r="AW100" s="18">
        <v>2069.2764831262998</v>
      </c>
      <c r="AX100" s="19">
        <v>1.0499800270237201E-2</v>
      </c>
      <c r="AY100" s="18">
        <v>451.10334555295702</v>
      </c>
      <c r="AZ100" s="19">
        <v>-1.39781037521103E-3</v>
      </c>
      <c r="BA100" s="18">
        <v>3885.75293373465</v>
      </c>
      <c r="BB100" s="19">
        <v>-1.03292044721298E-2</v>
      </c>
      <c r="BC100" s="18">
        <v>6669.2515631283204</v>
      </c>
      <c r="BD100" s="19">
        <v>-1.35170276741681E-3</v>
      </c>
      <c r="BE100" s="18">
        <v>-2800.2702356545301</v>
      </c>
      <c r="BF100" s="19">
        <v>1.6052306456751E-2</v>
      </c>
      <c r="BG100" s="18"/>
      <c r="BH100" s="19"/>
    </row>
    <row r="101" spans="1:60" x14ac:dyDescent="0.15">
      <c r="A101" s="17">
        <v>2002</v>
      </c>
      <c r="B101" s="17">
        <v>2</v>
      </c>
      <c r="C101" s="18">
        <v>130690.71188915199</v>
      </c>
      <c r="D101" s="19">
        <v>2.6016946410096801E-3</v>
      </c>
      <c r="E101" s="18">
        <v>126871.44608606699</v>
      </c>
      <c r="F101" s="19">
        <v>2.8119108404833799E-3</v>
      </c>
      <c r="G101" s="18">
        <v>1233.63937038326</v>
      </c>
      <c r="H101" s="19">
        <v>9.8165507829384192E-3</v>
      </c>
      <c r="I101" s="18">
        <v>197.91476741250401</v>
      </c>
      <c r="J101" s="19">
        <v>-2.0427914510281701E-2</v>
      </c>
      <c r="K101" s="18">
        <v>21773.787858888401</v>
      </c>
      <c r="L101" s="19">
        <v>1.8673154856725199E-2</v>
      </c>
      <c r="M101" s="18">
        <v>3213.9039853038398</v>
      </c>
      <c r="N101" s="19">
        <v>4.8663943549304103E-2</v>
      </c>
      <c r="O101" s="18">
        <v>20439.854186383898</v>
      </c>
      <c r="P101" s="19">
        <v>9.7248196541479502E-3</v>
      </c>
      <c r="Q101" s="18">
        <v>3692.7495116735299</v>
      </c>
      <c r="R101" s="19">
        <v>5.5240412704367099E-3</v>
      </c>
      <c r="S101" s="18">
        <v>409.82810663311301</v>
      </c>
      <c r="T101" s="19">
        <v>-5.9720471603065296E-3</v>
      </c>
      <c r="U101" s="18">
        <v>7202.9326675969196</v>
      </c>
      <c r="V101" s="19">
        <v>1.46010156702325E-2</v>
      </c>
      <c r="W101" s="18">
        <v>17156.800852218701</v>
      </c>
      <c r="X101" s="19">
        <v>1.1335271286435401E-2</v>
      </c>
      <c r="Y101" s="18">
        <v>4756.7636150060398</v>
      </c>
      <c r="Z101" s="19">
        <v>-7.0359088705761498E-3</v>
      </c>
      <c r="AA101" s="18">
        <v>6069.8211700433603</v>
      </c>
      <c r="AB101" s="19">
        <v>1.90896426081342E-2</v>
      </c>
      <c r="AC101" s="18">
        <v>3840.4139997940401</v>
      </c>
      <c r="AD101" s="19">
        <v>-1.60072421898283E-2</v>
      </c>
      <c r="AE101" s="18">
        <v>5797.8478202623201</v>
      </c>
      <c r="AF101" s="19">
        <v>-2.83959355791752E-3</v>
      </c>
      <c r="AG101" s="18">
        <v>9809.32806364116</v>
      </c>
      <c r="AH101" s="19">
        <v>-2.17825674314585E-2</v>
      </c>
      <c r="AI101" s="18">
        <v>5251.3052386863701</v>
      </c>
      <c r="AJ101" s="19">
        <v>-3.7310670472236199E-2</v>
      </c>
      <c r="AK101" s="18">
        <v>3144.6365479147198</v>
      </c>
      <c r="AL101" s="19">
        <v>-5.6127117073387902E-3</v>
      </c>
      <c r="AM101" s="18">
        <v>24701.592315047801</v>
      </c>
      <c r="AN101" s="19">
        <v>-1.6668557826262101E-2</v>
      </c>
      <c r="AO101" s="18">
        <v>9470.0608365530607</v>
      </c>
      <c r="AP101" s="19">
        <v>-6.9684449495421895E-4</v>
      </c>
      <c r="AQ101" s="18">
        <v>6856.9509168907698</v>
      </c>
      <c r="AR101" s="19">
        <v>8.6802734706254991E-3</v>
      </c>
      <c r="AS101" s="18">
        <v>7931.4723296463299</v>
      </c>
      <c r="AT101" s="19">
        <v>9.5539784486138295E-3</v>
      </c>
      <c r="AU101" s="18">
        <v>1048.43139729732</v>
      </c>
      <c r="AV101" s="19">
        <v>3.9862818318652002E-2</v>
      </c>
      <c r="AW101" s="18">
        <v>2121.0038756703798</v>
      </c>
      <c r="AX101" s="19">
        <v>2.49978158868009E-2</v>
      </c>
      <c r="AY101" s="18">
        <v>451.93279507149799</v>
      </c>
      <c r="AZ101" s="19">
        <v>1.8387128508747801E-3</v>
      </c>
      <c r="BA101" s="18">
        <v>3876.5029010957001</v>
      </c>
      <c r="BB101" s="19">
        <v>-2.3804994287321998E-3</v>
      </c>
      <c r="BC101" s="18">
        <v>6691.5395804541204</v>
      </c>
      <c r="BD101" s="19">
        <v>3.34190682640001E-3</v>
      </c>
      <c r="BE101" s="18">
        <v>-2840.9328679228001</v>
      </c>
      <c r="BF101" s="19">
        <v>1.4520967208996099E-2</v>
      </c>
      <c r="BG101" s="18"/>
      <c r="BH101" s="19"/>
    </row>
    <row r="102" spans="1:60" x14ac:dyDescent="0.15">
      <c r="A102" s="17">
        <v>2002</v>
      </c>
      <c r="B102" s="17">
        <v>3</v>
      </c>
      <c r="C102" s="18">
        <v>131065.539101034</v>
      </c>
      <c r="D102" s="19">
        <v>2.8680478242451E-3</v>
      </c>
      <c r="E102" s="18">
        <v>127259.949932175</v>
      </c>
      <c r="F102" s="19">
        <v>3.0621850549779101E-3</v>
      </c>
      <c r="G102" s="18">
        <v>1219.2126459399799</v>
      </c>
      <c r="H102" s="19">
        <v>-1.1694442305938999E-2</v>
      </c>
      <c r="I102" s="18">
        <v>195.66205804027501</v>
      </c>
      <c r="J102" s="19">
        <v>-1.1382219738729001E-2</v>
      </c>
      <c r="K102" s="18">
        <v>22024.180245519299</v>
      </c>
      <c r="L102" s="19">
        <v>1.14997164597002E-2</v>
      </c>
      <c r="M102" s="18">
        <v>3311.5635356204798</v>
      </c>
      <c r="N102" s="19">
        <v>3.0386579923733101E-2</v>
      </c>
      <c r="O102" s="18">
        <v>20555.280792669499</v>
      </c>
      <c r="P102" s="19">
        <v>5.6471345261621701E-3</v>
      </c>
      <c r="Q102" s="18">
        <v>3626.2224509856701</v>
      </c>
      <c r="R102" s="19">
        <v>-1.8015589868079399E-2</v>
      </c>
      <c r="S102" s="18">
        <v>408.402665230997</v>
      </c>
      <c r="T102" s="19">
        <v>-3.4781445660877499E-3</v>
      </c>
      <c r="U102" s="18">
        <v>7263.3091011516199</v>
      </c>
      <c r="V102" s="19">
        <v>8.3822015755203906E-3</v>
      </c>
      <c r="W102" s="18">
        <v>17298.238251941901</v>
      </c>
      <c r="X102" s="19">
        <v>8.2438096088837103E-3</v>
      </c>
      <c r="Y102" s="18">
        <v>4796.9358888709603</v>
      </c>
      <c r="Z102" s="19">
        <v>8.4452953975249195E-3</v>
      </c>
      <c r="AA102" s="18">
        <v>6230.2485003514103</v>
      </c>
      <c r="AB102" s="19">
        <v>2.6430322379152899E-2</v>
      </c>
      <c r="AC102" s="18">
        <v>3764.8550883190601</v>
      </c>
      <c r="AD102" s="19">
        <v>-1.9674678688036899E-2</v>
      </c>
      <c r="AE102" s="18">
        <v>5828.9871996907896</v>
      </c>
      <c r="AF102" s="19">
        <v>5.3708514596813002E-3</v>
      </c>
      <c r="AG102" s="18">
        <v>9776.3812274336706</v>
      </c>
      <c r="AH102" s="19">
        <v>-3.3587250822623101E-3</v>
      </c>
      <c r="AI102" s="18">
        <v>5232.3678165208103</v>
      </c>
      <c r="AJ102" s="19">
        <v>-3.6062314614763199E-3</v>
      </c>
      <c r="AK102" s="18">
        <v>3181.7854131927902</v>
      </c>
      <c r="AL102" s="19">
        <v>1.1813405050800301E-2</v>
      </c>
      <c r="AM102" s="18">
        <v>24406.659514351999</v>
      </c>
      <c r="AN102" s="19">
        <v>-1.19398295030591E-2</v>
      </c>
      <c r="AO102" s="18">
        <v>9511.4391281182197</v>
      </c>
      <c r="AP102" s="19">
        <v>4.3693796987494E-3</v>
      </c>
      <c r="AQ102" s="18">
        <v>6889.8338173289003</v>
      </c>
      <c r="AR102" s="19">
        <v>4.79555721437763E-3</v>
      </c>
      <c r="AS102" s="18">
        <v>7992.7776716796297</v>
      </c>
      <c r="AT102" s="19">
        <v>7.7293772814608398E-3</v>
      </c>
      <c r="AU102" s="18">
        <v>1043.95600904452</v>
      </c>
      <c r="AV102" s="19">
        <v>-4.2686514962573304E-3</v>
      </c>
      <c r="AW102" s="18">
        <v>2142.6007761042101</v>
      </c>
      <c r="AX102" s="19">
        <v>1.01823955540878E-2</v>
      </c>
      <c r="AY102" s="18">
        <v>453.55194304190098</v>
      </c>
      <c r="AZ102" s="19">
        <v>3.5827184662418098E-3</v>
      </c>
      <c r="BA102" s="18">
        <v>3868.98566855124</v>
      </c>
      <c r="BB102" s="19">
        <v>-1.9391788775249301E-3</v>
      </c>
      <c r="BC102" s="18">
        <v>6711.2980958783601</v>
      </c>
      <c r="BD102" s="19">
        <v>2.9527607491033302E-3</v>
      </c>
      <c r="BE102" s="18">
        <v>-2876.01908486502</v>
      </c>
      <c r="BF102" s="19">
        <v>1.2350244998176701E-2</v>
      </c>
      <c r="BG102" s="18"/>
      <c r="BH102" s="19"/>
    </row>
    <row r="103" spans="1:60" x14ac:dyDescent="0.15">
      <c r="A103" s="17">
        <v>2002</v>
      </c>
      <c r="B103" s="17">
        <v>4</v>
      </c>
      <c r="C103" s="18">
        <v>130325.560040696</v>
      </c>
      <c r="D103" s="19">
        <v>-5.6458704966545498E-3</v>
      </c>
      <c r="E103" s="18">
        <v>126527.487853798</v>
      </c>
      <c r="F103" s="19">
        <v>-5.7556370151582402E-3</v>
      </c>
      <c r="G103" s="18">
        <v>1168.39387259011</v>
      </c>
      <c r="H103" s="19">
        <v>-4.1681632419987E-2</v>
      </c>
      <c r="I103" s="18">
        <v>193.05401166596201</v>
      </c>
      <c r="J103" s="19">
        <v>-1.3329341418745901E-2</v>
      </c>
      <c r="K103" s="18">
        <v>21800.900069883301</v>
      </c>
      <c r="L103" s="19">
        <v>-1.01379562438626E-2</v>
      </c>
      <c r="M103" s="18">
        <v>3248.7532092760098</v>
      </c>
      <c r="N103" s="19">
        <v>-1.89669700335988E-2</v>
      </c>
      <c r="O103" s="18">
        <v>20404.512864361099</v>
      </c>
      <c r="P103" s="19">
        <v>-7.3347540142677499E-3</v>
      </c>
      <c r="Q103" s="18">
        <v>3591.5592973668199</v>
      </c>
      <c r="R103" s="19">
        <v>-9.5590257044003701E-3</v>
      </c>
      <c r="S103" s="18">
        <v>406.874104922377</v>
      </c>
      <c r="T103" s="19">
        <v>-3.7427775055181001E-3</v>
      </c>
      <c r="U103" s="18">
        <v>7332.8009409219303</v>
      </c>
      <c r="V103" s="19">
        <v>9.5675178906127201E-3</v>
      </c>
      <c r="W103" s="18">
        <v>17337.1045713721</v>
      </c>
      <c r="X103" s="19">
        <v>2.24683686651339E-3</v>
      </c>
      <c r="Y103" s="18">
        <v>4812.2703110258199</v>
      </c>
      <c r="Z103" s="19">
        <v>3.1967119240505801E-3</v>
      </c>
      <c r="AA103" s="18">
        <v>6172.1473117446103</v>
      </c>
      <c r="AB103" s="19">
        <v>-9.3256615050786307E-3</v>
      </c>
      <c r="AC103" s="18">
        <v>3694.2589542472201</v>
      </c>
      <c r="AD103" s="19">
        <v>-1.8751354943479601E-2</v>
      </c>
      <c r="AE103" s="18">
        <v>5750.3561378162403</v>
      </c>
      <c r="AF103" s="19">
        <v>-1.34896610990535E-2</v>
      </c>
      <c r="AG103" s="18">
        <v>9855.7015137330309</v>
      </c>
      <c r="AH103" s="19">
        <v>8.1134608454891399E-3</v>
      </c>
      <c r="AI103" s="18">
        <v>5237.4493139234401</v>
      </c>
      <c r="AJ103" s="19">
        <v>9.7116593879098502E-4</v>
      </c>
      <c r="AK103" s="18">
        <v>3274.04063270591</v>
      </c>
      <c r="AL103" s="19">
        <v>2.8994796170290299E-2</v>
      </c>
      <c r="AM103" s="18">
        <v>23868.864226178801</v>
      </c>
      <c r="AN103" s="19">
        <v>-2.2034776527157501E-2</v>
      </c>
      <c r="AO103" s="18">
        <v>9504.0939500165405</v>
      </c>
      <c r="AP103" s="19">
        <v>-7.7224676547249505E-4</v>
      </c>
      <c r="AQ103" s="18">
        <v>6867.6131384417204</v>
      </c>
      <c r="AR103" s="19">
        <v>-3.2251400362204299E-3</v>
      </c>
      <c r="AS103" s="18">
        <v>8007.7883286942897</v>
      </c>
      <c r="AT103" s="19">
        <v>1.8780275933165699E-3</v>
      </c>
      <c r="AU103" s="18">
        <v>1086.4080638594901</v>
      </c>
      <c r="AV103" s="19">
        <v>4.0664601235277403E-2</v>
      </c>
      <c r="AW103" s="18">
        <v>2112.1392568143701</v>
      </c>
      <c r="AX103" s="19">
        <v>-1.4217076568608201E-2</v>
      </c>
      <c r="AY103" s="18">
        <v>452.85235243462301</v>
      </c>
      <c r="AZ103" s="19">
        <v>-1.54247075337388E-3</v>
      </c>
      <c r="BA103" s="18">
        <v>3857.18142504765</v>
      </c>
      <c r="BB103" s="19">
        <v>-3.0509917882444201E-3</v>
      </c>
      <c r="BC103" s="18">
        <v>6710.0776154921596</v>
      </c>
      <c r="BD103" s="19">
        <v>-1.81854593369057E-4</v>
      </c>
      <c r="BE103" s="18">
        <v>-2891.1239383975499</v>
      </c>
      <c r="BF103" s="19">
        <v>5.2520004516010098E-3</v>
      </c>
      <c r="BG103" s="18"/>
      <c r="BH103" s="19"/>
    </row>
    <row r="104" spans="1:60" x14ac:dyDescent="0.15">
      <c r="A104" s="17">
        <v>2003</v>
      </c>
      <c r="B104" s="17">
        <v>1</v>
      </c>
      <c r="C104" s="18">
        <v>129629.256172654</v>
      </c>
      <c r="D104" s="19">
        <v>-5.3428035745549697E-3</v>
      </c>
      <c r="E104" s="18">
        <v>125856.63119638999</v>
      </c>
      <c r="F104" s="19">
        <v>-5.3020625698618797E-3</v>
      </c>
      <c r="G104" s="18">
        <v>1042.8517185005401</v>
      </c>
      <c r="H104" s="19">
        <v>-0.10744848722226701</v>
      </c>
      <c r="I104" s="18">
        <v>190.55984980370999</v>
      </c>
      <c r="J104" s="19">
        <v>-1.2919502893144899E-2</v>
      </c>
      <c r="K104" s="18">
        <v>21499.787705096202</v>
      </c>
      <c r="L104" s="19">
        <v>-1.38119235362704E-2</v>
      </c>
      <c r="M104" s="18">
        <v>3265.17426703</v>
      </c>
      <c r="N104" s="19">
        <v>5.0545722300807698E-3</v>
      </c>
      <c r="O104" s="18">
        <v>20006.532247380099</v>
      </c>
      <c r="P104" s="19">
        <v>-1.9504539002061502E-2</v>
      </c>
      <c r="Q104" s="18">
        <v>3590.9542912578199</v>
      </c>
      <c r="R104" s="19">
        <v>-1.6845221223038599E-4</v>
      </c>
      <c r="S104" s="18">
        <v>399.14617971374201</v>
      </c>
      <c r="T104" s="19">
        <v>-1.89934063513548E-2</v>
      </c>
      <c r="U104" s="18">
        <v>7351.2387709144496</v>
      </c>
      <c r="V104" s="19">
        <v>2.51443208960178E-3</v>
      </c>
      <c r="W104" s="18">
        <v>17452.761602700699</v>
      </c>
      <c r="X104" s="19">
        <v>6.6710696040648302E-3</v>
      </c>
      <c r="Y104" s="18">
        <v>4863.6729434178797</v>
      </c>
      <c r="Z104" s="19">
        <v>1.0681576276852799E-2</v>
      </c>
      <c r="AA104" s="18">
        <v>6196.5721069830397</v>
      </c>
      <c r="AB104" s="19">
        <v>3.9572605780087101E-3</v>
      </c>
      <c r="AC104" s="18">
        <v>3611.5236966672301</v>
      </c>
      <c r="AD104" s="19">
        <v>-2.2395630248084102E-2</v>
      </c>
      <c r="AE104" s="18">
        <v>5642.7555649919304</v>
      </c>
      <c r="AF104" s="19">
        <v>-1.8711984135502201E-2</v>
      </c>
      <c r="AG104" s="18">
        <v>9703.9197565408904</v>
      </c>
      <c r="AH104" s="19">
        <v>-1.5400401176988401E-2</v>
      </c>
      <c r="AI104" s="18">
        <v>5040.3525714007701</v>
      </c>
      <c r="AJ104" s="19">
        <v>-3.7632200468021001E-2</v>
      </c>
      <c r="AK104" s="18">
        <v>3423.0688314835402</v>
      </c>
      <c r="AL104" s="19">
        <v>4.5518127444391397E-2</v>
      </c>
      <c r="AM104" s="18">
        <v>23852.2055461788</v>
      </c>
      <c r="AN104" s="19">
        <v>-6.9792512296118503E-4</v>
      </c>
      <c r="AO104" s="18">
        <v>9557.0415104097101</v>
      </c>
      <c r="AP104" s="19">
        <v>5.5710266198572E-3</v>
      </c>
      <c r="AQ104" s="18">
        <v>6893.0224808759303</v>
      </c>
      <c r="AR104" s="19">
        <v>3.6998796993936698E-3</v>
      </c>
      <c r="AS104" s="18">
        <v>8000.3718674311203</v>
      </c>
      <c r="AT104" s="19">
        <v>-9.2615600697121302E-4</v>
      </c>
      <c r="AU104" s="18">
        <v>1108.0014526888699</v>
      </c>
      <c r="AV104" s="19">
        <v>1.9875946753073599E-2</v>
      </c>
      <c r="AW104" s="18">
        <v>2091.4964363325998</v>
      </c>
      <c r="AX104" s="19">
        <v>-9.7734183080833096E-3</v>
      </c>
      <c r="AY104" s="18">
        <v>451.48787718828203</v>
      </c>
      <c r="AZ104" s="19">
        <v>-3.0130686944774801E-3</v>
      </c>
      <c r="BA104" s="18">
        <v>3832.3629781600398</v>
      </c>
      <c r="BB104" s="19">
        <v>-6.4343478184464304E-3</v>
      </c>
      <c r="BC104" s="18">
        <v>6704.16296719813</v>
      </c>
      <c r="BD104" s="19">
        <v>-8.8145750808676904E-4</v>
      </c>
      <c r="BE104" s="18">
        <v>-2914.62910224097</v>
      </c>
      <c r="BF104" s="19">
        <v>8.1301128364821302E-3</v>
      </c>
      <c r="BG104" s="18"/>
      <c r="BH104" s="19"/>
    </row>
    <row r="105" spans="1:60" x14ac:dyDescent="0.15">
      <c r="A105" s="17">
        <v>2003</v>
      </c>
      <c r="B105" s="17">
        <v>2</v>
      </c>
      <c r="C105" s="18">
        <v>129522.436023153</v>
      </c>
      <c r="D105" s="19">
        <v>-8.2404352733067598E-4</v>
      </c>
      <c r="E105" s="18">
        <v>125766.04044093699</v>
      </c>
      <c r="F105" s="19">
        <v>-7.1979326470128502E-4</v>
      </c>
      <c r="G105" s="18">
        <v>1006.47005601657</v>
      </c>
      <c r="H105" s="19">
        <v>-3.4886707130594198E-2</v>
      </c>
      <c r="I105" s="18">
        <v>186.24729009353501</v>
      </c>
      <c r="J105" s="19">
        <v>-2.2630998684229998E-2</v>
      </c>
      <c r="K105" s="18">
        <v>21471.173434019001</v>
      </c>
      <c r="L105" s="19">
        <v>-1.33090947081149E-3</v>
      </c>
      <c r="M105" s="18">
        <v>3308.4971844694101</v>
      </c>
      <c r="N105" s="19">
        <v>1.3268179244476401E-2</v>
      </c>
      <c r="O105" s="18">
        <v>19888.381316816402</v>
      </c>
      <c r="P105" s="19">
        <v>-5.9056176804016501E-3</v>
      </c>
      <c r="Q105" s="18">
        <v>3480.88108277632</v>
      </c>
      <c r="R105" s="19">
        <v>-3.0652912722802201E-2</v>
      </c>
      <c r="S105" s="18">
        <v>401.73610345258197</v>
      </c>
      <c r="T105" s="19">
        <v>6.4886597203492897E-3</v>
      </c>
      <c r="U105" s="18">
        <v>7400.22566342563</v>
      </c>
      <c r="V105" s="19">
        <v>6.6637602229711003E-3</v>
      </c>
      <c r="W105" s="18">
        <v>17376.686167235101</v>
      </c>
      <c r="X105" s="19">
        <v>-4.3589339725932401E-3</v>
      </c>
      <c r="Y105" s="18">
        <v>4889.3692851558098</v>
      </c>
      <c r="Z105" s="19">
        <v>5.2833202472439798E-3</v>
      </c>
      <c r="AA105" s="18">
        <v>6200.8104359465997</v>
      </c>
      <c r="AB105" s="19">
        <v>6.8397960846500205E-4</v>
      </c>
      <c r="AC105" s="18">
        <v>3468.1824088364301</v>
      </c>
      <c r="AD105" s="19">
        <v>-3.9689975719411602E-2</v>
      </c>
      <c r="AE105" s="18">
        <v>5540.5751478647799</v>
      </c>
      <c r="AF105" s="19">
        <v>-1.8108247991652698E-2</v>
      </c>
      <c r="AG105" s="18">
        <v>10077.685082036</v>
      </c>
      <c r="AH105" s="19">
        <v>3.8516943139723599E-2</v>
      </c>
      <c r="AI105" s="18">
        <v>5284.8701993291897</v>
      </c>
      <c r="AJ105" s="19">
        <v>4.8512008726496497E-2</v>
      </c>
      <c r="AK105" s="18">
        <v>3522.6073784414598</v>
      </c>
      <c r="AL105" s="19">
        <v>2.9078745376786699E-2</v>
      </c>
      <c r="AM105" s="18">
        <v>23620.1242965438</v>
      </c>
      <c r="AN105" s="19">
        <v>-9.7299702195550192E-3</v>
      </c>
      <c r="AO105" s="18">
        <v>9583.6841495550398</v>
      </c>
      <c r="AP105" s="19">
        <v>2.7877496520563E-3</v>
      </c>
      <c r="AQ105" s="18">
        <v>6852.6157455745197</v>
      </c>
      <c r="AR105" s="19">
        <v>-5.8619764281220297E-3</v>
      </c>
      <c r="AS105" s="18">
        <v>8050.9790146981204</v>
      </c>
      <c r="AT105" s="19">
        <v>6.3255993728270603E-3</v>
      </c>
      <c r="AU105" s="18">
        <v>1091.45705900035</v>
      </c>
      <c r="AV105" s="19">
        <v>-1.49317436799122E-2</v>
      </c>
      <c r="AW105" s="18">
        <v>2081.78223712517</v>
      </c>
      <c r="AX105" s="19">
        <v>-4.6446166671300099E-3</v>
      </c>
      <c r="AY105" s="18">
        <v>451.26146689364901</v>
      </c>
      <c r="AZ105" s="19">
        <v>-5.0147591125349099E-4</v>
      </c>
      <c r="BA105" s="18">
        <v>3818.8408375784402</v>
      </c>
      <c r="BB105" s="19">
        <v>-3.5284081019107999E-3</v>
      </c>
      <c r="BC105" s="18">
        <v>6707.77418248085</v>
      </c>
      <c r="BD105" s="19">
        <v>5.3865267004815599E-4</v>
      </c>
      <c r="BE105" s="18">
        <v>-2936.7134468895201</v>
      </c>
      <c r="BF105" s="19">
        <v>7.57706859907681E-3</v>
      </c>
      <c r="BG105" s="18"/>
      <c r="BH105" s="19"/>
    </row>
    <row r="106" spans="1:60" x14ac:dyDescent="0.15">
      <c r="A106" s="17">
        <v>2003</v>
      </c>
      <c r="B106" s="17">
        <v>3</v>
      </c>
      <c r="C106" s="18">
        <v>130684.50340012299</v>
      </c>
      <c r="D106" s="19">
        <v>8.9719388597835296E-3</v>
      </c>
      <c r="E106" s="18">
        <v>126860.902246461</v>
      </c>
      <c r="F106" s="19">
        <v>8.7055440537449104E-3</v>
      </c>
      <c r="G106" s="18">
        <v>1012.99534197765</v>
      </c>
      <c r="H106" s="19">
        <v>6.4833383984645998E-3</v>
      </c>
      <c r="I106" s="18">
        <v>184.521667989516</v>
      </c>
      <c r="J106" s="19">
        <v>-9.2652199296557897E-3</v>
      </c>
      <c r="K106" s="18">
        <v>21749.421172163198</v>
      </c>
      <c r="L106" s="19">
        <v>1.29591304825154E-2</v>
      </c>
      <c r="M106" s="18">
        <v>3369.22203359379</v>
      </c>
      <c r="N106" s="19">
        <v>1.8354209098147199E-2</v>
      </c>
      <c r="O106" s="18">
        <v>20111.846060765201</v>
      </c>
      <c r="P106" s="19">
        <v>1.12359442625858E-2</v>
      </c>
      <c r="Q106" s="18">
        <v>3343.2885527980402</v>
      </c>
      <c r="R106" s="19">
        <v>-3.9528075422943197E-2</v>
      </c>
      <c r="S106" s="18">
        <v>412.59818998693203</v>
      </c>
      <c r="T106" s="19">
        <v>2.7037865008892499E-2</v>
      </c>
      <c r="U106" s="18">
        <v>7326.02716953043</v>
      </c>
      <c r="V106" s="19">
        <v>-1.00265177401165E-2</v>
      </c>
      <c r="W106" s="18">
        <v>17712.605304709599</v>
      </c>
      <c r="X106" s="19">
        <v>1.9331599491498701E-2</v>
      </c>
      <c r="Y106" s="18">
        <v>4891.3515327827199</v>
      </c>
      <c r="Z106" s="19">
        <v>4.0541990414344502E-4</v>
      </c>
      <c r="AA106" s="18">
        <v>6128.25828931872</v>
      </c>
      <c r="AB106" s="19">
        <v>-1.17004297062998E-2</v>
      </c>
      <c r="AC106" s="18">
        <v>3411.70021567907</v>
      </c>
      <c r="AD106" s="19">
        <v>-1.6285819630894701E-2</v>
      </c>
      <c r="AE106" s="18">
        <v>5418.4574092741104</v>
      </c>
      <c r="AF106" s="19">
        <v>-2.2040624904750599E-2</v>
      </c>
      <c r="AG106" s="18">
        <v>10544.2227279788</v>
      </c>
      <c r="AH106" s="19">
        <v>4.6294128278968803E-2</v>
      </c>
      <c r="AI106" s="18">
        <v>5626.5953845479398</v>
      </c>
      <c r="AJ106" s="19">
        <v>6.4661036568529603E-2</v>
      </c>
      <c r="AK106" s="18">
        <v>3574.5156925708998</v>
      </c>
      <c r="AL106" s="19">
        <v>1.47357648902677E-2</v>
      </c>
      <c r="AM106" s="18">
        <v>23543.326363411001</v>
      </c>
      <c r="AN106" s="19">
        <v>-3.25137718026658E-3</v>
      </c>
      <c r="AO106" s="18">
        <v>9657.5482838334992</v>
      </c>
      <c r="AP106" s="19">
        <v>7.7072796980570697E-3</v>
      </c>
      <c r="AQ106" s="18">
        <v>6889.0282862028598</v>
      </c>
      <c r="AR106" s="19">
        <v>5.3136702801193101E-3</v>
      </c>
      <c r="AS106" s="18">
        <v>8159.5197165048003</v>
      </c>
      <c r="AT106" s="19">
        <v>1.34816773970619E-2</v>
      </c>
      <c r="AU106" s="18">
        <v>1100.0815394122301</v>
      </c>
      <c r="AV106" s="19">
        <v>7.9018046021694897E-3</v>
      </c>
      <c r="AW106" s="18">
        <v>2091.4505505964398</v>
      </c>
      <c r="AX106" s="19">
        <v>4.6442482306057204E-3</v>
      </c>
      <c r="AY106" s="18">
        <v>452.362015029654</v>
      </c>
      <c r="AZ106" s="19">
        <v>2.4388258620464702E-3</v>
      </c>
      <c r="BA106" s="18">
        <v>3879.5567338221399</v>
      </c>
      <c r="BB106" s="19">
        <v>1.5899038170492701E-2</v>
      </c>
      <c r="BC106" s="18">
        <v>6788.6858462089704</v>
      </c>
      <c r="BD106" s="19">
        <v>1.20623714405048E-2</v>
      </c>
      <c r="BE106" s="18">
        <v>-2952.85320025906</v>
      </c>
      <c r="BF106" s="19">
        <v>5.4958557112998498E-3</v>
      </c>
      <c r="BG106" s="18"/>
      <c r="BH106" s="19"/>
    </row>
    <row r="107" spans="1:60" x14ac:dyDescent="0.15">
      <c r="A107" s="17">
        <v>2003</v>
      </c>
      <c r="B107" s="17">
        <v>4</v>
      </c>
      <c r="C107" s="18">
        <v>132107.253523158</v>
      </c>
      <c r="D107" s="19">
        <v>1.08869076747324E-2</v>
      </c>
      <c r="E107" s="18">
        <v>128179.96182727101</v>
      </c>
      <c r="F107" s="19">
        <v>1.03976840575186E-2</v>
      </c>
      <c r="G107" s="18">
        <v>1057.99055085349</v>
      </c>
      <c r="H107" s="19">
        <v>4.4417982009673299E-2</v>
      </c>
      <c r="I107" s="18">
        <v>186.668884503557</v>
      </c>
      <c r="J107" s="19">
        <v>1.1636663257145199E-2</v>
      </c>
      <c r="K107" s="18">
        <v>21984.885278463302</v>
      </c>
      <c r="L107" s="19">
        <v>1.0826224037699299E-2</v>
      </c>
      <c r="M107" s="18">
        <v>3491.2064423052202</v>
      </c>
      <c r="N107" s="19">
        <v>3.6205511983224997E-2</v>
      </c>
      <c r="O107" s="18">
        <v>20165.404467266701</v>
      </c>
      <c r="P107" s="19">
        <v>2.6630278662476102E-3</v>
      </c>
      <c r="Q107" s="18">
        <v>3113.3961639080098</v>
      </c>
      <c r="R107" s="19">
        <v>-6.8762353371393706E-2</v>
      </c>
      <c r="S107" s="18">
        <v>418.64055928243698</v>
      </c>
      <c r="T107" s="19">
        <v>1.46446820227129E-2</v>
      </c>
      <c r="U107" s="18">
        <v>7351.8509649093003</v>
      </c>
      <c r="V107" s="19">
        <v>3.5249385214231E-3</v>
      </c>
      <c r="W107" s="18">
        <v>18010.3292216595</v>
      </c>
      <c r="X107" s="19">
        <v>1.68085898052945E-2</v>
      </c>
      <c r="Y107" s="18">
        <v>4877.8025175411403</v>
      </c>
      <c r="Z107" s="19">
        <v>-2.7699941725241001E-3</v>
      </c>
      <c r="AA107" s="18">
        <v>6192.0219106008999</v>
      </c>
      <c r="AB107" s="19">
        <v>1.04048521246758E-2</v>
      </c>
      <c r="AC107" s="18">
        <v>3413.1632632454698</v>
      </c>
      <c r="AD107" s="19">
        <v>4.2883239262270201E-4</v>
      </c>
      <c r="AE107" s="18">
        <v>5482.8965241451597</v>
      </c>
      <c r="AF107" s="19">
        <v>1.1892520325205399E-2</v>
      </c>
      <c r="AG107" s="18">
        <v>10874.102418893501</v>
      </c>
      <c r="AH107" s="19">
        <v>3.12853492784535E-2</v>
      </c>
      <c r="AI107" s="18">
        <v>5892.9782931876098</v>
      </c>
      <c r="AJ107" s="19">
        <v>4.7343533777320701E-2</v>
      </c>
      <c r="AK107" s="18">
        <v>3579.3923925823001</v>
      </c>
      <c r="AL107" s="19">
        <v>1.36429671340998E-3</v>
      </c>
      <c r="AM107" s="18">
        <v>23739.827472894001</v>
      </c>
      <c r="AN107" s="19">
        <v>8.3463613615959407E-3</v>
      </c>
      <c r="AO107" s="18">
        <v>9695.9199997039505</v>
      </c>
      <c r="AP107" s="19">
        <v>3.9732357263679904E-3</v>
      </c>
      <c r="AQ107" s="18">
        <v>6890.1786737728098</v>
      </c>
      <c r="AR107" s="19">
        <v>1.6698836499973201E-4</v>
      </c>
      <c r="AS107" s="18">
        <v>8184.7680499142598</v>
      </c>
      <c r="AT107" s="19">
        <v>3.0943406336025902E-3</v>
      </c>
      <c r="AU107" s="18">
        <v>1132.2331945256699</v>
      </c>
      <c r="AV107" s="19">
        <v>2.9226610902516301E-2</v>
      </c>
      <c r="AW107" s="18">
        <v>2089.4405393926099</v>
      </c>
      <c r="AX107" s="19">
        <v>-9.6106083084612803E-4</v>
      </c>
      <c r="AY107" s="18">
        <v>452.851438071465</v>
      </c>
      <c r="AZ107" s="19">
        <v>1.0819278046119199E-3</v>
      </c>
      <c r="BA107" s="18">
        <v>3970.7875241183101</v>
      </c>
      <c r="BB107" s="19">
        <v>2.35157768156402E-2</v>
      </c>
      <c r="BC107" s="18">
        <v>6889.6641412842</v>
      </c>
      <c r="BD107" s="19">
        <v>1.487449815219E-2</v>
      </c>
      <c r="BE107" s="18">
        <v>-2952.6517990233501</v>
      </c>
      <c r="BF107" s="19">
        <v>-6.8205637750451395E-5</v>
      </c>
      <c r="BG107" s="18"/>
      <c r="BH107" s="19"/>
    </row>
    <row r="108" spans="1:60" x14ac:dyDescent="0.15">
      <c r="A108" s="17">
        <v>2004</v>
      </c>
      <c r="B108" s="17">
        <v>1</v>
      </c>
      <c r="C108" s="18">
        <v>132804.26180190701</v>
      </c>
      <c r="D108" s="19">
        <v>5.27607879326131E-3</v>
      </c>
      <c r="E108" s="18">
        <v>128752.49398015199</v>
      </c>
      <c r="F108" s="19">
        <v>4.46662758140448E-3</v>
      </c>
      <c r="G108" s="18">
        <v>1169.38299320748</v>
      </c>
      <c r="H108" s="19">
        <v>0.105286802669569</v>
      </c>
      <c r="I108" s="18">
        <v>191.38489905962899</v>
      </c>
      <c r="J108" s="19">
        <v>2.5264063524107899E-2</v>
      </c>
      <c r="K108" s="18">
        <v>21951.817897401899</v>
      </c>
      <c r="L108" s="19">
        <v>-1.5040961388959101E-3</v>
      </c>
      <c r="M108" s="18">
        <v>3544.7210387462101</v>
      </c>
      <c r="N108" s="19">
        <v>1.5328396451302E-2</v>
      </c>
      <c r="O108" s="18">
        <v>20023.235161095799</v>
      </c>
      <c r="P108" s="19">
        <v>-7.0501589195330902E-3</v>
      </c>
      <c r="Q108" s="18">
        <v>3088.72225417755</v>
      </c>
      <c r="R108" s="19">
        <v>-7.9250787344360401E-3</v>
      </c>
      <c r="S108" s="18">
        <v>425.66722410125101</v>
      </c>
      <c r="T108" s="19">
        <v>1.6784481730241801E-2</v>
      </c>
      <c r="U108" s="18">
        <v>7306.6805798816804</v>
      </c>
      <c r="V108" s="19">
        <v>-6.1440833394504901E-3</v>
      </c>
      <c r="W108" s="18">
        <v>18311.6061453615</v>
      </c>
      <c r="X108" s="19">
        <v>1.6728007577987598E-2</v>
      </c>
      <c r="Y108" s="18">
        <v>4898.1881303093096</v>
      </c>
      <c r="Z108" s="19">
        <v>4.1792616029168199E-3</v>
      </c>
      <c r="AA108" s="18">
        <v>6282.2116725279502</v>
      </c>
      <c r="AB108" s="19">
        <v>1.4565478486542299E-2</v>
      </c>
      <c r="AC108" s="18">
        <v>3356.21504983352</v>
      </c>
      <c r="AD108" s="19">
        <v>-1.6684878225779499E-2</v>
      </c>
      <c r="AE108" s="18">
        <v>5568.1432327641296</v>
      </c>
      <c r="AF108" s="19">
        <v>1.5547750763409E-2</v>
      </c>
      <c r="AG108" s="18">
        <v>10880.3144926564</v>
      </c>
      <c r="AH108" s="19">
        <v>5.7127232424480901E-4</v>
      </c>
      <c r="AI108" s="18">
        <v>5924.5037158424602</v>
      </c>
      <c r="AJ108" s="19">
        <v>5.3496587101469198E-3</v>
      </c>
      <c r="AK108" s="18">
        <v>3536.59114269478</v>
      </c>
      <c r="AL108" s="19">
        <v>-1.1957685884405E-2</v>
      </c>
      <c r="AM108" s="18">
        <v>23827.132425598</v>
      </c>
      <c r="AN108" s="19">
        <v>3.6775731754454801E-3</v>
      </c>
      <c r="AO108" s="18">
        <v>9674.3061289499401</v>
      </c>
      <c r="AP108" s="19">
        <v>-2.2291717294147298E-3</v>
      </c>
      <c r="AQ108" s="18">
        <v>6879.40146931047</v>
      </c>
      <c r="AR108" s="19">
        <v>-1.5641400568262599E-3</v>
      </c>
      <c r="AS108" s="18">
        <v>8159.9816785881203</v>
      </c>
      <c r="AT108" s="19">
        <v>-3.0283535434345601E-3</v>
      </c>
      <c r="AU108" s="18">
        <v>1120.74043068793</v>
      </c>
      <c r="AV108" s="19">
        <v>-1.01505271999689E-2</v>
      </c>
      <c r="AW108" s="18">
        <v>2120.6898104479701</v>
      </c>
      <c r="AX108" s="19">
        <v>1.49558077706486E-2</v>
      </c>
      <c r="AY108" s="18">
        <v>453.801373634171</v>
      </c>
      <c r="AZ108" s="19">
        <v>2.0976759326447598E-3</v>
      </c>
      <c r="BA108" s="18">
        <v>4075.9289850858099</v>
      </c>
      <c r="BB108" s="19">
        <v>2.6478742649633302E-2</v>
      </c>
      <c r="BC108" s="18">
        <v>6999.3228381307199</v>
      </c>
      <c r="BD108" s="19">
        <v>1.59164067504283E-2</v>
      </c>
      <c r="BE108" s="18">
        <v>-2945.8660081632302</v>
      </c>
      <c r="BF108" s="19">
        <v>-2.2982021999215E-3</v>
      </c>
      <c r="BG108" s="18"/>
      <c r="BH108" s="19"/>
    </row>
    <row r="109" spans="1:60" x14ac:dyDescent="0.15">
      <c r="A109" s="17">
        <v>2004</v>
      </c>
      <c r="B109" s="17">
        <v>2</v>
      </c>
      <c r="C109" s="18">
        <v>133597.359618143</v>
      </c>
      <c r="D109" s="19">
        <v>5.9719304597245504E-3</v>
      </c>
      <c r="E109" s="18">
        <v>129501.15037143099</v>
      </c>
      <c r="F109" s="19">
        <v>5.8146942877428404E-3</v>
      </c>
      <c r="G109" s="18">
        <v>1217.6914146322499</v>
      </c>
      <c r="H109" s="19">
        <v>4.1311034712645099E-2</v>
      </c>
      <c r="I109" s="18">
        <v>194.20751585726501</v>
      </c>
      <c r="J109" s="19">
        <v>1.4748377805690899E-2</v>
      </c>
      <c r="K109" s="18">
        <v>22077.647139389501</v>
      </c>
      <c r="L109" s="19">
        <v>5.7320647691065903E-3</v>
      </c>
      <c r="M109" s="18">
        <v>3603.2121293385198</v>
      </c>
      <c r="N109" s="19">
        <v>1.6500900903895398E-2</v>
      </c>
      <c r="O109" s="18">
        <v>20064.9819630579</v>
      </c>
      <c r="P109" s="19">
        <v>2.08491792790899E-3</v>
      </c>
      <c r="Q109" s="18">
        <v>3014.8335253066498</v>
      </c>
      <c r="R109" s="19">
        <v>-2.3922102018385599E-2</v>
      </c>
      <c r="S109" s="18">
        <v>435.44596963278701</v>
      </c>
      <c r="T109" s="19">
        <v>2.2972747202188299E-2</v>
      </c>
      <c r="U109" s="18">
        <v>7187.4451514722896</v>
      </c>
      <c r="V109" s="19">
        <v>-1.6318686318065798E-2</v>
      </c>
      <c r="W109" s="18">
        <v>18611.701558937199</v>
      </c>
      <c r="X109" s="19">
        <v>1.6388262787739E-2</v>
      </c>
      <c r="Y109" s="18">
        <v>4855.94556450037</v>
      </c>
      <c r="Z109" s="19">
        <v>-8.6241207330431894E-3</v>
      </c>
      <c r="AA109" s="18">
        <v>6372.9895760751997</v>
      </c>
      <c r="AB109" s="19">
        <v>1.44499912258951E-2</v>
      </c>
      <c r="AC109" s="18">
        <v>3356.0790932223899</v>
      </c>
      <c r="AD109" s="19">
        <v>-4.0508909325720502E-5</v>
      </c>
      <c r="AE109" s="18">
        <v>5595.7574416007301</v>
      </c>
      <c r="AF109" s="19">
        <v>4.9593208511793403E-3</v>
      </c>
      <c r="AG109" s="18">
        <v>10790.0523857607</v>
      </c>
      <c r="AH109" s="19">
        <v>-8.2959097328136906E-3</v>
      </c>
      <c r="AI109" s="18">
        <v>5862.8097977196703</v>
      </c>
      <c r="AJ109" s="19">
        <v>-1.04133478653788E-2</v>
      </c>
      <c r="AK109" s="18">
        <v>3515.3833733372499</v>
      </c>
      <c r="AL109" s="19">
        <v>-5.9966698161683096E-3</v>
      </c>
      <c r="AM109" s="18">
        <v>23885.820613341799</v>
      </c>
      <c r="AN109" s="19">
        <v>2.4630822834861301E-3</v>
      </c>
      <c r="AO109" s="18">
        <v>9770.6877620574705</v>
      </c>
      <c r="AP109" s="19">
        <v>9.9626404026131894E-3</v>
      </c>
      <c r="AQ109" s="18">
        <v>7036.3809356706297</v>
      </c>
      <c r="AR109" s="19">
        <v>2.2818768036791101E-2</v>
      </c>
      <c r="AS109" s="18">
        <v>8279.8581836635403</v>
      </c>
      <c r="AT109" s="19">
        <v>1.46907811557933E-2</v>
      </c>
      <c r="AU109" s="18">
        <v>1128.5813786548499</v>
      </c>
      <c r="AV109" s="19">
        <v>6.9962212053928897E-3</v>
      </c>
      <c r="AW109" s="18">
        <v>2121.4444292222702</v>
      </c>
      <c r="AX109" s="19">
        <v>3.5583646914405498E-4</v>
      </c>
      <c r="AY109" s="18">
        <v>456.00634625334101</v>
      </c>
      <c r="AZ109" s="19">
        <v>4.8588936642308704E-3</v>
      </c>
      <c r="BA109" s="18">
        <v>4116.5826185068599</v>
      </c>
      <c r="BB109" s="19">
        <v>9.9740779512587103E-3</v>
      </c>
      <c r="BC109" s="18">
        <v>7046.7075188568497</v>
      </c>
      <c r="BD109" s="19">
        <v>6.7698950058407998E-3</v>
      </c>
      <c r="BE109" s="18">
        <v>-2948.8819569567399</v>
      </c>
      <c r="BF109" s="19">
        <v>1.02379021487975E-3</v>
      </c>
      <c r="BG109" s="18"/>
      <c r="BH109" s="19"/>
    </row>
    <row r="110" spans="1:60" x14ac:dyDescent="0.15">
      <c r="A110" s="17">
        <v>2004</v>
      </c>
      <c r="B110" s="17">
        <v>3</v>
      </c>
      <c r="C110" s="18">
        <v>133456.501159851</v>
      </c>
      <c r="D110" s="19">
        <v>-1.0543506151221599E-3</v>
      </c>
      <c r="E110" s="18">
        <v>129362.91729301499</v>
      </c>
      <c r="F110" s="19">
        <v>-1.0674274168175301E-3</v>
      </c>
      <c r="G110" s="18">
        <v>1235.8301052122899</v>
      </c>
      <c r="H110" s="19">
        <v>1.48959665495541E-2</v>
      </c>
      <c r="I110" s="18">
        <v>197.868813674362</v>
      </c>
      <c r="J110" s="19">
        <v>1.8852503215108601E-2</v>
      </c>
      <c r="K110" s="18">
        <v>22025.1600068972</v>
      </c>
      <c r="L110" s="19">
        <v>-2.37738795990738E-3</v>
      </c>
      <c r="M110" s="18">
        <v>3611.3320219003199</v>
      </c>
      <c r="N110" s="19">
        <v>2.2535149944913299E-3</v>
      </c>
      <c r="O110" s="18">
        <v>19985.357563400899</v>
      </c>
      <c r="P110" s="19">
        <v>-3.9683265005490097E-3</v>
      </c>
      <c r="Q110" s="18">
        <v>3042.8842155201801</v>
      </c>
      <c r="R110" s="19">
        <v>9.3042252509347705E-3</v>
      </c>
      <c r="S110" s="18">
        <v>436.01917097712101</v>
      </c>
      <c r="T110" s="19">
        <v>1.31635468992353E-3</v>
      </c>
      <c r="U110" s="18">
        <v>7232.1743407468803</v>
      </c>
      <c r="V110" s="19">
        <v>6.2232390414040904E-3</v>
      </c>
      <c r="W110" s="18">
        <v>18464.890253287002</v>
      </c>
      <c r="X110" s="19">
        <v>-7.8881184068715395E-3</v>
      </c>
      <c r="Y110" s="18">
        <v>4820.0835470991096</v>
      </c>
      <c r="Z110" s="19">
        <v>-7.3851769804487198E-3</v>
      </c>
      <c r="AA110" s="18">
        <v>6366.7641197337198</v>
      </c>
      <c r="AB110" s="19">
        <v>-9.7685023130333892E-4</v>
      </c>
      <c r="AC110" s="18">
        <v>3292.8560958063999</v>
      </c>
      <c r="AD110" s="19">
        <v>-1.8838351439234999E-2</v>
      </c>
      <c r="AE110" s="18">
        <v>5680.3484871179598</v>
      </c>
      <c r="AF110" s="19">
        <v>1.51169964745699E-2</v>
      </c>
      <c r="AG110" s="18">
        <v>10708.859214032</v>
      </c>
      <c r="AH110" s="19">
        <v>-7.5248171951245403E-3</v>
      </c>
      <c r="AI110" s="18">
        <v>5802.2181461871596</v>
      </c>
      <c r="AJ110" s="19">
        <v>-1.0334916810037301E-2</v>
      </c>
      <c r="AK110" s="18">
        <v>3514.4322774808202</v>
      </c>
      <c r="AL110" s="19">
        <v>-2.7055252739771602E-4</v>
      </c>
      <c r="AM110" s="18">
        <v>23968.553083246199</v>
      </c>
      <c r="AN110" s="19">
        <v>3.4636645415557798E-3</v>
      </c>
      <c r="AO110" s="18">
        <v>9743.09741803834</v>
      </c>
      <c r="AP110" s="19">
        <v>-2.82378730044719E-3</v>
      </c>
      <c r="AQ110" s="18">
        <v>7019.6056806002498</v>
      </c>
      <c r="AR110" s="19">
        <v>-2.38407431657639E-3</v>
      </c>
      <c r="AS110" s="18">
        <v>8329.5537196510795</v>
      </c>
      <c r="AT110" s="19">
        <v>6.0019791263572504E-3</v>
      </c>
      <c r="AU110" s="18">
        <v>1142.22963229892</v>
      </c>
      <c r="AV110" s="19">
        <v>1.20932826840874E-2</v>
      </c>
      <c r="AW110" s="18">
        <v>2126.1117094810202</v>
      </c>
      <c r="AX110" s="19">
        <v>2.2000483229511801E-3</v>
      </c>
      <c r="AY110" s="18">
        <v>458.48995344701598</v>
      </c>
      <c r="AZ110" s="19">
        <v>5.4464312044779596E-3</v>
      </c>
      <c r="BA110" s="18">
        <v>4113.7807774536795</v>
      </c>
      <c r="BB110" s="19">
        <v>-6.8062305869342999E-4</v>
      </c>
      <c r="BC110" s="18">
        <v>7044.60323372736</v>
      </c>
      <c r="BD110" s="19">
        <v>-2.98619621128426E-4</v>
      </c>
      <c r="BE110" s="18">
        <v>-2950.0395626046002</v>
      </c>
      <c r="BF110" s="19">
        <v>3.9255747254740602E-4</v>
      </c>
      <c r="BG110" s="18"/>
      <c r="BH110" s="19"/>
    </row>
    <row r="111" spans="1:60" x14ac:dyDescent="0.15">
      <c r="A111" s="17">
        <v>2004</v>
      </c>
      <c r="B111" s="17">
        <v>4</v>
      </c>
      <c r="C111" s="18">
        <v>134161.350598566</v>
      </c>
      <c r="D111" s="19">
        <v>5.2814919662147498E-3</v>
      </c>
      <c r="E111" s="18">
        <v>130066.26863135499</v>
      </c>
      <c r="F111" s="19">
        <v>5.4370398647278799E-3</v>
      </c>
      <c r="G111" s="18">
        <v>1230.90729770234</v>
      </c>
      <c r="H111" s="19">
        <v>-3.9834015122197598E-3</v>
      </c>
      <c r="I111" s="18">
        <v>193.994968191493</v>
      </c>
      <c r="J111" s="19">
        <v>-1.9577847620010799E-2</v>
      </c>
      <c r="K111" s="18">
        <v>22183.187460640002</v>
      </c>
      <c r="L111" s="19">
        <v>7.1748606454311598E-3</v>
      </c>
      <c r="M111" s="18">
        <v>3671.6571785985402</v>
      </c>
      <c r="N111" s="19">
        <v>1.6704406111760699E-2</v>
      </c>
      <c r="O111" s="18">
        <v>20062.911773231299</v>
      </c>
      <c r="P111" s="19">
        <v>3.88055152800715E-3</v>
      </c>
      <c r="Q111" s="18">
        <v>3139.3198599540201</v>
      </c>
      <c r="R111" s="19">
        <v>3.1692183337759902E-2</v>
      </c>
      <c r="S111" s="18">
        <v>425.68680464897801</v>
      </c>
      <c r="T111" s="19">
        <v>-2.3697045946371099E-2</v>
      </c>
      <c r="U111" s="18">
        <v>7238.2181489803097</v>
      </c>
      <c r="V111" s="19">
        <v>8.3568342640494297E-4</v>
      </c>
      <c r="W111" s="18">
        <v>18571.242468862001</v>
      </c>
      <c r="X111" s="19">
        <v>5.7596993058808303E-3</v>
      </c>
      <c r="Y111" s="18">
        <v>4857.6238787611001</v>
      </c>
      <c r="Z111" s="19">
        <v>7.7883155541125203E-3</v>
      </c>
      <c r="AA111" s="18">
        <v>6366.1196420823499</v>
      </c>
      <c r="AB111" s="19">
        <v>-1.01225306803565E-4</v>
      </c>
      <c r="AC111" s="18">
        <v>3310.3111426225</v>
      </c>
      <c r="AD111" s="19">
        <v>5.3008835819849899E-3</v>
      </c>
      <c r="AE111" s="18">
        <v>5668.0026366717002</v>
      </c>
      <c r="AF111" s="19">
        <v>-2.17343187205066E-3</v>
      </c>
      <c r="AG111" s="18">
        <v>10848.3780606895</v>
      </c>
      <c r="AH111" s="19">
        <v>1.30283575373471E-2</v>
      </c>
      <c r="AI111" s="18">
        <v>5927.3560335008297</v>
      </c>
      <c r="AJ111" s="19">
        <v>2.15672496553574E-2</v>
      </c>
      <c r="AK111" s="18">
        <v>3532.93725415985</v>
      </c>
      <c r="AL111" s="19">
        <v>5.2654241760763396E-3</v>
      </c>
      <c r="AM111" s="18">
        <v>24123.584912339698</v>
      </c>
      <c r="AN111" s="19">
        <v>6.4681346660813198E-3</v>
      </c>
      <c r="AO111" s="18">
        <v>9767.5503403720504</v>
      </c>
      <c r="AP111" s="19">
        <v>2.5097688429593901E-3</v>
      </c>
      <c r="AQ111" s="18">
        <v>7069.5353677084204</v>
      </c>
      <c r="AR111" s="19">
        <v>7.1128905781925296E-3</v>
      </c>
      <c r="AS111" s="18">
        <v>8277.5973538698599</v>
      </c>
      <c r="AT111" s="19">
        <v>-6.2375929767576298E-3</v>
      </c>
      <c r="AU111" s="18">
        <v>1177.78024579367</v>
      </c>
      <c r="AV111" s="19">
        <v>3.1123876048632801E-2</v>
      </c>
      <c r="AW111" s="18">
        <v>2116.6977947139299</v>
      </c>
      <c r="AX111" s="19">
        <v>-4.4277611214421598E-3</v>
      </c>
      <c r="AY111" s="18">
        <v>460.86696229084203</v>
      </c>
      <c r="AZ111" s="19">
        <v>5.1844295081182601E-3</v>
      </c>
      <c r="BA111" s="18">
        <v>4119.1500512243301</v>
      </c>
      <c r="BB111" s="19">
        <v>1.3051920024687001E-3</v>
      </c>
      <c r="BC111" s="18">
        <v>7058.2055757943699</v>
      </c>
      <c r="BD111" s="19">
        <v>1.9308883148845301E-3</v>
      </c>
      <c r="BE111" s="18">
        <v>-2959.0719232648398</v>
      </c>
      <c r="BF111" s="19">
        <v>3.0617761113218601E-3</v>
      </c>
      <c r="BG111" s="18"/>
      <c r="BH111" s="19"/>
    </row>
    <row r="112" spans="1:60" x14ac:dyDescent="0.15">
      <c r="A112" s="17">
        <v>2005</v>
      </c>
      <c r="B112" s="17">
        <v>1</v>
      </c>
      <c r="C112" s="18">
        <v>135493.96815975901</v>
      </c>
      <c r="D112" s="19">
        <v>9.9329468229645296E-3</v>
      </c>
      <c r="E112" s="18">
        <v>131352.169478464</v>
      </c>
      <c r="F112" s="19">
        <v>9.8865052456769097E-3</v>
      </c>
      <c r="G112" s="18">
        <v>1190.5582631275099</v>
      </c>
      <c r="H112" s="19">
        <v>-3.2779913361589703E-2</v>
      </c>
      <c r="I112" s="18">
        <v>199.82599342766301</v>
      </c>
      <c r="J112" s="19">
        <v>3.0057610723253698E-2</v>
      </c>
      <c r="K112" s="18">
        <v>22369.255386127199</v>
      </c>
      <c r="L112" s="19">
        <v>8.3877903397486797E-3</v>
      </c>
      <c r="M112" s="18">
        <v>3796.7549368372102</v>
      </c>
      <c r="N112" s="19">
        <v>3.4071197868864998E-2</v>
      </c>
      <c r="O112" s="18">
        <v>20053.624964609498</v>
      </c>
      <c r="P112" s="19">
        <v>-4.6288438721331398E-4</v>
      </c>
      <c r="Q112" s="18">
        <v>3347.4164739475</v>
      </c>
      <c r="R112" s="19">
        <v>6.6287165143002397E-2</v>
      </c>
      <c r="S112" s="18">
        <v>449.99996709833698</v>
      </c>
      <c r="T112" s="19">
        <v>5.7115142362488901E-2</v>
      </c>
      <c r="U112" s="18">
        <v>7213.2698306334896</v>
      </c>
      <c r="V112" s="19">
        <v>-3.4467486104073899E-3</v>
      </c>
      <c r="W112" s="18">
        <v>18848.1348314022</v>
      </c>
      <c r="X112" s="19">
        <v>1.4909738161269301E-2</v>
      </c>
      <c r="Y112" s="18">
        <v>4902.8978505804598</v>
      </c>
      <c r="Z112" s="19">
        <v>9.3201888308627207E-3</v>
      </c>
      <c r="AA112" s="18">
        <v>6354.6366160760099</v>
      </c>
      <c r="AB112" s="19">
        <v>-1.8037716304337701E-3</v>
      </c>
      <c r="AC112" s="18">
        <v>3365.7317121943502</v>
      </c>
      <c r="AD112" s="19">
        <v>1.6741800750472501E-2</v>
      </c>
      <c r="AE112" s="18">
        <v>5730.65126063961</v>
      </c>
      <c r="AF112" s="19">
        <v>1.10530336670236E-2</v>
      </c>
      <c r="AG112" s="18">
        <v>11006.3813466744</v>
      </c>
      <c r="AH112" s="19">
        <v>1.45646920766374E-2</v>
      </c>
      <c r="AI112" s="18">
        <v>6054.3235045395404</v>
      </c>
      <c r="AJ112" s="19">
        <v>2.14205912924934E-2</v>
      </c>
      <c r="AK112" s="18">
        <v>3570.6127160934702</v>
      </c>
      <c r="AL112" s="19">
        <v>1.06640620037202E-2</v>
      </c>
      <c r="AM112" s="18">
        <v>24299.922315637599</v>
      </c>
      <c r="AN112" s="19">
        <v>7.30975118079047E-3</v>
      </c>
      <c r="AO112" s="18">
        <v>9798.1936289239493</v>
      </c>
      <c r="AP112" s="19">
        <v>3.1372542228163E-3</v>
      </c>
      <c r="AQ112" s="18">
        <v>7125.3285876816299</v>
      </c>
      <c r="AR112" s="19">
        <v>7.8920632080094998E-3</v>
      </c>
      <c r="AS112" s="18">
        <v>8335.1852265766593</v>
      </c>
      <c r="AT112" s="19">
        <v>6.9570758572681203E-3</v>
      </c>
      <c r="AU112" s="18">
        <v>1233.52413382436</v>
      </c>
      <c r="AV112" s="19">
        <v>4.7329617073963E-2</v>
      </c>
      <c r="AW112" s="18">
        <v>2118.3865339285699</v>
      </c>
      <c r="AX112" s="19">
        <v>7.9781781738397196E-4</v>
      </c>
      <c r="AY112" s="18">
        <v>463.34407150151401</v>
      </c>
      <c r="AZ112" s="19">
        <v>5.3748899646852699E-3</v>
      </c>
      <c r="BA112" s="18">
        <v>4164.8039029620004</v>
      </c>
      <c r="BB112" s="19">
        <v>1.10833184443235E-2</v>
      </c>
      <c r="BC112" s="18">
        <v>7106.1942470874101</v>
      </c>
      <c r="BD112" s="19">
        <v>6.7989903067739998E-3</v>
      </c>
      <c r="BE112" s="18">
        <v>-2956.5800302655898</v>
      </c>
      <c r="BF112" s="19">
        <v>-8.4211978075077198E-4</v>
      </c>
      <c r="BG112" s="18"/>
      <c r="BH112" s="19"/>
    </row>
    <row r="113" spans="1:60" x14ac:dyDescent="0.15">
      <c r="A113" s="17">
        <v>2005</v>
      </c>
      <c r="B113" s="17">
        <v>2</v>
      </c>
      <c r="C113" s="18">
        <v>137114.79395639701</v>
      </c>
      <c r="D113" s="19">
        <v>1.19623465062815E-2</v>
      </c>
      <c r="E113" s="18">
        <v>132919.28034588601</v>
      </c>
      <c r="F113" s="19">
        <v>1.19306051330887E-2</v>
      </c>
      <c r="G113" s="18">
        <v>1173.03345133935</v>
      </c>
      <c r="H113" s="19">
        <v>-1.47198271020568E-2</v>
      </c>
      <c r="I113" s="18">
        <v>205.79914983119599</v>
      </c>
      <c r="J113" s="19">
        <v>2.9891788856266199E-2</v>
      </c>
      <c r="K113" s="18">
        <v>23168.821230202699</v>
      </c>
      <c r="L113" s="19">
        <v>3.5743963322596703E-2</v>
      </c>
      <c r="M113" s="18">
        <v>3835.0854224283798</v>
      </c>
      <c r="N113" s="19">
        <v>1.00955911637259E-2</v>
      </c>
      <c r="O113" s="18">
        <v>20954.723374325298</v>
      </c>
      <c r="P113" s="19">
        <v>4.4934440097792003E-2</v>
      </c>
      <c r="Q113" s="18">
        <v>3090.89710099392</v>
      </c>
      <c r="R113" s="19">
        <v>-7.6632045922589903E-2</v>
      </c>
      <c r="S113" s="18">
        <v>489.14918967914798</v>
      </c>
      <c r="T113" s="19">
        <v>8.6998278762663805E-2</v>
      </c>
      <c r="U113" s="18">
        <v>7490.2799509902297</v>
      </c>
      <c r="V113" s="19">
        <v>3.8402850144372301E-2</v>
      </c>
      <c r="W113" s="18">
        <v>18936.278472297501</v>
      </c>
      <c r="X113" s="19">
        <v>4.6765179517080898E-3</v>
      </c>
      <c r="Y113" s="18">
        <v>4958.1680344232</v>
      </c>
      <c r="Z113" s="19">
        <v>1.1272962547281599E-2</v>
      </c>
      <c r="AA113" s="18">
        <v>6326.59320910719</v>
      </c>
      <c r="AB113" s="19">
        <v>-4.4130622509364103E-3</v>
      </c>
      <c r="AC113" s="18">
        <v>3350.6455936426401</v>
      </c>
      <c r="AD113" s="19">
        <v>-4.4822700802483696E-3</v>
      </c>
      <c r="AE113" s="18">
        <v>5812.9909550489001</v>
      </c>
      <c r="AF113" s="19">
        <v>1.43682961437259E-2</v>
      </c>
      <c r="AG113" s="18">
        <v>11139.271240800599</v>
      </c>
      <c r="AH113" s="19">
        <v>1.2073895128694299E-2</v>
      </c>
      <c r="AI113" s="18">
        <v>6145.6789290508996</v>
      </c>
      <c r="AJ113" s="19">
        <v>1.50892869274095E-2</v>
      </c>
      <c r="AK113" s="18">
        <v>3605.9425178504598</v>
      </c>
      <c r="AL113" s="19">
        <v>9.8946048104742203E-3</v>
      </c>
      <c r="AM113" s="18">
        <v>24578.5194499145</v>
      </c>
      <c r="AN113" s="19">
        <v>1.1464939297259001E-2</v>
      </c>
      <c r="AO113" s="18">
        <v>9802.2036606100191</v>
      </c>
      <c r="AP113" s="19">
        <v>4.0926234344151901E-4</v>
      </c>
      <c r="AQ113" s="18">
        <v>7127.5008313287299</v>
      </c>
      <c r="AR113" s="19">
        <v>3.0486224184200799E-4</v>
      </c>
      <c r="AS113" s="18">
        <v>8309.8826064037203</v>
      </c>
      <c r="AT113" s="19">
        <v>-3.0356398190483102E-3</v>
      </c>
      <c r="AU113" s="18">
        <v>1221.6491706987299</v>
      </c>
      <c r="AV113" s="19">
        <v>-9.6268591752750599E-3</v>
      </c>
      <c r="AW113" s="18">
        <v>2124.5092079221199</v>
      </c>
      <c r="AX113" s="19">
        <v>2.8902534525638802E-3</v>
      </c>
      <c r="AY113" s="18">
        <v>465.72629645978901</v>
      </c>
      <c r="AZ113" s="19">
        <v>5.1413735597296596E-3</v>
      </c>
      <c r="BA113" s="18">
        <v>4217.9044884744799</v>
      </c>
      <c r="BB113" s="19">
        <v>1.27498405086299E-2</v>
      </c>
      <c r="BC113" s="18">
        <v>7169.7269127145</v>
      </c>
      <c r="BD113" s="19">
        <v>8.9404628438252108E-3</v>
      </c>
      <c r="BE113" s="18">
        <v>-2962.6793291589402</v>
      </c>
      <c r="BF113" s="19">
        <v>2.0629574815877998E-3</v>
      </c>
      <c r="BG113" s="18"/>
      <c r="BH113" s="19"/>
    </row>
    <row r="114" spans="1:60" x14ac:dyDescent="0.15">
      <c r="A114" s="17">
        <v>2005</v>
      </c>
      <c r="B114" s="17">
        <v>3</v>
      </c>
      <c r="C114" s="18">
        <v>138471.86535901501</v>
      </c>
      <c r="D114" s="19">
        <v>9.8973375772220002E-3</v>
      </c>
      <c r="E114" s="18">
        <v>134228.571090554</v>
      </c>
      <c r="F114" s="19">
        <v>9.8502695866293805E-3</v>
      </c>
      <c r="G114" s="18">
        <v>1163.4189128755499</v>
      </c>
      <c r="H114" s="19">
        <v>-8.1963037395218503E-3</v>
      </c>
      <c r="I114" s="18">
        <v>200.89954934068001</v>
      </c>
      <c r="J114" s="19">
        <v>-2.3807680908961001E-2</v>
      </c>
      <c r="K114" s="18">
        <v>23375.576111504099</v>
      </c>
      <c r="L114" s="19">
        <v>8.9238411936043392E-3</v>
      </c>
      <c r="M114" s="18">
        <v>3883.41710913426</v>
      </c>
      <c r="N114" s="19">
        <v>1.2602505911140101E-2</v>
      </c>
      <c r="O114" s="18">
        <v>21115.019226707202</v>
      </c>
      <c r="P114" s="19">
        <v>7.6496286550029602E-3</v>
      </c>
      <c r="Q114" s="18">
        <v>3173.5458027992599</v>
      </c>
      <c r="R114" s="19">
        <v>2.6739389602701901E-2</v>
      </c>
      <c r="S114" s="18">
        <v>474.04690069654401</v>
      </c>
      <c r="T114" s="19">
        <v>-3.08746069732013E-2</v>
      </c>
      <c r="U114" s="18">
        <v>7505.0913466506199</v>
      </c>
      <c r="V114" s="19">
        <v>1.9774154981266898E-3</v>
      </c>
      <c r="W114" s="18">
        <v>19223.606517771299</v>
      </c>
      <c r="X114" s="19">
        <v>1.5173416777440701E-2</v>
      </c>
      <c r="Y114" s="18">
        <v>5004.6184409245197</v>
      </c>
      <c r="Z114" s="19">
        <v>9.3684615323295101E-3</v>
      </c>
      <c r="AA114" s="18">
        <v>6360.0593906701597</v>
      </c>
      <c r="AB114" s="19">
        <v>5.2897634567044003E-3</v>
      </c>
      <c r="AC114" s="18">
        <v>3376.4702949819398</v>
      </c>
      <c r="AD114" s="19">
        <v>7.70738074725186E-3</v>
      </c>
      <c r="AE114" s="18">
        <v>5948.73882188891</v>
      </c>
      <c r="AF114" s="19">
        <v>2.3352499236578301E-2</v>
      </c>
      <c r="AG114" s="18">
        <v>11475.080387645299</v>
      </c>
      <c r="AH114" s="19">
        <v>3.0146419777863101E-2</v>
      </c>
      <c r="AI114" s="18">
        <v>6385.1054122379601</v>
      </c>
      <c r="AJ114" s="19">
        <v>3.8958508238249097E-2</v>
      </c>
      <c r="AK114" s="18">
        <v>3639.0864351667401</v>
      </c>
      <c r="AL114" s="19">
        <v>9.1914713427088107E-3</v>
      </c>
      <c r="AM114" s="18">
        <v>24657.823222922802</v>
      </c>
      <c r="AN114" s="19">
        <v>3.2265480095281501E-3</v>
      </c>
      <c r="AO114" s="18">
        <v>9749.5087797392407</v>
      </c>
      <c r="AP114" s="19">
        <v>-5.37581983554636E-3</v>
      </c>
      <c r="AQ114" s="18">
        <v>7068.0420508743</v>
      </c>
      <c r="AR114" s="19">
        <v>-8.3421639451914907E-3</v>
      </c>
      <c r="AS114" s="18">
        <v>8387.6844599238793</v>
      </c>
      <c r="AT114" s="19">
        <v>9.3625695097321292E-3</v>
      </c>
      <c r="AU114" s="18">
        <v>1240.17329213059</v>
      </c>
      <c r="AV114" s="19">
        <v>1.5163208780520901E-2</v>
      </c>
      <c r="AW114" s="18">
        <v>2146.5423431948602</v>
      </c>
      <c r="AX114" s="19">
        <v>1.03709295260173E-2</v>
      </c>
      <c r="AY114" s="18">
        <v>467.60016993577199</v>
      </c>
      <c r="AZ114" s="19">
        <v>4.0235509358752504E-3</v>
      </c>
      <c r="BA114" s="18">
        <v>4264.7244774617602</v>
      </c>
      <c r="BB114" s="19">
        <v>1.11002961577769E-2</v>
      </c>
      <c r="BC114" s="18">
        <v>7228.8185694212398</v>
      </c>
      <c r="BD114" s="19">
        <v>8.24182809556517E-3</v>
      </c>
      <c r="BE114" s="18">
        <v>-2971.64460472261</v>
      </c>
      <c r="BF114" s="19">
        <v>3.0260701775710599E-3</v>
      </c>
      <c r="BG114" s="18"/>
      <c r="BH114" s="19"/>
    </row>
    <row r="115" spans="1:60" x14ac:dyDescent="0.15">
      <c r="A115" s="17">
        <v>2005</v>
      </c>
      <c r="B115" s="17">
        <v>4</v>
      </c>
      <c r="C115" s="18">
        <v>139842.700862962</v>
      </c>
      <c r="D115" s="19">
        <v>9.8997402858165308E-3</v>
      </c>
      <c r="E115" s="18">
        <v>135494.37136894499</v>
      </c>
      <c r="F115" s="19">
        <v>9.4301851543765504E-3</v>
      </c>
      <c r="G115" s="18">
        <v>1150.1598505970001</v>
      </c>
      <c r="H115" s="19">
        <v>-1.13966363549834E-2</v>
      </c>
      <c r="I115" s="18">
        <v>197.09982893491599</v>
      </c>
      <c r="J115" s="19">
        <v>-1.8913533744765999E-2</v>
      </c>
      <c r="K115" s="18">
        <v>23703.363714933701</v>
      </c>
      <c r="L115" s="19">
        <v>1.4022653468132701E-2</v>
      </c>
      <c r="M115" s="18">
        <v>4016.0123030792302</v>
      </c>
      <c r="N115" s="19">
        <v>3.4143948542917399E-2</v>
      </c>
      <c r="O115" s="18">
        <v>21263.221325501701</v>
      </c>
      <c r="P115" s="19">
        <v>7.0188000874327203E-3</v>
      </c>
      <c r="Q115" s="18">
        <v>3332.6461308623202</v>
      </c>
      <c r="R115" s="19">
        <v>5.0133301344738701E-2</v>
      </c>
      <c r="S115" s="18">
        <v>478.70190997169601</v>
      </c>
      <c r="T115" s="19">
        <v>9.8197230449397193E-3</v>
      </c>
      <c r="U115" s="18">
        <v>7482.7319070684998</v>
      </c>
      <c r="V115" s="19">
        <v>-2.9792361677383199E-3</v>
      </c>
      <c r="W115" s="18">
        <v>19449.058149271201</v>
      </c>
      <c r="X115" s="19">
        <v>1.17278530067415E-2</v>
      </c>
      <c r="Y115" s="18">
        <v>5007.1994355305496</v>
      </c>
      <c r="Z115" s="19">
        <v>5.1572255437459802E-4</v>
      </c>
      <c r="AA115" s="18">
        <v>6478.09418934925</v>
      </c>
      <c r="AB115" s="19">
        <v>1.8558757305355601E-2</v>
      </c>
      <c r="AC115" s="18">
        <v>3383.0811141521699</v>
      </c>
      <c r="AD115" s="19">
        <v>1.9579082866652002E-3</v>
      </c>
      <c r="AE115" s="18">
        <v>5989.0841953039899</v>
      </c>
      <c r="AF115" s="19">
        <v>6.7821725954109197E-3</v>
      </c>
      <c r="AG115" s="18">
        <v>11801.2793712496</v>
      </c>
      <c r="AH115" s="19">
        <v>2.8426727533482E-2</v>
      </c>
      <c r="AI115" s="18">
        <v>6601.0640540825598</v>
      </c>
      <c r="AJ115" s="19">
        <v>3.3822251615562203E-2</v>
      </c>
      <c r="AK115" s="18">
        <v>3670.14638213123</v>
      </c>
      <c r="AL115" s="19">
        <v>8.5350945952624695E-3</v>
      </c>
      <c r="AM115" s="18">
        <v>24693.725480020701</v>
      </c>
      <c r="AN115" s="19">
        <v>1.45601891835123E-3</v>
      </c>
      <c r="AO115" s="18">
        <v>9763.5386456864999</v>
      </c>
      <c r="AP115" s="19">
        <v>1.43903311071503E-3</v>
      </c>
      <c r="AQ115" s="18">
        <v>7012.7492328875096</v>
      </c>
      <c r="AR115" s="19">
        <v>-7.8229327993255496E-3</v>
      </c>
      <c r="AS115" s="18">
        <v>8365.6202805136509</v>
      </c>
      <c r="AT115" s="19">
        <v>-2.6305447606740401E-3</v>
      </c>
      <c r="AU115" s="18">
        <v>1234.1643101161401</v>
      </c>
      <c r="AV115" s="19">
        <v>-4.8452761017936403E-3</v>
      </c>
      <c r="AW115" s="18">
        <v>2158.8275988179998</v>
      </c>
      <c r="AX115" s="19">
        <v>5.7232766276846796E-3</v>
      </c>
      <c r="AY115" s="18">
        <v>468.61221190534502</v>
      </c>
      <c r="AZ115" s="19">
        <v>2.1643319114110801E-3</v>
      </c>
      <c r="BA115" s="18">
        <v>4358.0134739907699</v>
      </c>
      <c r="BB115" s="19">
        <v>2.18745658768855E-2</v>
      </c>
      <c r="BC115" s="18">
        <v>7314.0960070325</v>
      </c>
      <c r="BD115" s="19">
        <v>1.1796870649374101E-2</v>
      </c>
      <c r="BE115" s="18">
        <v>-2951.6168744225602</v>
      </c>
      <c r="BF115" s="19">
        <v>-6.7396115498566901E-3</v>
      </c>
      <c r="BG115" s="18"/>
      <c r="BH115" s="19"/>
    </row>
    <row r="116" spans="1:60" x14ac:dyDescent="0.15">
      <c r="A116" s="17">
        <v>2006</v>
      </c>
      <c r="B116" s="17">
        <v>1</v>
      </c>
      <c r="C116" s="18">
        <v>141347.663913086</v>
      </c>
      <c r="D116" s="19">
        <v>1.0761827688089899E-2</v>
      </c>
      <c r="E116" s="18">
        <v>136900.08175744899</v>
      </c>
      <c r="F116" s="19">
        <v>1.03746773707349E-2</v>
      </c>
      <c r="G116" s="18">
        <v>1121.6324832417099</v>
      </c>
      <c r="H116" s="19">
        <v>-2.4802958771755399E-2</v>
      </c>
      <c r="I116" s="18">
        <v>188.755553320796</v>
      </c>
      <c r="J116" s="19">
        <v>-4.2335275779848497E-2</v>
      </c>
      <c r="K116" s="18">
        <v>24117.851120529402</v>
      </c>
      <c r="L116" s="19">
        <v>1.7486438236386199E-2</v>
      </c>
      <c r="M116" s="18">
        <v>4126.8655721579998</v>
      </c>
      <c r="N116" s="19">
        <v>2.76028210854289E-2</v>
      </c>
      <c r="O116" s="18">
        <v>21560.733220912902</v>
      </c>
      <c r="P116" s="19">
        <v>1.39918543317969E-2</v>
      </c>
      <c r="Q116" s="18">
        <v>3346.8660950438898</v>
      </c>
      <c r="R116" s="19">
        <v>4.2668689153273504E-3</v>
      </c>
      <c r="S116" s="18">
        <v>492.94917386568198</v>
      </c>
      <c r="T116" s="19">
        <v>2.97622875472296E-2</v>
      </c>
      <c r="U116" s="18">
        <v>7342.8431413897597</v>
      </c>
      <c r="V116" s="19">
        <v>-1.86948787442991E-2</v>
      </c>
      <c r="W116" s="18">
        <v>19592.431272602698</v>
      </c>
      <c r="X116" s="19">
        <v>7.3717257787559998E-3</v>
      </c>
      <c r="Y116" s="18">
        <v>4984.2661513011799</v>
      </c>
      <c r="Z116" s="19">
        <v>-4.5800620735483299E-3</v>
      </c>
      <c r="AA116" s="18">
        <v>6535.7652065771199</v>
      </c>
      <c r="AB116" s="19">
        <v>8.9024666116586104E-3</v>
      </c>
      <c r="AC116" s="18">
        <v>3477.2913418855201</v>
      </c>
      <c r="AD116" s="19">
        <v>2.78474634673265E-2</v>
      </c>
      <c r="AE116" s="18">
        <v>6062.7003213563503</v>
      </c>
      <c r="AF116" s="19">
        <v>1.22917166718217E-2</v>
      </c>
      <c r="AG116" s="18">
        <v>12079.943067202001</v>
      </c>
      <c r="AH116" s="19">
        <v>2.36130073008218E-2</v>
      </c>
      <c r="AI116" s="18">
        <v>6760.7924754134501</v>
      </c>
      <c r="AJ116" s="19">
        <v>2.4197374850816401E-2</v>
      </c>
      <c r="AK116" s="18">
        <v>3699.1691089117799</v>
      </c>
      <c r="AL116" s="19">
        <v>7.9077845292094794E-3</v>
      </c>
      <c r="AM116" s="18">
        <v>24898.541157874999</v>
      </c>
      <c r="AN116" s="19">
        <v>8.2942396853018501E-3</v>
      </c>
      <c r="AO116" s="18">
        <v>9852.7521799432307</v>
      </c>
      <c r="AP116" s="19">
        <v>9.1374180503855894E-3</v>
      </c>
      <c r="AQ116" s="18">
        <v>7061.9398329304604</v>
      </c>
      <c r="AR116" s="19">
        <v>7.0144530211160303E-3</v>
      </c>
      <c r="AS116" s="18">
        <v>8360.0530353139293</v>
      </c>
      <c r="AT116" s="19">
        <v>-6.6549102314372699E-4</v>
      </c>
      <c r="AU116" s="18">
        <v>1299.1404002782399</v>
      </c>
      <c r="AV116" s="19">
        <v>5.2647844075141698E-2</v>
      </c>
      <c r="AW116" s="18">
        <v>2161.9207526319601</v>
      </c>
      <c r="AX116" s="19">
        <v>1.4327933437794399E-3</v>
      </c>
      <c r="AY116" s="18">
        <v>468.85975715565399</v>
      </c>
      <c r="AZ116" s="19">
        <v>5.2825181252158504E-4</v>
      </c>
      <c r="BA116" s="18">
        <v>4449.9224725055101</v>
      </c>
      <c r="BB116" s="19">
        <v>2.1089654509621299E-2</v>
      </c>
      <c r="BC116" s="18">
        <v>7409.6652894173103</v>
      </c>
      <c r="BD116" s="19">
        <v>1.30664517245775E-2</v>
      </c>
      <c r="BE116" s="18">
        <v>-2949.2812968727799</v>
      </c>
      <c r="BF116" s="19">
        <v>-7.91287504151583E-4</v>
      </c>
      <c r="BG116" s="18"/>
      <c r="BH116" s="19"/>
    </row>
    <row r="117" spans="1:60" x14ac:dyDescent="0.15">
      <c r="A117" s="17">
        <v>2006</v>
      </c>
      <c r="B117" s="17">
        <v>2</v>
      </c>
      <c r="C117" s="18">
        <v>142287.49066522499</v>
      </c>
      <c r="D117" s="19">
        <v>6.6490434020707303E-3</v>
      </c>
      <c r="E117" s="18">
        <v>137762.22472615101</v>
      </c>
      <c r="F117" s="19">
        <v>6.2976074055940403E-3</v>
      </c>
      <c r="G117" s="18">
        <v>1111.3500491100599</v>
      </c>
      <c r="H117" s="19">
        <v>-9.1673826188853908E-3</v>
      </c>
      <c r="I117" s="18">
        <v>192.42391486672199</v>
      </c>
      <c r="J117" s="19">
        <v>1.9434456265725802E-2</v>
      </c>
      <c r="K117" s="18">
        <v>24434.289728907101</v>
      </c>
      <c r="L117" s="19">
        <v>1.31205142114958E-2</v>
      </c>
      <c r="M117" s="18">
        <v>4222.4545658446104</v>
      </c>
      <c r="N117" s="19">
        <v>2.3162613856749101E-2</v>
      </c>
      <c r="O117" s="18">
        <v>21766.486712812999</v>
      </c>
      <c r="P117" s="19">
        <v>9.5429728568106106E-3</v>
      </c>
      <c r="Q117" s="18">
        <v>3403.7349525630698</v>
      </c>
      <c r="R117" s="19">
        <v>1.69916739732709E-2</v>
      </c>
      <c r="S117" s="18">
        <v>492.96946948395998</v>
      </c>
      <c r="T117" s="19">
        <v>4.1171827347863399E-5</v>
      </c>
      <c r="U117" s="18">
        <v>7358.1464957503904</v>
      </c>
      <c r="V117" s="19">
        <v>2.0841183811168801E-3</v>
      </c>
      <c r="W117" s="18">
        <v>20065.743476249099</v>
      </c>
      <c r="X117" s="19">
        <v>2.4157910626859201E-2</v>
      </c>
      <c r="Y117" s="18">
        <v>5019.8562689938399</v>
      </c>
      <c r="Z117" s="19">
        <v>7.1404930259135703E-3</v>
      </c>
      <c r="AA117" s="18">
        <v>6513.4980003074697</v>
      </c>
      <c r="AB117" s="19">
        <v>-3.4069776936356301E-3</v>
      </c>
      <c r="AC117" s="18">
        <v>3445.5108266428801</v>
      </c>
      <c r="AD117" s="19">
        <v>-9.1394456541030698E-3</v>
      </c>
      <c r="AE117" s="18">
        <v>6101.9869693597202</v>
      </c>
      <c r="AF117" s="19">
        <v>6.4800577170174298E-3</v>
      </c>
      <c r="AG117" s="18">
        <v>12089.113848406199</v>
      </c>
      <c r="AH117" s="19">
        <v>7.59174207458857E-4</v>
      </c>
      <c r="AI117" s="18">
        <v>6725.27390262462</v>
      </c>
      <c r="AJ117" s="19">
        <v>-5.2536108626305396E-3</v>
      </c>
      <c r="AK117" s="18">
        <v>3718.3605146585901</v>
      </c>
      <c r="AL117" s="19">
        <v>5.18803146916769E-3</v>
      </c>
      <c r="AM117" s="18">
        <v>24890.2413168766</v>
      </c>
      <c r="AN117" s="19">
        <v>-3.33346477843444E-4</v>
      </c>
      <c r="AO117" s="18">
        <v>9803.1387663026198</v>
      </c>
      <c r="AP117" s="19">
        <v>-5.0354878245699704E-3</v>
      </c>
      <c r="AQ117" s="18">
        <v>6997.4940104433299</v>
      </c>
      <c r="AR117" s="19">
        <v>-9.1257960293880096E-3</v>
      </c>
      <c r="AS117" s="18">
        <v>8388.6263179449998</v>
      </c>
      <c r="AT117" s="19">
        <v>3.4178350915201601E-3</v>
      </c>
      <c r="AU117" s="18">
        <v>1249.98127474394</v>
      </c>
      <c r="AV117" s="19">
        <v>-3.7839732736951001E-2</v>
      </c>
      <c r="AW117" s="18">
        <v>2181.45694663214</v>
      </c>
      <c r="AX117" s="19">
        <v>9.0364986674020802E-3</v>
      </c>
      <c r="AY117" s="18">
        <v>470.35633467796401</v>
      </c>
      <c r="AZ117" s="19">
        <v>3.1919513233324998E-3</v>
      </c>
      <c r="BA117" s="18">
        <v>4519.7408333568701</v>
      </c>
      <c r="BB117" s="19">
        <v>1.5689792638577501E-2</v>
      </c>
      <c r="BC117" s="18">
        <v>7480.8639017450896</v>
      </c>
      <c r="BD117" s="19">
        <v>9.6088837412753297E-3</v>
      </c>
      <c r="BE117" s="18">
        <v>-2944.3028271150101</v>
      </c>
      <c r="BF117" s="19">
        <v>-1.68802811825819E-3</v>
      </c>
      <c r="BG117" s="18"/>
      <c r="BH117" s="19"/>
    </row>
    <row r="118" spans="1:60" x14ac:dyDescent="0.15">
      <c r="A118" s="17">
        <v>2006</v>
      </c>
      <c r="B118" s="17">
        <v>3</v>
      </c>
      <c r="C118" s="18">
        <v>143586.608340662</v>
      </c>
      <c r="D118" s="19">
        <v>9.1302311212573296E-3</v>
      </c>
      <c r="E118" s="18">
        <v>138971.754090576</v>
      </c>
      <c r="F118" s="19">
        <v>8.7798332730888405E-3</v>
      </c>
      <c r="G118" s="18">
        <v>1114.27342607227</v>
      </c>
      <c r="H118" s="19">
        <v>2.63047359789548E-3</v>
      </c>
      <c r="I118" s="18">
        <v>192.21469034731999</v>
      </c>
      <c r="J118" s="19">
        <v>-1.0873103769190001E-3</v>
      </c>
      <c r="K118" s="18">
        <v>24817.092406489901</v>
      </c>
      <c r="L118" s="19">
        <v>1.56666177666684E-2</v>
      </c>
      <c r="M118" s="18">
        <v>4385.07744863264</v>
      </c>
      <c r="N118" s="19">
        <v>3.8513826555644601E-2</v>
      </c>
      <c r="O118" s="18">
        <v>21927.937298014302</v>
      </c>
      <c r="P118" s="19">
        <v>7.4173929551168997E-3</v>
      </c>
      <c r="Q118" s="18">
        <v>3413.5696140678301</v>
      </c>
      <c r="R118" s="19">
        <v>2.8893734799659799E-3</v>
      </c>
      <c r="S118" s="18">
        <v>494.255167549666</v>
      </c>
      <c r="T118" s="19">
        <v>2.6080683395106599E-3</v>
      </c>
      <c r="U118" s="18">
        <v>7220.14803865267</v>
      </c>
      <c r="V118" s="19">
        <v>-1.8754513405980399E-2</v>
      </c>
      <c r="W118" s="18">
        <v>20558.095719409299</v>
      </c>
      <c r="X118" s="19">
        <v>2.4536954922353998E-2</v>
      </c>
      <c r="Y118" s="18">
        <v>5064.4788374664604</v>
      </c>
      <c r="Z118" s="19">
        <v>8.8892123761068493E-3</v>
      </c>
      <c r="AA118" s="18">
        <v>6547.3984496172998</v>
      </c>
      <c r="AB118" s="19">
        <v>5.2046456924124103E-3</v>
      </c>
      <c r="AC118" s="18">
        <v>3441.4623300056901</v>
      </c>
      <c r="AD118" s="19">
        <v>-1.17500621559008E-3</v>
      </c>
      <c r="AE118" s="18">
        <v>6092.2994691436897</v>
      </c>
      <c r="AF118" s="19">
        <v>-1.5875976570696199E-3</v>
      </c>
      <c r="AG118" s="18">
        <v>12019.4863587775</v>
      </c>
      <c r="AH118" s="19">
        <v>-5.7595197217723496E-3</v>
      </c>
      <c r="AI118" s="18">
        <v>6589.8014277852499</v>
      </c>
      <c r="AJ118" s="19">
        <v>-2.01437854875329E-2</v>
      </c>
      <c r="AK118" s="18">
        <v>3727.45318227198</v>
      </c>
      <c r="AL118" s="19">
        <v>2.4453432036901598E-3</v>
      </c>
      <c r="AM118" s="18">
        <v>25113.256646436101</v>
      </c>
      <c r="AN118" s="19">
        <v>8.9599504769854992E-3</v>
      </c>
      <c r="AO118" s="18">
        <v>9898.2879041322394</v>
      </c>
      <c r="AP118" s="19">
        <v>9.7059870412814497E-3</v>
      </c>
      <c r="AQ118" s="18">
        <v>7038.9415652233001</v>
      </c>
      <c r="AR118" s="19">
        <v>5.9231997509554503E-3</v>
      </c>
      <c r="AS118" s="18">
        <v>8453.7795047852105</v>
      </c>
      <c r="AT118" s="19">
        <v>7.7668481549635297E-3</v>
      </c>
      <c r="AU118" s="18">
        <v>1277.0908621486501</v>
      </c>
      <c r="AV118" s="19">
        <v>2.1687994814375802E-2</v>
      </c>
      <c r="AW118" s="18">
        <v>2198.3555730743601</v>
      </c>
      <c r="AX118" s="19">
        <v>7.7464863417573398E-3</v>
      </c>
      <c r="AY118" s="18">
        <v>472.70206641963398</v>
      </c>
      <c r="AZ118" s="19">
        <v>4.9871375566263899E-3</v>
      </c>
      <c r="BA118" s="18">
        <v>4601.32241258874</v>
      </c>
      <c r="BB118" s="19">
        <v>1.8050056903656998E-2</v>
      </c>
      <c r="BC118" s="18">
        <v>7565.1895937090403</v>
      </c>
      <c r="BD118" s="19">
        <v>1.12721863506007E-2</v>
      </c>
      <c r="BE118" s="18">
        <v>-2939.7724158630599</v>
      </c>
      <c r="BF118" s="19">
        <v>-1.53870424272395E-3</v>
      </c>
      <c r="BG118" s="18"/>
      <c r="BH118" s="19"/>
    </row>
    <row r="119" spans="1:60" x14ac:dyDescent="0.15">
      <c r="A119" s="17">
        <v>2006</v>
      </c>
      <c r="B119" s="17">
        <v>4</v>
      </c>
      <c r="C119" s="18">
        <v>145758.48244237399</v>
      </c>
      <c r="D119" s="19">
        <v>1.5125882049935801E-2</v>
      </c>
      <c r="E119" s="18">
        <v>141022.915554176</v>
      </c>
      <c r="F119" s="19">
        <v>1.47595565517755E-2</v>
      </c>
      <c r="G119" s="18">
        <v>1127.55065528296</v>
      </c>
      <c r="H119" s="19">
        <v>1.19155935159421E-2</v>
      </c>
      <c r="I119" s="18">
        <v>196.419927526805</v>
      </c>
      <c r="J119" s="19">
        <v>2.18778136670357E-2</v>
      </c>
      <c r="K119" s="18">
        <v>25461.660119783901</v>
      </c>
      <c r="L119" s="19">
        <v>2.5972732934880699E-2</v>
      </c>
      <c r="M119" s="18">
        <v>4593.8894834744096</v>
      </c>
      <c r="N119" s="19">
        <v>4.7618779209220898E-2</v>
      </c>
      <c r="O119" s="18">
        <v>22320.797229297201</v>
      </c>
      <c r="P119" s="19">
        <v>1.7915954699418101E-2</v>
      </c>
      <c r="Q119" s="18">
        <v>3444.3736150419099</v>
      </c>
      <c r="R119" s="19">
        <v>9.0239849942210792E-3</v>
      </c>
      <c r="S119" s="18">
        <v>491.02916503028098</v>
      </c>
      <c r="T119" s="19">
        <v>-6.5269980592778101E-3</v>
      </c>
      <c r="U119" s="18">
        <v>7117.5232627454398</v>
      </c>
      <c r="V119" s="19">
        <v>-1.4213666445318299E-2</v>
      </c>
      <c r="W119" s="18">
        <v>21038.2744875467</v>
      </c>
      <c r="X119" s="19">
        <v>2.33571618058026E-2</v>
      </c>
      <c r="Y119" s="18">
        <v>5104.6629503716804</v>
      </c>
      <c r="Z119" s="19">
        <v>7.9345010996865195E-3</v>
      </c>
      <c r="AA119" s="18">
        <v>6642.5988179311098</v>
      </c>
      <c r="AB119" s="19">
        <v>1.4540182493302901E-2</v>
      </c>
      <c r="AC119" s="18">
        <v>3450.3619247411202</v>
      </c>
      <c r="AD119" s="19">
        <v>2.5859921980939701E-3</v>
      </c>
      <c r="AE119" s="18">
        <v>6113.5563875309299</v>
      </c>
      <c r="AF119" s="19">
        <v>3.48914535388456E-3</v>
      </c>
      <c r="AG119" s="18">
        <v>12430.0867938213</v>
      </c>
      <c r="AH119" s="19">
        <v>3.4161229755371697E-2</v>
      </c>
      <c r="AI119" s="18">
        <v>6883.1238555066602</v>
      </c>
      <c r="AJ119" s="19">
        <v>4.45115730626797E-2</v>
      </c>
      <c r="AK119" s="18">
        <v>3725.9123751134498</v>
      </c>
      <c r="AL119" s="19">
        <v>-4.1336727335705698E-4</v>
      </c>
      <c r="AM119" s="18">
        <v>25214.035369897301</v>
      </c>
      <c r="AN119" s="19">
        <v>4.0129691214516603E-3</v>
      </c>
      <c r="AO119" s="18">
        <v>9968.1385451644201</v>
      </c>
      <c r="AP119" s="19">
        <v>7.0568407090909604E-3</v>
      </c>
      <c r="AQ119" s="18">
        <v>6997.8911503560103</v>
      </c>
      <c r="AR119" s="19">
        <v>-5.83190164130687E-3</v>
      </c>
      <c r="AS119" s="18">
        <v>8518.1790321524495</v>
      </c>
      <c r="AT119" s="19">
        <v>7.6178385455625301E-3</v>
      </c>
      <c r="AU119" s="18">
        <v>1283.63642549168</v>
      </c>
      <c r="AV119" s="19">
        <v>5.1253701181550601E-3</v>
      </c>
      <c r="AW119" s="18">
        <v>2202.8480472334099</v>
      </c>
      <c r="AX119" s="19">
        <v>2.04356120278137E-3</v>
      </c>
      <c r="AY119" s="18">
        <v>476.05385704569801</v>
      </c>
      <c r="AZ119" s="19">
        <v>7.0907044080683601E-3</v>
      </c>
      <c r="BA119" s="18">
        <v>4713.3266659594101</v>
      </c>
      <c r="BB119" s="19">
        <v>2.4341752941336999E-2</v>
      </c>
      <c r="BC119" s="18">
        <v>7644.8768145957902</v>
      </c>
      <c r="BD119" s="19">
        <v>1.05334069820289E-2</v>
      </c>
      <c r="BE119" s="18">
        <v>-2892.5071561998402</v>
      </c>
      <c r="BF119" s="19">
        <v>-1.6077863513574799E-2</v>
      </c>
      <c r="BG119" s="18"/>
      <c r="BH119" s="19"/>
    </row>
    <row r="120" spans="1:60" x14ac:dyDescent="0.15">
      <c r="A120" s="17">
        <v>2007</v>
      </c>
      <c r="B120" s="17">
        <v>1</v>
      </c>
      <c r="C120" s="18">
        <v>146828.81039849899</v>
      </c>
      <c r="D120" s="19">
        <v>7.3431606736729096E-3</v>
      </c>
      <c r="E120" s="18">
        <v>142013.03937696901</v>
      </c>
      <c r="F120" s="19">
        <v>7.0210137047788104E-3</v>
      </c>
      <c r="G120" s="18">
        <v>1179.68319607073</v>
      </c>
      <c r="H120" s="19">
        <v>4.6235209516762403E-2</v>
      </c>
      <c r="I120" s="18">
        <v>195.602496983386</v>
      </c>
      <c r="J120" s="19">
        <v>-4.1616477193116E-3</v>
      </c>
      <c r="K120" s="18">
        <v>25396.970512637901</v>
      </c>
      <c r="L120" s="19">
        <v>-2.5406672951300301E-3</v>
      </c>
      <c r="M120" s="18">
        <v>4539.9863464711298</v>
      </c>
      <c r="N120" s="19">
        <v>-1.17336599404897E-2</v>
      </c>
      <c r="O120" s="18">
        <v>22346.968281354701</v>
      </c>
      <c r="P120" s="19">
        <v>1.1724962952111E-3</v>
      </c>
      <c r="Q120" s="18">
        <v>3416.8879833630299</v>
      </c>
      <c r="R120" s="19">
        <v>-7.9798636126036104E-3</v>
      </c>
      <c r="S120" s="18">
        <v>480.79696579695599</v>
      </c>
      <c r="T120" s="19">
        <v>-2.0838271862516598E-2</v>
      </c>
      <c r="U120" s="18">
        <v>7075.0862438377999</v>
      </c>
      <c r="V120" s="19">
        <v>-5.9623294987686303E-3</v>
      </c>
      <c r="W120" s="18">
        <v>21399.287703305799</v>
      </c>
      <c r="X120" s="19">
        <v>1.7159830097888799E-2</v>
      </c>
      <c r="Y120" s="18">
        <v>5157.5311226642798</v>
      </c>
      <c r="Z120" s="19">
        <v>1.03568389934057E-2</v>
      </c>
      <c r="AA120" s="18">
        <v>6668.1628010786899</v>
      </c>
      <c r="AB120" s="19">
        <v>3.8484912077749699E-3</v>
      </c>
      <c r="AC120" s="18">
        <v>3467.4106923557702</v>
      </c>
      <c r="AD120" s="19">
        <v>4.9411534170960003E-3</v>
      </c>
      <c r="AE120" s="18">
        <v>6085.6080636491397</v>
      </c>
      <c r="AF120" s="19">
        <v>-4.5715328542306199E-3</v>
      </c>
      <c r="AG120" s="18">
        <v>12676.936200611301</v>
      </c>
      <c r="AH120" s="19">
        <v>1.98590251930253E-2</v>
      </c>
      <c r="AI120" s="18">
        <v>7067.8724635761801</v>
      </c>
      <c r="AJ120" s="19">
        <v>2.6840808323057401E-2</v>
      </c>
      <c r="AK120" s="18">
        <v>3712.9218822123298</v>
      </c>
      <c r="AL120" s="19">
        <v>-3.4865266794507099E-3</v>
      </c>
      <c r="AM120" s="18">
        <v>25387.960159747599</v>
      </c>
      <c r="AN120" s="19">
        <v>6.8979355069023196E-3</v>
      </c>
      <c r="AO120" s="18">
        <v>10043.2019539955</v>
      </c>
      <c r="AP120" s="19">
        <v>7.5303336215648596E-3</v>
      </c>
      <c r="AQ120" s="18">
        <v>7020.8773808197502</v>
      </c>
      <c r="AR120" s="19">
        <v>3.2847367828188201E-3</v>
      </c>
      <c r="AS120" s="18">
        <v>8582.0930702617097</v>
      </c>
      <c r="AT120" s="19">
        <v>7.5032513249615497E-3</v>
      </c>
      <c r="AU120" s="18">
        <v>1317.3182047405601</v>
      </c>
      <c r="AV120" s="19">
        <v>2.62393451759355E-2</v>
      </c>
      <c r="AW120" s="18">
        <v>2216.9186783909099</v>
      </c>
      <c r="AX120" s="19">
        <v>6.3874724246941704E-3</v>
      </c>
      <c r="AY120" s="18">
        <v>480.29501355307599</v>
      </c>
      <c r="AZ120" s="19">
        <v>8.9089846550087799E-3</v>
      </c>
      <c r="BA120" s="18">
        <v>4787.9581469978202</v>
      </c>
      <c r="BB120" s="19">
        <v>1.5834141430809901E-2</v>
      </c>
      <c r="BC120" s="18">
        <v>7701.2007683292904</v>
      </c>
      <c r="BD120" s="19">
        <v>7.3675423554207002E-3</v>
      </c>
      <c r="BE120" s="18">
        <v>-2865.8150722063801</v>
      </c>
      <c r="BF120" s="19">
        <v>-9.2280096649907106E-3</v>
      </c>
      <c r="BG120" s="18"/>
      <c r="BH120" s="19"/>
    </row>
    <row r="121" spans="1:60" x14ac:dyDescent="0.15">
      <c r="A121" s="17">
        <v>2007</v>
      </c>
      <c r="B121" s="17">
        <v>2</v>
      </c>
      <c r="C121" s="18">
        <v>148919.87338455999</v>
      </c>
      <c r="D121" s="19">
        <v>1.4241503287986301E-2</v>
      </c>
      <c r="E121" s="18">
        <v>144017.47207682001</v>
      </c>
      <c r="F121" s="19">
        <v>1.41144271585503E-2</v>
      </c>
      <c r="G121" s="18">
        <v>1196.78633417432</v>
      </c>
      <c r="H121" s="19">
        <v>1.4498077246974101E-2</v>
      </c>
      <c r="I121" s="18">
        <v>189.90273666725099</v>
      </c>
      <c r="J121" s="19">
        <v>-2.9139506928783299E-2</v>
      </c>
      <c r="K121" s="18">
        <v>25740.040374131699</v>
      </c>
      <c r="L121" s="19">
        <v>1.3508298610778799E-2</v>
      </c>
      <c r="M121" s="18">
        <v>4596.3871084805296</v>
      </c>
      <c r="N121" s="19">
        <v>1.2423112693551199E-2</v>
      </c>
      <c r="O121" s="18">
        <v>22657.765605166202</v>
      </c>
      <c r="P121" s="19">
        <v>1.3907807085887999E-2</v>
      </c>
      <c r="Q121" s="18">
        <v>3540.8877582423002</v>
      </c>
      <c r="R121" s="19">
        <v>3.6290266313392598E-2</v>
      </c>
      <c r="S121" s="18">
        <v>478.36767161084998</v>
      </c>
      <c r="T121" s="19">
        <v>-5.0526404260454703E-3</v>
      </c>
      <c r="U121" s="18">
        <v>7025.1949947767198</v>
      </c>
      <c r="V121" s="19">
        <v>-7.0516806921658796E-3</v>
      </c>
      <c r="W121" s="18">
        <v>21600.461297234298</v>
      </c>
      <c r="X121" s="19">
        <v>9.4009481398507101E-3</v>
      </c>
      <c r="Y121" s="18">
        <v>5189.3284084499201</v>
      </c>
      <c r="Z121" s="19">
        <v>6.1652145240402899E-3</v>
      </c>
      <c r="AA121" s="18">
        <v>6765.1699655694401</v>
      </c>
      <c r="AB121" s="19">
        <v>1.45478098517711E-2</v>
      </c>
      <c r="AC121" s="18">
        <v>3582.5020434094399</v>
      </c>
      <c r="AD121" s="19">
        <v>3.3192304363425899E-2</v>
      </c>
      <c r="AE121" s="18">
        <v>6127.93362916564</v>
      </c>
      <c r="AF121" s="19">
        <v>6.9550265271471901E-3</v>
      </c>
      <c r="AG121" s="18">
        <v>13226.810366006601</v>
      </c>
      <c r="AH121" s="19">
        <v>4.3375951152043297E-2</v>
      </c>
      <c r="AI121" s="18">
        <v>7534.7934580169704</v>
      </c>
      <c r="AJ121" s="19">
        <v>6.6062453283789693E-2</v>
      </c>
      <c r="AK121" s="18">
        <v>3735.40024008101</v>
      </c>
      <c r="AL121" s="19">
        <v>6.05408855391509E-3</v>
      </c>
      <c r="AM121" s="18">
        <v>25597.475806725299</v>
      </c>
      <c r="AN121" s="19">
        <v>8.2525593099775901E-3</v>
      </c>
      <c r="AO121" s="18">
        <v>10103.6179128736</v>
      </c>
      <c r="AP121" s="19">
        <v>6.0156072888739604E-3</v>
      </c>
      <c r="AQ121" s="18">
        <v>7058.3465326502701</v>
      </c>
      <c r="AR121" s="19">
        <v>5.3368190039724296E-3</v>
      </c>
      <c r="AS121" s="18">
        <v>8709.4675156288504</v>
      </c>
      <c r="AT121" s="19">
        <v>1.48418858108776E-2</v>
      </c>
      <c r="AU121" s="18">
        <v>1326.99992718812</v>
      </c>
      <c r="AV121" s="19">
        <v>7.3495700679799799E-3</v>
      </c>
      <c r="AW121" s="18">
        <v>2215.6935885573798</v>
      </c>
      <c r="AX121" s="19">
        <v>-5.5260927947942096E-4</v>
      </c>
      <c r="AY121" s="18">
        <v>486.30791227244703</v>
      </c>
      <c r="AZ121" s="19">
        <v>1.25191779004508E-2</v>
      </c>
      <c r="BA121" s="18">
        <v>4871.5760373315998</v>
      </c>
      <c r="BB121" s="19">
        <v>1.74642066130439E-2</v>
      </c>
      <c r="BC121" s="18">
        <v>7784.28738807642</v>
      </c>
      <c r="BD121" s="19">
        <v>1.0788787650986899E-2</v>
      </c>
      <c r="BE121" s="18">
        <v>-2857.7093837341799</v>
      </c>
      <c r="BF121" s="19">
        <v>-2.8284059745551401E-3</v>
      </c>
      <c r="BG121" s="18"/>
      <c r="BH121" s="19"/>
    </row>
    <row r="122" spans="1:60" x14ac:dyDescent="0.15">
      <c r="A122" s="17">
        <v>2007</v>
      </c>
      <c r="B122" s="17">
        <v>3</v>
      </c>
      <c r="C122" s="18">
        <v>150153.19151272401</v>
      </c>
      <c r="D122" s="19">
        <v>8.2817564918193903E-3</v>
      </c>
      <c r="E122" s="18">
        <v>145193.64680327199</v>
      </c>
      <c r="F122" s="19">
        <v>8.1668891245667598E-3</v>
      </c>
      <c r="G122" s="18">
        <v>1203.49188887793</v>
      </c>
      <c r="H122" s="19">
        <v>5.6029673068020997E-3</v>
      </c>
      <c r="I122" s="18">
        <v>189.36462219064401</v>
      </c>
      <c r="J122" s="19">
        <v>-2.8336320268517201E-3</v>
      </c>
      <c r="K122" s="18">
        <v>26294.727630081001</v>
      </c>
      <c r="L122" s="19">
        <v>2.15495876419356E-2</v>
      </c>
      <c r="M122" s="18">
        <v>4753.0396245913298</v>
      </c>
      <c r="N122" s="19">
        <v>3.4081662926469698E-2</v>
      </c>
      <c r="O122" s="18">
        <v>23041.6491366396</v>
      </c>
      <c r="P122" s="19">
        <v>1.6942691444643099E-2</v>
      </c>
      <c r="Q122" s="18">
        <v>3683.3430862627902</v>
      </c>
      <c r="R122" s="19">
        <v>4.0231528855689397E-2</v>
      </c>
      <c r="S122" s="18">
        <v>468.43837670429599</v>
      </c>
      <c r="T122" s="19">
        <v>-2.0756617756209302E-2</v>
      </c>
      <c r="U122" s="18">
        <v>7051.46999387306</v>
      </c>
      <c r="V122" s="19">
        <v>3.74010957928839E-3</v>
      </c>
      <c r="W122" s="18">
        <v>21545.010418219499</v>
      </c>
      <c r="X122" s="19">
        <v>-2.5671155005347899E-3</v>
      </c>
      <c r="Y122" s="18">
        <v>5221.6815906064403</v>
      </c>
      <c r="Z122" s="19">
        <v>6.2345605461864304E-3</v>
      </c>
      <c r="AA122" s="18">
        <v>6823.0632702497896</v>
      </c>
      <c r="AB122" s="19">
        <v>8.5575536128428293E-3</v>
      </c>
      <c r="AC122" s="18">
        <v>3639.0597465105502</v>
      </c>
      <c r="AD122" s="19">
        <v>1.57872074923604E-2</v>
      </c>
      <c r="AE122" s="18">
        <v>6187.7599225896402</v>
      </c>
      <c r="AF122" s="19">
        <v>9.7628820813691099E-3</v>
      </c>
      <c r="AG122" s="18">
        <v>13239.9697785235</v>
      </c>
      <c r="AH122" s="19">
        <v>9.9490445184935395E-4</v>
      </c>
      <c r="AI122" s="18">
        <v>7493.4710425635203</v>
      </c>
      <c r="AJ122" s="19">
        <v>-5.4842134271751997E-3</v>
      </c>
      <c r="AK122" s="18">
        <v>3793.1670391759999</v>
      </c>
      <c r="AL122" s="19">
        <v>1.5464687953690199E-2</v>
      </c>
      <c r="AM122" s="18">
        <v>25903.959943022001</v>
      </c>
      <c r="AN122" s="19">
        <v>1.19732171488656E-2</v>
      </c>
      <c r="AO122" s="18">
        <v>10104.7507936693</v>
      </c>
      <c r="AP122" s="19">
        <v>1.12126250768396E-4</v>
      </c>
      <c r="AQ122" s="18">
        <v>7079.9381162990203</v>
      </c>
      <c r="AR122" s="19">
        <v>3.0590143950672802E-3</v>
      </c>
      <c r="AS122" s="18">
        <v>8759.8963917579295</v>
      </c>
      <c r="AT122" s="19">
        <v>5.7901216163429598E-3</v>
      </c>
      <c r="AU122" s="18">
        <v>1334.86594421066</v>
      </c>
      <c r="AV122" s="19">
        <v>5.9276695208281297E-3</v>
      </c>
      <c r="AW122" s="18">
        <v>2223.8573049020902</v>
      </c>
      <c r="AX122" s="19">
        <v>3.6844969840925698E-3</v>
      </c>
      <c r="AY122" s="18">
        <v>494.33660709381797</v>
      </c>
      <c r="AZ122" s="19">
        <v>1.65094883689101E-2</v>
      </c>
      <c r="BA122" s="18">
        <v>4925.9980143168996</v>
      </c>
      <c r="BB122" s="19">
        <v>1.11713286559123E-2</v>
      </c>
      <c r="BC122" s="18">
        <v>7846.2071142976702</v>
      </c>
      <c r="BD122" s="19">
        <v>7.9544501807702304E-3</v>
      </c>
      <c r="BE122" s="18">
        <v>-2861.30665836453</v>
      </c>
      <c r="BF122" s="19">
        <v>1.25879652102867E-3</v>
      </c>
      <c r="BG122" s="18"/>
      <c r="BH122" s="19"/>
    </row>
    <row r="123" spans="1:60" x14ac:dyDescent="0.15">
      <c r="A123" s="17">
        <v>2007</v>
      </c>
      <c r="B123" s="17">
        <v>4</v>
      </c>
      <c r="C123" s="18">
        <v>151002.09473214799</v>
      </c>
      <c r="D123" s="19">
        <v>5.6535809254030199E-3</v>
      </c>
      <c r="E123" s="18">
        <v>146062.027783642</v>
      </c>
      <c r="F123" s="19">
        <v>5.9808469550119998E-3</v>
      </c>
      <c r="G123" s="18">
        <v>1201.98654646871</v>
      </c>
      <c r="H123" s="19">
        <v>-1.25081225983503E-3</v>
      </c>
      <c r="I123" s="18">
        <v>197.31768412872901</v>
      </c>
      <c r="J123" s="19">
        <v>4.1998668209938299E-2</v>
      </c>
      <c r="K123" s="18">
        <v>26643.205665767699</v>
      </c>
      <c r="L123" s="19">
        <v>1.3252772213087301E-2</v>
      </c>
      <c r="M123" s="18">
        <v>4754.5773549726</v>
      </c>
      <c r="N123" s="19">
        <v>3.23525680980374E-4</v>
      </c>
      <c r="O123" s="18">
        <v>23458.375208334299</v>
      </c>
      <c r="P123" s="19">
        <v>1.8085774556474199E-2</v>
      </c>
      <c r="Q123" s="18">
        <v>3611.8663702715799</v>
      </c>
      <c r="R123" s="19">
        <v>-1.9405391872882601E-2</v>
      </c>
      <c r="S123" s="18">
        <v>446.638273930884</v>
      </c>
      <c r="T123" s="19">
        <v>-4.65378240928657E-2</v>
      </c>
      <c r="U123" s="18">
        <v>7166.1020771481499</v>
      </c>
      <c r="V123" s="19">
        <v>1.6256480333135301E-2</v>
      </c>
      <c r="W123" s="18">
        <v>21478.941038698598</v>
      </c>
      <c r="X123" s="19">
        <v>-3.0665744986155801E-3</v>
      </c>
      <c r="Y123" s="18">
        <v>5283.21211213897</v>
      </c>
      <c r="Z123" s="19">
        <v>1.17836601992758E-2</v>
      </c>
      <c r="AA123" s="18">
        <v>6677.5960340674101</v>
      </c>
      <c r="AB123" s="19">
        <v>-2.1319930714500401E-2</v>
      </c>
      <c r="AC123" s="18">
        <v>3696.5928011736401</v>
      </c>
      <c r="AD123" s="19">
        <v>1.5809868117241398E-2</v>
      </c>
      <c r="AE123" s="18">
        <v>6267.9701010896597</v>
      </c>
      <c r="AF123" s="19">
        <v>1.2962716637922299E-2</v>
      </c>
      <c r="AG123" s="18">
        <v>13278.232551069599</v>
      </c>
      <c r="AH123" s="19">
        <v>2.8899441000394001E-3</v>
      </c>
      <c r="AI123" s="18">
        <v>7446.7649582622698</v>
      </c>
      <c r="AJ123" s="19">
        <v>-6.2329038220013703E-3</v>
      </c>
      <c r="AK123" s="18">
        <v>3886.9759757509701</v>
      </c>
      <c r="AL123" s="19">
        <v>2.47310323025858E-2</v>
      </c>
      <c r="AM123" s="18">
        <v>26295.752472771099</v>
      </c>
      <c r="AN123" s="19">
        <v>1.51248122144583E-2</v>
      </c>
      <c r="AO123" s="18">
        <v>10103.143867443099</v>
      </c>
      <c r="AP123" s="19">
        <v>-1.5902680422974499E-4</v>
      </c>
      <c r="AQ123" s="18">
        <v>7118.8785927113504</v>
      </c>
      <c r="AR123" s="19">
        <v>5.5001153643821103E-3</v>
      </c>
      <c r="AS123" s="18">
        <v>8853.6330826717094</v>
      </c>
      <c r="AT123" s="19">
        <v>1.0700662053716401E-2</v>
      </c>
      <c r="AU123" s="18">
        <v>1333.7260701057201</v>
      </c>
      <c r="AV123" s="19">
        <v>-8.5392402876294205E-4</v>
      </c>
      <c r="AW123" s="18">
        <v>2241.40586698788</v>
      </c>
      <c r="AX123" s="19">
        <v>7.8910468073198903E-3</v>
      </c>
      <c r="AY123" s="18">
        <v>504.84545938235902</v>
      </c>
      <c r="AZ123" s="19">
        <v>2.12584949966035E-2</v>
      </c>
      <c r="BA123" s="18">
        <v>4913.39768401529</v>
      </c>
      <c r="BB123" s="19">
        <v>-2.5579243566443699E-3</v>
      </c>
      <c r="BC123" s="18">
        <v>7862.8395320052696</v>
      </c>
      <c r="BD123" s="19">
        <v>2.1198035516154499E-3</v>
      </c>
      <c r="BE123" s="18">
        <v>-2895.5063648586101</v>
      </c>
      <c r="BF123" s="19">
        <v>1.1952478562231099E-2</v>
      </c>
      <c r="BG123" s="18"/>
      <c r="BH123" s="19"/>
    </row>
    <row r="124" spans="1:60" x14ac:dyDescent="0.15">
      <c r="A124" s="17">
        <v>2008</v>
      </c>
      <c r="B124" s="17">
        <v>1</v>
      </c>
      <c r="C124" s="18">
        <v>151984.76074889701</v>
      </c>
      <c r="D124" s="19">
        <v>6.50763168876267E-3</v>
      </c>
      <c r="E124" s="18">
        <v>147015.41317543201</v>
      </c>
      <c r="F124" s="19">
        <v>6.5272638361684203E-3</v>
      </c>
      <c r="G124" s="18">
        <v>1181.88579734369</v>
      </c>
      <c r="H124" s="19">
        <v>-1.67229401893676E-2</v>
      </c>
      <c r="I124" s="18">
        <v>195.85181946821299</v>
      </c>
      <c r="J124" s="19">
        <v>-7.4289573536655603E-3</v>
      </c>
      <c r="K124" s="18">
        <v>27093.119350637</v>
      </c>
      <c r="L124" s="19">
        <v>1.6886619820204E-2</v>
      </c>
      <c r="M124" s="18">
        <v>4859.8423079516097</v>
      </c>
      <c r="N124" s="19">
        <v>2.21397077216368E-2</v>
      </c>
      <c r="O124" s="18">
        <v>23809.419175372499</v>
      </c>
      <c r="P124" s="19">
        <v>1.4964547370418999E-2</v>
      </c>
      <c r="Q124" s="18">
        <v>3630.2270474577499</v>
      </c>
      <c r="R124" s="19">
        <v>5.0834320276322799E-3</v>
      </c>
      <c r="S124" s="18">
        <v>416.53408802121299</v>
      </c>
      <c r="T124" s="19">
        <v>-6.7401715586804606E-2</v>
      </c>
      <c r="U124" s="18">
        <v>7223.2367947030598</v>
      </c>
      <c r="V124" s="19">
        <v>7.9729142761042499E-3</v>
      </c>
      <c r="W124" s="18">
        <v>21796.347081489599</v>
      </c>
      <c r="X124" s="19">
        <v>1.4777546165760699E-2</v>
      </c>
      <c r="Y124" s="18">
        <v>5356.2277975479601</v>
      </c>
      <c r="Z124" s="19">
        <v>1.3820320641911601E-2</v>
      </c>
      <c r="AA124" s="18">
        <v>6726.9737842300501</v>
      </c>
      <c r="AB124" s="19">
        <v>7.3945398779318196E-3</v>
      </c>
      <c r="AC124" s="18">
        <v>3741.03506126603</v>
      </c>
      <c r="AD124" s="19">
        <v>1.20224927339256E-2</v>
      </c>
      <c r="AE124" s="18">
        <v>6396.4275220296004</v>
      </c>
      <c r="AF124" s="19">
        <v>2.04942619170447E-2</v>
      </c>
      <c r="AG124" s="18">
        <v>12812.959759485801</v>
      </c>
      <c r="AH124" s="19">
        <v>-3.5040265321033999E-2</v>
      </c>
      <c r="AI124" s="18">
        <v>6917.6926770946802</v>
      </c>
      <c r="AJ124" s="19">
        <v>-7.1047264702584295E-2</v>
      </c>
      <c r="AK124" s="18">
        <v>4018.5348026399201</v>
      </c>
      <c r="AL124" s="19">
        <v>3.3846061233639299E-2</v>
      </c>
      <c r="AM124" s="18">
        <v>26688.9216569817</v>
      </c>
      <c r="AN124" s="19">
        <v>1.4951813400958301E-2</v>
      </c>
      <c r="AO124" s="18">
        <v>10192.5263817542</v>
      </c>
      <c r="AP124" s="19">
        <v>8.8470000510572095E-3</v>
      </c>
      <c r="AQ124" s="18">
        <v>7088.86197509256</v>
      </c>
      <c r="AR124" s="19">
        <v>-4.2164811813928402E-3</v>
      </c>
      <c r="AS124" s="18">
        <v>9003.3315162663603</v>
      </c>
      <c r="AT124" s="19">
        <v>1.6908136151208002E-2</v>
      </c>
      <c r="AU124" s="18">
        <v>1309.9338254234899</v>
      </c>
      <c r="AV124" s="19">
        <v>-1.7838929009117301E-2</v>
      </c>
      <c r="AW124" s="18">
        <v>2267.0276232415799</v>
      </c>
      <c r="AX124" s="19">
        <v>1.14311096580362E-2</v>
      </c>
      <c r="AY124" s="18">
        <v>517.27159069336301</v>
      </c>
      <c r="AZ124" s="19">
        <v>2.4613732935632199E-2</v>
      </c>
      <c r="BA124" s="18">
        <v>4942.5565415567598</v>
      </c>
      <c r="BB124" s="19">
        <v>5.9345608511056601E-3</v>
      </c>
      <c r="BC124" s="18">
        <v>7922.5502984299301</v>
      </c>
      <c r="BD124" s="19">
        <v>7.5940461688959199E-3</v>
      </c>
      <c r="BE124" s="18">
        <v>-2927.5153829610299</v>
      </c>
      <c r="BF124" s="19">
        <v>1.1054722065508799E-2</v>
      </c>
      <c r="BG124" s="18"/>
      <c r="BH124" s="19"/>
    </row>
    <row r="125" spans="1:60" x14ac:dyDescent="0.15">
      <c r="A125" s="17">
        <v>2008</v>
      </c>
      <c r="B125" s="17">
        <v>2</v>
      </c>
      <c r="C125" s="18">
        <v>153443.730846741</v>
      </c>
      <c r="D125" s="19">
        <v>9.5994499096807608E-3</v>
      </c>
      <c r="E125" s="18">
        <v>148424.531017651</v>
      </c>
      <c r="F125" s="19">
        <v>9.5848306771595393E-3</v>
      </c>
      <c r="G125" s="18">
        <v>1183.52028343553</v>
      </c>
      <c r="H125" s="19">
        <v>1.3829475703261999E-3</v>
      </c>
      <c r="I125" s="18">
        <v>194.954688600396</v>
      </c>
      <c r="J125" s="19">
        <v>-4.5806613911114598E-3</v>
      </c>
      <c r="K125" s="18">
        <v>27826.835902717499</v>
      </c>
      <c r="L125" s="19">
        <v>2.7081287414151899E-2</v>
      </c>
      <c r="M125" s="18">
        <v>5145.90146769271</v>
      </c>
      <c r="N125" s="19">
        <v>5.8861819296697898E-2</v>
      </c>
      <c r="O125" s="18">
        <v>24178.472600523201</v>
      </c>
      <c r="P125" s="19">
        <v>1.55003119745332E-2</v>
      </c>
      <c r="Q125" s="18">
        <v>3747.6813739715999</v>
      </c>
      <c r="R125" s="19">
        <v>3.2354540082033797E-2</v>
      </c>
      <c r="S125" s="18">
        <v>385.55981776472402</v>
      </c>
      <c r="T125" s="19">
        <v>-7.4361909738613605E-2</v>
      </c>
      <c r="U125" s="18">
        <v>7186.6624890284202</v>
      </c>
      <c r="V125" s="19">
        <v>-5.0634233258788396E-3</v>
      </c>
      <c r="W125" s="18">
        <v>22099.474827321599</v>
      </c>
      <c r="X125" s="19">
        <v>1.39072728424952E-2</v>
      </c>
      <c r="Y125" s="18">
        <v>5399.0881250223101</v>
      </c>
      <c r="Z125" s="19">
        <v>8.0019612858830396E-3</v>
      </c>
      <c r="AA125" s="18">
        <v>6575.5639479937199</v>
      </c>
      <c r="AB125" s="19">
        <v>-2.2507867741549899E-2</v>
      </c>
      <c r="AC125" s="18">
        <v>3770.1187086508398</v>
      </c>
      <c r="AD125" s="19">
        <v>7.7742247555840898E-3</v>
      </c>
      <c r="AE125" s="18">
        <v>6468.3830023725204</v>
      </c>
      <c r="AF125" s="19">
        <v>1.12493231722091E-2</v>
      </c>
      <c r="AG125" s="18">
        <v>12660.4419190974</v>
      </c>
      <c r="AH125" s="19">
        <v>-1.19034043071502E-2</v>
      </c>
      <c r="AI125" s="18">
        <v>6671.8924377202102</v>
      </c>
      <c r="AJ125" s="19">
        <v>-3.55321132128842E-2</v>
      </c>
      <c r="AK125" s="18">
        <v>4131.8760787523597</v>
      </c>
      <c r="AL125" s="19">
        <v>2.82046272283085E-2</v>
      </c>
      <c r="AM125" s="18">
        <v>27062.5638486063</v>
      </c>
      <c r="AN125" s="19">
        <v>1.39998984007967E-2</v>
      </c>
      <c r="AO125" s="18">
        <v>10219.794200640699</v>
      </c>
      <c r="AP125" s="19">
        <v>2.6752757721908399E-3</v>
      </c>
      <c r="AQ125" s="18">
        <v>7058.7016147724598</v>
      </c>
      <c r="AR125" s="19">
        <v>-4.2546124365336899E-3</v>
      </c>
      <c r="AS125" s="18">
        <v>9170.5800236067898</v>
      </c>
      <c r="AT125" s="19">
        <v>1.85762911249308E-2</v>
      </c>
      <c r="AU125" s="18">
        <v>1297.35668460433</v>
      </c>
      <c r="AV125" s="19">
        <v>-9.6013558662798593E-3</v>
      </c>
      <c r="AW125" s="18">
        <v>2283.3038275282702</v>
      </c>
      <c r="AX125" s="19">
        <v>7.1795350527819003E-3</v>
      </c>
      <c r="AY125" s="18">
        <v>526.25330104799605</v>
      </c>
      <c r="AZ125" s="19">
        <v>1.7363625832598199E-2</v>
      </c>
      <c r="BA125" s="18">
        <v>4991.8738997241599</v>
      </c>
      <c r="BB125" s="19">
        <v>9.9781070287687807E-3</v>
      </c>
      <c r="BC125" s="18">
        <v>7985.2094726051</v>
      </c>
      <c r="BD125" s="19">
        <v>7.9089651456789607E-3</v>
      </c>
      <c r="BE125" s="18">
        <v>-2938.1133370100101</v>
      </c>
      <c r="BF125" s="19">
        <v>3.6201189960149999E-3</v>
      </c>
      <c r="BG125" s="18"/>
      <c r="BH125" s="19"/>
    </row>
    <row r="126" spans="1:60" x14ac:dyDescent="0.15">
      <c r="A126" s="17">
        <v>2008</v>
      </c>
      <c r="B126" s="17">
        <v>3</v>
      </c>
      <c r="C126" s="18">
        <v>154212.52884482301</v>
      </c>
      <c r="D126" s="19">
        <v>5.0102926580337702E-3</v>
      </c>
      <c r="E126" s="18">
        <v>149174.568354847</v>
      </c>
      <c r="F126" s="19">
        <v>5.0533246226480699E-3</v>
      </c>
      <c r="G126" s="18">
        <v>1197.69212934143</v>
      </c>
      <c r="H126" s="19">
        <v>1.19743160334889E-2</v>
      </c>
      <c r="I126" s="18">
        <v>190.41637726549499</v>
      </c>
      <c r="J126" s="19">
        <v>-2.3278800666361999E-2</v>
      </c>
      <c r="K126" s="18">
        <v>27392.601002736301</v>
      </c>
      <c r="L126" s="19">
        <v>-1.56048967083197E-2</v>
      </c>
      <c r="M126" s="18">
        <v>4888.3537151341898</v>
      </c>
      <c r="N126" s="19">
        <v>-5.00491029949683E-2</v>
      </c>
      <c r="O126" s="18">
        <v>24117.6077558408</v>
      </c>
      <c r="P126" s="19">
        <v>-2.51731553468937E-3</v>
      </c>
      <c r="Q126" s="18">
        <v>3891.9125882098901</v>
      </c>
      <c r="R126" s="19">
        <v>3.8485452696166898E-2</v>
      </c>
      <c r="S126" s="18">
        <v>399.03762094139398</v>
      </c>
      <c r="T126" s="19">
        <v>3.4956451776555299E-2</v>
      </c>
      <c r="U126" s="18">
        <v>7135.99627447286</v>
      </c>
      <c r="V126" s="19">
        <v>-7.0500339528819502E-3</v>
      </c>
      <c r="W126" s="18">
        <v>22868.113827874</v>
      </c>
      <c r="X126" s="19">
        <v>3.4780871788053301E-2</v>
      </c>
      <c r="Y126" s="18">
        <v>5465.3687601875699</v>
      </c>
      <c r="Z126" s="19">
        <v>1.22762647377579E-2</v>
      </c>
      <c r="AA126" s="18">
        <v>6541.2985844621799</v>
      </c>
      <c r="AB126" s="19">
        <v>-5.2110151771842502E-3</v>
      </c>
      <c r="AC126" s="18">
        <v>3751.4563804785098</v>
      </c>
      <c r="AD126" s="19">
        <v>-4.9500638082051697E-3</v>
      </c>
      <c r="AE126" s="18">
        <v>6529.7879494199997</v>
      </c>
      <c r="AF126" s="19">
        <v>9.4930907809493998E-3</v>
      </c>
      <c r="AG126" s="18">
        <v>12674.993039192201</v>
      </c>
      <c r="AH126" s="19">
        <v>1.1493374550322101E-3</v>
      </c>
      <c r="AI126" s="18">
        <v>6615.2510537347398</v>
      </c>
      <c r="AJ126" s="19">
        <v>-8.4895529288284699E-3</v>
      </c>
      <c r="AK126" s="18">
        <v>4229.22458943948</v>
      </c>
      <c r="AL126" s="19">
        <v>2.3560365517185398E-2</v>
      </c>
      <c r="AM126" s="18">
        <v>27198.6905932798</v>
      </c>
      <c r="AN126" s="19">
        <v>5.0300756955252704E-3</v>
      </c>
      <c r="AO126" s="18">
        <v>10215.8861168694</v>
      </c>
      <c r="AP126" s="19">
        <v>-3.8240337276540499E-4</v>
      </c>
      <c r="AQ126" s="18">
        <v>7014.2017679833298</v>
      </c>
      <c r="AR126" s="19">
        <v>-6.3042538440775103E-3</v>
      </c>
      <c r="AS126" s="18">
        <v>9292.3109793785006</v>
      </c>
      <c r="AT126" s="19">
        <v>1.3274073772690201E-2</v>
      </c>
      <c r="AU126" s="18">
        <v>1323.61559260493</v>
      </c>
      <c r="AV126" s="19">
        <v>2.0240315028411601E-2</v>
      </c>
      <c r="AW126" s="18">
        <v>2301.98034122431</v>
      </c>
      <c r="AX126" s="19">
        <v>8.1796007482093404E-3</v>
      </c>
      <c r="AY126" s="18">
        <v>532.41315452621905</v>
      </c>
      <c r="AZ126" s="19">
        <v>1.17051113331845E-2</v>
      </c>
      <c r="BA126" s="18">
        <v>5011.5611914382498</v>
      </c>
      <c r="BB126" s="19">
        <v>3.9438679961805202E-3</v>
      </c>
      <c r="BC126" s="18">
        <v>8041.2371386095401</v>
      </c>
      <c r="BD126" s="19">
        <v>7.0164303386972496E-3</v>
      </c>
      <c r="BE126" s="18">
        <v>-2977.5589129357299</v>
      </c>
      <c r="BF126" s="19">
        <v>1.34254779857685E-2</v>
      </c>
      <c r="BG126" s="18"/>
      <c r="BH126" s="19"/>
    </row>
    <row r="127" spans="1:60" x14ac:dyDescent="0.15">
      <c r="A127" s="17">
        <v>2008</v>
      </c>
      <c r="B127" s="17">
        <v>4</v>
      </c>
      <c r="C127" s="18">
        <v>151098.03280016399</v>
      </c>
      <c r="D127" s="19">
        <v>-2.0196128472757799E-2</v>
      </c>
      <c r="E127" s="18">
        <v>146227.31334434199</v>
      </c>
      <c r="F127" s="19">
        <v>-1.9757087572021801E-2</v>
      </c>
      <c r="G127" s="18">
        <v>1218.81571874255</v>
      </c>
      <c r="H127" s="19">
        <v>1.7636910925296501E-2</v>
      </c>
      <c r="I127" s="18">
        <v>181.034783805459</v>
      </c>
      <c r="J127" s="19">
        <v>-4.9268837033674399E-2</v>
      </c>
      <c r="K127" s="18">
        <v>25222.615507116199</v>
      </c>
      <c r="L127" s="19">
        <v>-7.9217942662811305E-2</v>
      </c>
      <c r="M127" s="18">
        <v>4553.1130520749302</v>
      </c>
      <c r="N127" s="19">
        <v>-6.8579461020050997E-2</v>
      </c>
      <c r="O127" s="18">
        <v>22114.216694465998</v>
      </c>
      <c r="P127" s="19">
        <v>-8.3067569622016404E-2</v>
      </c>
      <c r="Q127" s="18">
        <v>3618.5811968398498</v>
      </c>
      <c r="R127" s="19">
        <v>-7.0230609032195093E-2</v>
      </c>
      <c r="S127" s="18">
        <v>466.76166497997201</v>
      </c>
      <c r="T127" s="19">
        <v>0.169718443786844</v>
      </c>
      <c r="U127" s="18">
        <v>7113.0528197610802</v>
      </c>
      <c r="V127" s="19">
        <v>-3.21517190162468E-3</v>
      </c>
      <c r="W127" s="18">
        <v>23232.446691563899</v>
      </c>
      <c r="X127" s="19">
        <v>1.5931915785981399E-2</v>
      </c>
      <c r="Y127" s="18">
        <v>5434.4820355313204</v>
      </c>
      <c r="Z127" s="19">
        <v>-5.6513523627599298E-3</v>
      </c>
      <c r="AA127" s="18">
        <v>6415.0065746185401</v>
      </c>
      <c r="AB127" s="19">
        <v>-1.9306871290606899E-2</v>
      </c>
      <c r="AC127" s="18">
        <v>3682.15446236762</v>
      </c>
      <c r="AD127" s="19">
        <v>-1.8473337040919899E-2</v>
      </c>
      <c r="AE127" s="18">
        <v>6463.9487079782202</v>
      </c>
      <c r="AF127" s="19">
        <v>-1.00829065127032E-2</v>
      </c>
      <c r="AG127" s="18">
        <v>12236.6193637865</v>
      </c>
      <c r="AH127" s="19">
        <v>-3.4585713305736697E-2</v>
      </c>
      <c r="AI127" s="18">
        <v>6157.66879297581</v>
      </c>
      <c r="AJ127" s="19">
        <v>-6.9170808037677597E-2</v>
      </c>
      <c r="AK127" s="18">
        <v>4312.3817821441398</v>
      </c>
      <c r="AL127" s="19">
        <v>1.9662515183588299E-2</v>
      </c>
      <c r="AM127" s="18">
        <v>27017.6768191511</v>
      </c>
      <c r="AN127" s="19">
        <v>-6.6552385493653396E-3</v>
      </c>
      <c r="AO127" s="18">
        <v>10252.1289727037</v>
      </c>
      <c r="AP127" s="19">
        <v>3.5476957573348199E-3</v>
      </c>
      <c r="AQ127" s="18">
        <v>6969.2195454951698</v>
      </c>
      <c r="AR127" s="19">
        <v>-6.4130208933373999E-3</v>
      </c>
      <c r="AS127" s="18">
        <v>9359.7573624007491</v>
      </c>
      <c r="AT127" s="19">
        <v>7.2583002411268404E-3</v>
      </c>
      <c r="AU127" s="18">
        <v>1378.7603448802899</v>
      </c>
      <c r="AV127" s="19">
        <v>4.1662211130976803E-2</v>
      </c>
      <c r="AW127" s="18">
        <v>2300.74095713823</v>
      </c>
      <c r="AX127" s="19">
        <v>-5.3839907486508099E-4</v>
      </c>
      <c r="AY127" s="18">
        <v>534.78671962834198</v>
      </c>
      <c r="AZ127" s="19">
        <v>4.4581263290455198E-3</v>
      </c>
      <c r="BA127" s="18">
        <v>4853.4276556773802</v>
      </c>
      <c r="BB127" s="19">
        <v>-3.1553747369387701E-2</v>
      </c>
      <c r="BC127" s="18">
        <v>7916.019553354</v>
      </c>
      <c r="BD127" s="19">
        <v>-1.55719304252727E-2</v>
      </c>
      <c r="BE127" s="18">
        <v>-3029.52503737502</v>
      </c>
      <c r="BF127" s="19">
        <v>1.7452593200935999E-2</v>
      </c>
      <c r="BG127" s="18"/>
      <c r="BH127" s="19"/>
    </row>
    <row r="128" spans="1:60" x14ac:dyDescent="0.15">
      <c r="A128" s="17">
        <v>2009</v>
      </c>
      <c r="B128" s="17">
        <v>1</v>
      </c>
      <c r="C128" s="18">
        <v>148718.719558913</v>
      </c>
      <c r="D128" s="19">
        <v>-1.57468181230291E-2</v>
      </c>
      <c r="E128" s="18">
        <v>143908.45258749701</v>
      </c>
      <c r="F128" s="19">
        <v>-1.5857918085281801E-2</v>
      </c>
      <c r="G128" s="18">
        <v>1250.23733552623</v>
      </c>
      <c r="H128" s="19">
        <v>2.5780449251258601E-2</v>
      </c>
      <c r="I128" s="18">
        <v>172.19903285510401</v>
      </c>
      <c r="J128" s="19">
        <v>-4.8806924087304498E-2</v>
      </c>
      <c r="K128" s="18">
        <v>23445.207239318799</v>
      </c>
      <c r="L128" s="19">
        <v>-7.0468832516437097E-2</v>
      </c>
      <c r="M128" s="18">
        <v>4487.9820341658096</v>
      </c>
      <c r="N128" s="19">
        <v>-1.43047223216728E-2</v>
      </c>
      <c r="O128" s="18">
        <v>20117.276177651202</v>
      </c>
      <c r="P128" s="19">
        <v>-9.0301209597649298E-2</v>
      </c>
      <c r="Q128" s="18">
        <v>3496.1583202143102</v>
      </c>
      <c r="R128" s="19">
        <v>-3.3831734032236001E-2</v>
      </c>
      <c r="S128" s="18">
        <v>543.31389743390002</v>
      </c>
      <c r="T128" s="19">
        <v>0.16400711154634501</v>
      </c>
      <c r="U128" s="18">
        <v>7132.5812449610503</v>
      </c>
      <c r="V128" s="19">
        <v>2.7454351450504301E-3</v>
      </c>
      <c r="W128" s="18">
        <v>23414.462448279399</v>
      </c>
      <c r="X128" s="19">
        <v>7.8345496336207406E-3</v>
      </c>
      <c r="Y128" s="18">
        <v>5468.5585328319503</v>
      </c>
      <c r="Z128" s="19">
        <v>6.2704222919187603E-3</v>
      </c>
      <c r="AA128" s="18">
        <v>6235.6547031141399</v>
      </c>
      <c r="AB128" s="19">
        <v>-2.7958174230721E-2</v>
      </c>
      <c r="AC128" s="18">
        <v>3553.1080249770898</v>
      </c>
      <c r="AD128" s="19">
        <v>-3.5046448678187098E-2</v>
      </c>
      <c r="AE128" s="18">
        <v>6530.1933955412096</v>
      </c>
      <c r="AF128" s="19">
        <v>1.024833125319E-2</v>
      </c>
      <c r="AG128" s="18">
        <v>11845.8547562356</v>
      </c>
      <c r="AH128" s="19">
        <v>-3.1934033080034098E-2</v>
      </c>
      <c r="AI128" s="18">
        <v>5851.00842522125</v>
      </c>
      <c r="AJ128" s="19">
        <v>-4.98013741993346E-2</v>
      </c>
      <c r="AK128" s="18">
        <v>4382.7734517743802</v>
      </c>
      <c r="AL128" s="19">
        <v>1.63231534651469E-2</v>
      </c>
      <c r="AM128" s="18">
        <v>26778.441917191201</v>
      </c>
      <c r="AN128" s="19">
        <v>-8.8547547430264401E-3</v>
      </c>
      <c r="AO128" s="18">
        <v>10343.205013160599</v>
      </c>
      <c r="AP128" s="19">
        <v>8.8836221919767998E-3</v>
      </c>
      <c r="AQ128" s="18">
        <v>6965.0459798789798</v>
      </c>
      <c r="AR128" s="19">
        <v>-5.9885695793526804E-4</v>
      </c>
      <c r="AS128" s="18">
        <v>9421.9778309574594</v>
      </c>
      <c r="AT128" s="19">
        <v>6.6476582829653203E-3</v>
      </c>
      <c r="AU128" s="18">
        <v>1405.5992773568601</v>
      </c>
      <c r="AV128" s="19">
        <v>1.9465988107528798E-2</v>
      </c>
      <c r="AW128" s="18">
        <v>2292.4133223786798</v>
      </c>
      <c r="AX128" s="19">
        <v>-3.6195447095911399E-3</v>
      </c>
      <c r="AY128" s="18">
        <v>527.61473361887795</v>
      </c>
      <c r="AZ128" s="19">
        <v>-1.341092765813E-2</v>
      </c>
      <c r="BA128" s="18">
        <v>4790.31148263249</v>
      </c>
      <c r="BB128" s="19">
        <v>-1.3004453248841001E-2</v>
      </c>
      <c r="BC128" s="18">
        <v>7906.9409865449798</v>
      </c>
      <c r="BD128" s="19">
        <v>-1.14686007883524E-3</v>
      </c>
      <c r="BE128" s="18">
        <v>-3093.9816024956299</v>
      </c>
      <c r="BF128" s="19">
        <v>2.1276128873474898E-2</v>
      </c>
      <c r="BG128" s="18"/>
      <c r="BH128" s="19"/>
    </row>
    <row r="129" spans="1:60" x14ac:dyDescent="0.15">
      <c r="A129" s="17">
        <v>2009</v>
      </c>
      <c r="B129" s="17">
        <v>2</v>
      </c>
      <c r="C129" s="18">
        <v>149247.960805457</v>
      </c>
      <c r="D129" s="19">
        <v>3.5586726950964701E-3</v>
      </c>
      <c r="E129" s="18">
        <v>144443.62818528901</v>
      </c>
      <c r="F129" s="19">
        <v>3.7188614578911299E-3</v>
      </c>
      <c r="G129" s="18">
        <v>1266.4346406951499</v>
      </c>
      <c r="H129" s="19">
        <v>1.29553843167771E-2</v>
      </c>
      <c r="I129" s="18">
        <v>172.517873187367</v>
      </c>
      <c r="J129" s="19">
        <v>1.85158027299215E-3</v>
      </c>
      <c r="K129" s="18">
        <v>23275.233930651601</v>
      </c>
      <c r="L129" s="19">
        <v>-7.2498104594331796E-3</v>
      </c>
      <c r="M129" s="18">
        <v>4599.5624423116797</v>
      </c>
      <c r="N129" s="19">
        <v>2.4862044298848501E-2</v>
      </c>
      <c r="O129" s="18">
        <v>19724.573749031701</v>
      </c>
      <c r="P129" s="19">
        <v>-1.9520656034726601E-2</v>
      </c>
      <c r="Q129" s="18">
        <v>3563.1049931586699</v>
      </c>
      <c r="R129" s="19">
        <v>1.9148638823728699E-2</v>
      </c>
      <c r="S129" s="18">
        <v>616.63941450035895</v>
      </c>
      <c r="T129" s="19">
        <v>0.13495976711212401</v>
      </c>
      <c r="U129" s="18">
        <v>7191.0997605719804</v>
      </c>
      <c r="V129" s="19">
        <v>8.2043952394188508E-3</v>
      </c>
      <c r="W129" s="18">
        <v>23650.869393703098</v>
      </c>
      <c r="X129" s="19">
        <v>1.00966206653645E-2</v>
      </c>
      <c r="Y129" s="18">
        <v>5508.8921887185898</v>
      </c>
      <c r="Z129" s="19">
        <v>7.3755553030079302E-3</v>
      </c>
      <c r="AA129" s="18">
        <v>6165.70669558809</v>
      </c>
      <c r="AB129" s="19">
        <v>-1.12174279777097E-2</v>
      </c>
      <c r="AC129" s="18">
        <v>3442.9501342041999</v>
      </c>
      <c r="AD129" s="19">
        <v>-3.10032484232176E-2</v>
      </c>
      <c r="AE129" s="18">
        <v>6561.70867599139</v>
      </c>
      <c r="AF129" s="19">
        <v>4.8260868463256799E-3</v>
      </c>
      <c r="AG129" s="18">
        <v>12086.4062035891</v>
      </c>
      <c r="AH129" s="19">
        <v>2.03068037135028E-2</v>
      </c>
      <c r="AI129" s="18">
        <v>6055.1846442845199</v>
      </c>
      <c r="AJ129" s="19">
        <v>3.4895902419684197E-2</v>
      </c>
      <c r="AK129" s="18">
        <v>4411.9969015151901</v>
      </c>
      <c r="AL129" s="19">
        <v>6.6677983843714799E-3</v>
      </c>
      <c r="AM129" s="18">
        <v>26624.549047225999</v>
      </c>
      <c r="AN129" s="19">
        <v>-5.7468941038894003E-3</v>
      </c>
      <c r="AO129" s="18">
        <v>10384.680585284201</v>
      </c>
      <c r="AP129" s="19">
        <v>4.0099342583723701E-3</v>
      </c>
      <c r="AQ129" s="18">
        <v>6961.1380808634603</v>
      </c>
      <c r="AR129" s="19">
        <v>-5.6107296732932398E-4</v>
      </c>
      <c r="AS129" s="18">
        <v>9473.6446576076705</v>
      </c>
      <c r="AT129" s="19">
        <v>5.4836497789725299E-3</v>
      </c>
      <c r="AU129" s="18">
        <v>1467.1761143563899</v>
      </c>
      <c r="AV129" s="19">
        <v>4.38082446337906E-2</v>
      </c>
      <c r="AW129" s="18">
        <v>2293.2967849371398</v>
      </c>
      <c r="AX129" s="19">
        <v>3.8538537088039798E-4</v>
      </c>
      <c r="AY129" s="18">
        <v>520.88459564150298</v>
      </c>
      <c r="AZ129" s="19">
        <v>-1.2755780967701601E-2</v>
      </c>
      <c r="BA129" s="18">
        <v>4786.97846304614</v>
      </c>
      <c r="BB129" s="19">
        <v>-6.9578347847210097E-4</v>
      </c>
      <c r="BC129" s="18">
        <v>7947.2487047082404</v>
      </c>
      <c r="BD129" s="19">
        <v>5.0977638800968599E-3</v>
      </c>
      <c r="BE129" s="18">
        <v>-3143.2104713045201</v>
      </c>
      <c r="BF129" s="19">
        <v>1.59111705024935E-2</v>
      </c>
      <c r="BG129" s="18"/>
      <c r="BH129" s="19"/>
    </row>
    <row r="130" spans="1:60" x14ac:dyDescent="0.15">
      <c r="A130" s="17">
        <v>2009</v>
      </c>
      <c r="B130" s="17">
        <v>3</v>
      </c>
      <c r="C130" s="18">
        <v>150614.003898775</v>
      </c>
      <c r="D130" s="19">
        <v>9.1528425979543505E-3</v>
      </c>
      <c r="E130" s="18">
        <v>145750.73152803199</v>
      </c>
      <c r="F130" s="19">
        <v>9.0492281256346896E-3</v>
      </c>
      <c r="G130" s="18">
        <v>1266.4557810880201</v>
      </c>
      <c r="H130" s="19">
        <v>1.6692841608323399E-5</v>
      </c>
      <c r="I130" s="18">
        <v>174.35066056737699</v>
      </c>
      <c r="J130" s="19">
        <v>1.0623753621281E-2</v>
      </c>
      <c r="K130" s="18">
        <v>23849.977211499201</v>
      </c>
      <c r="L130" s="19">
        <v>2.4693340679627699E-2</v>
      </c>
      <c r="M130" s="18">
        <v>4779.3774245801096</v>
      </c>
      <c r="N130" s="19">
        <v>3.9093932199789003E-2</v>
      </c>
      <c r="O130" s="18">
        <v>20098.184269428199</v>
      </c>
      <c r="P130" s="19">
        <v>1.89413735957089E-2</v>
      </c>
      <c r="Q130" s="18">
        <v>3441.5422749038098</v>
      </c>
      <c r="R130" s="19">
        <v>-3.4117074430382303E-2</v>
      </c>
      <c r="S130" s="18">
        <v>592.47175740651096</v>
      </c>
      <c r="T130" s="19">
        <v>-3.91925273110071E-2</v>
      </c>
      <c r="U130" s="18">
        <v>7372.2655824763397</v>
      </c>
      <c r="V130" s="19">
        <v>2.51930619705312E-2</v>
      </c>
      <c r="W130" s="18">
        <v>23578.9223602848</v>
      </c>
      <c r="X130" s="19">
        <v>-3.04204603309188E-3</v>
      </c>
      <c r="Y130" s="18">
        <v>5534.8186366998398</v>
      </c>
      <c r="Z130" s="19">
        <v>4.7062906829689099E-3</v>
      </c>
      <c r="AA130" s="18">
        <v>6110.5382399017899</v>
      </c>
      <c r="AB130" s="19">
        <v>-8.9476289434545792E-3</v>
      </c>
      <c r="AC130" s="18">
        <v>3504.1285891930102</v>
      </c>
      <c r="AD130" s="19">
        <v>1.7769195778071199E-2</v>
      </c>
      <c r="AE130" s="18">
        <v>6624.0226738695901</v>
      </c>
      <c r="AF130" s="19">
        <v>9.4966114704537804E-3</v>
      </c>
      <c r="AG130" s="18">
        <v>12533.263546390001</v>
      </c>
      <c r="AH130" s="19">
        <v>3.6971895141845797E-2</v>
      </c>
      <c r="AI130" s="18">
        <v>6456.1766760495302</v>
      </c>
      <c r="AJ130" s="19">
        <v>6.6222923877887294E-2</v>
      </c>
      <c r="AK130" s="18">
        <v>4400.0502683726199</v>
      </c>
      <c r="AL130" s="19">
        <v>-2.7077610001194899E-3</v>
      </c>
      <c r="AM130" s="18">
        <v>26569.975762941001</v>
      </c>
      <c r="AN130" s="19">
        <v>-2.0497355349811102E-3</v>
      </c>
      <c r="AO130" s="18">
        <v>10454.2816966796</v>
      </c>
      <c r="AP130" s="19">
        <v>6.7022871646173999E-3</v>
      </c>
      <c r="AQ130" s="18">
        <v>6995.94337001231</v>
      </c>
      <c r="AR130" s="19">
        <v>4.9999423577777903E-3</v>
      </c>
      <c r="AS130" s="18">
        <v>9529.7357724884605</v>
      </c>
      <c r="AT130" s="19">
        <v>5.92075351229715E-3</v>
      </c>
      <c r="AU130" s="18">
        <v>1455.7764842844001</v>
      </c>
      <c r="AV130" s="19">
        <v>-7.7697762119001102E-3</v>
      </c>
      <c r="AW130" s="18">
        <v>2280.2726923796799</v>
      </c>
      <c r="AX130" s="19">
        <v>-5.6792006350896403E-3</v>
      </c>
      <c r="AY130" s="18">
        <v>522.25496602041505</v>
      </c>
      <c r="AZ130" s="19">
        <v>2.6308521894846701E-3</v>
      </c>
      <c r="BA130" s="18">
        <v>4844.0201901349701</v>
      </c>
      <c r="BB130" s="19">
        <v>1.19160191609746E-2</v>
      </c>
      <c r="BC130" s="18">
        <v>8025.54349812895</v>
      </c>
      <c r="BD130" s="19">
        <v>9.8518111524965608E-3</v>
      </c>
      <c r="BE130" s="18">
        <v>-3162.2647271112801</v>
      </c>
      <c r="BF130" s="19">
        <v>6.0620362462895398E-3</v>
      </c>
      <c r="BG130" s="18"/>
      <c r="BH130" s="19"/>
    </row>
    <row r="131" spans="1:60" x14ac:dyDescent="0.15">
      <c r="A131" s="17">
        <v>2009</v>
      </c>
      <c r="B131" s="17">
        <v>4</v>
      </c>
      <c r="C131" s="18">
        <v>151402.67712979499</v>
      </c>
      <c r="D131" s="19">
        <v>5.23638712605967E-3</v>
      </c>
      <c r="E131" s="18">
        <v>146471.467239005</v>
      </c>
      <c r="F131" s="19">
        <v>4.9449886351662399E-3</v>
      </c>
      <c r="G131" s="18">
        <v>1249.4335008585199</v>
      </c>
      <c r="H131" s="19">
        <v>-1.3440880039944E-2</v>
      </c>
      <c r="I131" s="18">
        <v>178.447489418896</v>
      </c>
      <c r="J131" s="19">
        <v>2.34976388284804E-2</v>
      </c>
      <c r="K131" s="18">
        <v>24353.556989959099</v>
      </c>
      <c r="L131" s="19">
        <v>2.1114476294638699E-2</v>
      </c>
      <c r="M131" s="18">
        <v>4982.2136859873999</v>
      </c>
      <c r="N131" s="19">
        <v>4.2439891933228502E-2</v>
      </c>
      <c r="O131" s="18">
        <v>20347.966297196501</v>
      </c>
      <c r="P131" s="19">
        <v>1.2428089245267299E-2</v>
      </c>
      <c r="Q131" s="18">
        <v>3187.7969665218102</v>
      </c>
      <c r="R131" s="19">
        <v>-7.3730115196416104E-2</v>
      </c>
      <c r="S131" s="18">
        <v>560.76335565083696</v>
      </c>
      <c r="T131" s="19">
        <v>-5.3518840956190201E-2</v>
      </c>
      <c r="U131" s="18">
        <v>7431.1474999213096</v>
      </c>
      <c r="V131" s="19">
        <v>7.9869501154339294E-3</v>
      </c>
      <c r="W131" s="18">
        <v>23873.9635282995</v>
      </c>
      <c r="X131" s="19">
        <v>1.25129199505603E-2</v>
      </c>
      <c r="Y131" s="18">
        <v>5628.4534061129398</v>
      </c>
      <c r="Z131" s="19">
        <v>1.6917405168840501E-2</v>
      </c>
      <c r="AA131" s="18">
        <v>6090.9846136957904</v>
      </c>
      <c r="AB131" s="19">
        <v>-3.19998426297541E-3</v>
      </c>
      <c r="AC131" s="18">
        <v>3499.8247717832901</v>
      </c>
      <c r="AD131" s="19">
        <v>-1.2282133204223301E-3</v>
      </c>
      <c r="AE131" s="18">
        <v>6663.7718551137996</v>
      </c>
      <c r="AF131" s="19">
        <v>6.0007616521322599E-3</v>
      </c>
      <c r="AG131" s="18">
        <v>12401.7830464653</v>
      </c>
      <c r="AH131" s="19">
        <v>-1.04905238318808E-2</v>
      </c>
      <c r="AI131" s="18">
        <v>6363.0213357579296</v>
      </c>
      <c r="AJ131" s="19">
        <v>-1.44288709813625E-2</v>
      </c>
      <c r="AK131" s="18">
        <v>4345.8418930411099</v>
      </c>
      <c r="AL131" s="19">
        <v>-1.23199445518067E-2</v>
      </c>
      <c r="AM131" s="18">
        <v>26662.269667041801</v>
      </c>
      <c r="AN131" s="19">
        <v>3.4736164204387499E-3</v>
      </c>
      <c r="AO131" s="18">
        <v>10486.680093112</v>
      </c>
      <c r="AP131" s="19">
        <v>3.0990552361569398E-3</v>
      </c>
      <c r="AQ131" s="18">
        <v>7017.0311462944301</v>
      </c>
      <c r="AR131" s="19">
        <v>3.0142863037623301E-3</v>
      </c>
      <c r="AS131" s="18">
        <v>9597.7115854332096</v>
      </c>
      <c r="AT131" s="19">
        <v>7.1330217927962902E-3</v>
      </c>
      <c r="AU131" s="18">
        <v>1438.5310641030801</v>
      </c>
      <c r="AV131" s="19">
        <v>-1.1846200544855001E-2</v>
      </c>
      <c r="AW131" s="18">
        <v>2247.61622804535</v>
      </c>
      <c r="AX131" s="19">
        <v>-1.4321297818220899E-2</v>
      </c>
      <c r="AY131" s="18">
        <v>520.03046581875401</v>
      </c>
      <c r="AZ131" s="19">
        <v>-4.2594141681646701E-3</v>
      </c>
      <c r="BA131" s="18">
        <v>4906.8552410006196</v>
      </c>
      <c r="BB131" s="19">
        <v>1.29716740226686E-2</v>
      </c>
      <c r="BC131" s="18">
        <v>8082.2112337861099</v>
      </c>
      <c r="BD131" s="19">
        <v>7.0609218765525002E-3</v>
      </c>
      <c r="BE131" s="18">
        <v>-3150.0772170672699</v>
      </c>
      <c r="BF131" s="19">
        <v>-3.8540448367675498E-3</v>
      </c>
      <c r="BG131" s="18"/>
      <c r="BH131" s="19"/>
    </row>
    <row r="132" spans="1:60" x14ac:dyDescent="0.15">
      <c r="A132" s="17">
        <v>2010</v>
      </c>
      <c r="B132" s="17">
        <v>1</v>
      </c>
      <c r="C132" s="18">
        <v>152976.01551686999</v>
      </c>
      <c r="D132" s="19">
        <v>1.0391747470399599E-2</v>
      </c>
      <c r="E132" s="18">
        <v>147874.48453973199</v>
      </c>
      <c r="F132" s="19">
        <v>9.5787754924143691E-3</v>
      </c>
      <c r="G132" s="18">
        <v>1217.5890827903399</v>
      </c>
      <c r="H132" s="19">
        <v>-2.54870851840482E-2</v>
      </c>
      <c r="I132" s="18">
        <v>184.07264161357301</v>
      </c>
      <c r="J132" s="19">
        <v>3.1522730933313502E-2</v>
      </c>
      <c r="K132" s="18">
        <v>24790.501362153402</v>
      </c>
      <c r="L132" s="19">
        <v>1.7941706518457699E-2</v>
      </c>
      <c r="M132" s="18">
        <v>5050.2947199577702</v>
      </c>
      <c r="N132" s="19">
        <v>1.36648161362185E-2</v>
      </c>
      <c r="O132" s="18">
        <v>20753.671561450501</v>
      </c>
      <c r="P132" s="19">
        <v>1.9938369187783501E-2</v>
      </c>
      <c r="Q132" s="18">
        <v>3357.0608461414799</v>
      </c>
      <c r="R132" s="19">
        <v>5.3097446731166197E-2</v>
      </c>
      <c r="S132" s="18">
        <v>500.70979324058601</v>
      </c>
      <c r="T132" s="19">
        <v>-0.107092522728329</v>
      </c>
      <c r="U132" s="18">
        <v>7589.6408875259704</v>
      </c>
      <c r="V132" s="19">
        <v>2.1328252144953399E-2</v>
      </c>
      <c r="W132" s="18">
        <v>24279.242714198401</v>
      </c>
      <c r="X132" s="19">
        <v>1.6975781395429702E-2</v>
      </c>
      <c r="Y132" s="18">
        <v>5709.9803298257902</v>
      </c>
      <c r="Z132" s="19">
        <v>1.44847825557743E-2</v>
      </c>
      <c r="AA132" s="18">
        <v>6363.6416192235702</v>
      </c>
      <c r="AB132" s="19">
        <v>4.4764027956119903E-2</v>
      </c>
      <c r="AC132" s="18">
        <v>3534.3285322370698</v>
      </c>
      <c r="AD132" s="19">
        <v>9.8587108508840799E-3</v>
      </c>
      <c r="AE132" s="18">
        <v>6793.5221444970202</v>
      </c>
      <c r="AF132" s="19">
        <v>1.94709981380361E-2</v>
      </c>
      <c r="AG132" s="18">
        <v>12295.4219964271</v>
      </c>
      <c r="AH132" s="19">
        <v>-8.5762708184586901E-3</v>
      </c>
      <c r="AI132" s="18">
        <v>6341.0436894681998</v>
      </c>
      <c r="AJ132" s="19">
        <v>-3.4539639473186701E-3</v>
      </c>
      <c r="AK132" s="18">
        <v>4247.1614230394898</v>
      </c>
      <c r="AL132" s="19">
        <v>-2.27068707123541E-2</v>
      </c>
      <c r="AM132" s="18">
        <v>26906.5178140055</v>
      </c>
      <c r="AN132" s="19">
        <v>9.1608160150604707E-3</v>
      </c>
      <c r="AO132" s="18">
        <v>10436.771656951099</v>
      </c>
      <c r="AP132" s="19">
        <v>-4.7592217668298601E-3</v>
      </c>
      <c r="AQ132" s="18">
        <v>6971.7617848888503</v>
      </c>
      <c r="AR132" s="19">
        <v>-6.4513553469812699E-3</v>
      </c>
      <c r="AS132" s="18">
        <v>9571.2269705956096</v>
      </c>
      <c r="AT132" s="19">
        <v>-2.7594718388700402E-3</v>
      </c>
      <c r="AU132" s="18">
        <v>1370.8451312115801</v>
      </c>
      <c r="AV132" s="19">
        <v>-4.7052117664002302E-2</v>
      </c>
      <c r="AW132" s="18">
        <v>2246.8570252176501</v>
      </c>
      <c r="AX132" s="19">
        <v>-3.3778134284079302E-4</v>
      </c>
      <c r="AY132" s="18">
        <v>518.39885506533903</v>
      </c>
      <c r="AZ132" s="19">
        <v>-3.13752916542298E-3</v>
      </c>
      <c r="BA132" s="18">
        <v>5069.6965839844197</v>
      </c>
      <c r="BB132" s="19">
        <v>3.3186498273503298E-2</v>
      </c>
      <c r="BC132" s="18">
        <v>8214.1891078375193</v>
      </c>
      <c r="BD132" s="19">
        <v>1.6329426469293001E-2</v>
      </c>
      <c r="BE132" s="18">
        <v>-3107.7937252503598</v>
      </c>
      <c r="BF132" s="19">
        <v>-1.34230016927257E-2</v>
      </c>
      <c r="BG132" s="18"/>
      <c r="BH132" s="19"/>
    </row>
    <row r="133" spans="1:60" x14ac:dyDescent="0.15">
      <c r="A133" s="17">
        <v>2010</v>
      </c>
      <c r="B133" s="17">
        <v>2</v>
      </c>
      <c r="C133" s="18">
        <v>153745.043863648</v>
      </c>
      <c r="D133" s="19">
        <v>5.0271171214601998E-3</v>
      </c>
      <c r="E133" s="18">
        <v>148600.57761785999</v>
      </c>
      <c r="F133" s="19">
        <v>4.9101985402497696E-3</v>
      </c>
      <c r="G133" s="18">
        <v>1203.6740319732901</v>
      </c>
      <c r="H133" s="19">
        <v>-1.1428363652173E-2</v>
      </c>
      <c r="I133" s="18">
        <v>192.452993471544</v>
      </c>
      <c r="J133" s="19">
        <v>4.55274167008679E-2</v>
      </c>
      <c r="K133" s="18">
        <v>25081.7752870681</v>
      </c>
      <c r="L133" s="19">
        <v>1.1749416466392699E-2</v>
      </c>
      <c r="M133" s="18">
        <v>5070.3589250658097</v>
      </c>
      <c r="N133" s="19">
        <v>3.97287806368141E-3</v>
      </c>
      <c r="O133" s="18">
        <v>21063.515734229801</v>
      </c>
      <c r="P133" s="19">
        <v>1.49296076051812E-2</v>
      </c>
      <c r="Q133" s="18">
        <v>3338.5682451051398</v>
      </c>
      <c r="R133" s="19">
        <v>-5.5085689190272902E-3</v>
      </c>
      <c r="S133" s="18">
        <v>454.096339473694</v>
      </c>
      <c r="T133" s="19">
        <v>-9.3094751483110597E-2</v>
      </c>
      <c r="U133" s="18">
        <v>7771.1920809426401</v>
      </c>
      <c r="V133" s="19">
        <v>2.39209201208797E-2</v>
      </c>
      <c r="W133" s="18">
        <v>24377.917484269499</v>
      </c>
      <c r="X133" s="19">
        <v>4.0641617711341099E-3</v>
      </c>
      <c r="Y133" s="18">
        <v>5744.7340188213302</v>
      </c>
      <c r="Z133" s="19">
        <v>6.0864813866350299E-3</v>
      </c>
      <c r="AA133" s="18">
        <v>6452.8828037233097</v>
      </c>
      <c r="AB133" s="19">
        <v>1.40236031253163E-2</v>
      </c>
      <c r="AC133" s="18">
        <v>3530.5413453025699</v>
      </c>
      <c r="AD133" s="19">
        <v>-1.0715435477913801E-3</v>
      </c>
      <c r="AE133" s="18">
        <v>6749.6905553507204</v>
      </c>
      <c r="AF133" s="19">
        <v>-6.4519682447494696E-3</v>
      </c>
      <c r="AG133" s="18">
        <v>12301.2623849191</v>
      </c>
      <c r="AH133" s="19">
        <v>4.7500512741116601E-4</v>
      </c>
      <c r="AI133" s="18">
        <v>6397.1125091569402</v>
      </c>
      <c r="AJ133" s="19">
        <v>8.8422068092455196E-3</v>
      </c>
      <c r="AK133" s="18">
        <v>4191.9264469459804</v>
      </c>
      <c r="AL133" s="19">
        <v>-1.3005151109604899E-2</v>
      </c>
      <c r="AM133" s="18">
        <v>27088.120985490201</v>
      </c>
      <c r="AN133" s="19">
        <v>6.7494118986346496E-3</v>
      </c>
      <c r="AO133" s="18">
        <v>10439.7213025974</v>
      </c>
      <c r="AP133" s="19">
        <v>2.8262050212934898E-4</v>
      </c>
      <c r="AQ133" s="18">
        <v>6980.6584474196497</v>
      </c>
      <c r="AR133" s="19">
        <v>1.27609961517683E-3</v>
      </c>
      <c r="AS133" s="18">
        <v>9583.6441898652592</v>
      </c>
      <c r="AT133" s="19">
        <v>1.2973487419944999E-3</v>
      </c>
      <c r="AU133" s="18">
        <v>1352.92823468082</v>
      </c>
      <c r="AV133" s="19">
        <v>-1.3069964011852999E-2</v>
      </c>
      <c r="AW133" s="18">
        <v>2235.9783764991198</v>
      </c>
      <c r="AX133" s="19">
        <v>-4.8417182742067598E-3</v>
      </c>
      <c r="AY133" s="18">
        <v>517.7008481089</v>
      </c>
      <c r="AZ133" s="19">
        <v>-1.3464670101374101E-3</v>
      </c>
      <c r="BA133" s="18">
        <v>5111.3271256685603</v>
      </c>
      <c r="BB133" s="19">
        <v>8.2116436347798895E-3</v>
      </c>
      <c r="BC133" s="18">
        <v>8259.0453063507794</v>
      </c>
      <c r="BD133" s="19">
        <v>5.4608188251306098E-3</v>
      </c>
      <c r="BE133" s="18">
        <v>-3108.7691348592698</v>
      </c>
      <c r="BF133" s="19">
        <v>3.1385918601678497E-4</v>
      </c>
      <c r="BG133" s="18"/>
      <c r="BH133" s="19"/>
    </row>
    <row r="134" spans="1:60" x14ac:dyDescent="0.15">
      <c r="A134" s="17">
        <v>2010</v>
      </c>
      <c r="B134" s="17">
        <v>3</v>
      </c>
      <c r="C134" s="18">
        <v>154716.27026367799</v>
      </c>
      <c r="D134" s="19">
        <v>6.3171233076717596E-3</v>
      </c>
      <c r="E134" s="18">
        <v>149567.458693911</v>
      </c>
      <c r="F134" s="19">
        <v>6.5065768353729202E-3</v>
      </c>
      <c r="G134" s="18">
        <v>1208.77541110117</v>
      </c>
      <c r="H134" s="19">
        <v>4.2381732864287302E-3</v>
      </c>
      <c r="I134" s="18">
        <v>194.31529774035801</v>
      </c>
      <c r="J134" s="19">
        <v>9.6766708338531498E-3</v>
      </c>
      <c r="K134" s="18">
        <v>25573.710044285199</v>
      </c>
      <c r="L134" s="19">
        <v>1.9613235171228802E-2</v>
      </c>
      <c r="M134" s="18">
        <v>5140.7333291636996</v>
      </c>
      <c r="N134" s="19">
        <v>1.3879570487601399E-2</v>
      </c>
      <c r="O134" s="18">
        <v>21525.495220069399</v>
      </c>
      <c r="P134" s="19">
        <v>2.1932686436043802E-2</v>
      </c>
      <c r="Q134" s="18">
        <v>3341.3148604142898</v>
      </c>
      <c r="R134" s="19">
        <v>8.2269257582989795E-4</v>
      </c>
      <c r="S134" s="18">
        <v>461.70091426853998</v>
      </c>
      <c r="T134" s="19">
        <v>1.6746611090634501E-2</v>
      </c>
      <c r="U134" s="18">
        <v>7843.5867402353397</v>
      </c>
      <c r="V134" s="19">
        <v>9.3157727332764395E-3</v>
      </c>
      <c r="W134" s="18">
        <v>24710.286549126999</v>
      </c>
      <c r="X134" s="19">
        <v>1.36340220641067E-2</v>
      </c>
      <c r="Y134" s="18">
        <v>5835.3756759260896</v>
      </c>
      <c r="Z134" s="19">
        <v>1.5778216503634899E-2</v>
      </c>
      <c r="AA134" s="18">
        <v>6445.9691252466901</v>
      </c>
      <c r="AB134" s="19">
        <v>-1.07140927348448E-3</v>
      </c>
      <c r="AC134" s="18">
        <v>3550.9680730448799</v>
      </c>
      <c r="AD134" s="19">
        <v>5.7857211527885298E-3</v>
      </c>
      <c r="AE134" s="18">
        <v>6836.2360686328302</v>
      </c>
      <c r="AF134" s="19">
        <v>1.28221453372408E-2</v>
      </c>
      <c r="AG134" s="18">
        <v>11982.589988887101</v>
      </c>
      <c r="AH134" s="19">
        <v>-2.59056661064858E-2</v>
      </c>
      <c r="AI134" s="18">
        <v>6113.0609962496701</v>
      </c>
      <c r="AJ134" s="19">
        <v>-4.4403082250105502E-2</v>
      </c>
      <c r="AK134" s="18">
        <v>4177.8994375533603</v>
      </c>
      <c r="AL134" s="19">
        <v>-3.3461964493288802E-3</v>
      </c>
      <c r="AM134" s="18">
        <v>27264.0248628513</v>
      </c>
      <c r="AN134" s="19">
        <v>6.4937644606406497E-3</v>
      </c>
      <c r="AO134" s="18">
        <v>10483.4666419491</v>
      </c>
      <c r="AP134" s="19">
        <v>4.19027846470454E-3</v>
      </c>
      <c r="AQ134" s="18">
        <v>7008.7416272173596</v>
      </c>
      <c r="AR134" s="19">
        <v>4.0229986912032603E-3</v>
      </c>
      <c r="AS134" s="18">
        <v>9608.5647264752697</v>
      </c>
      <c r="AT134" s="19">
        <v>2.6003194730834802E-3</v>
      </c>
      <c r="AU134" s="18">
        <v>1359.3027256611699</v>
      </c>
      <c r="AV134" s="19">
        <v>4.7116253596790596E-3</v>
      </c>
      <c r="AW134" s="18">
        <v>2250.65469979319</v>
      </c>
      <c r="AX134" s="19">
        <v>6.5637143222490001E-3</v>
      </c>
      <c r="AY134" s="18">
        <v>515.98495450318103</v>
      </c>
      <c r="AZ134" s="19">
        <v>-3.3144500573780702E-3</v>
      </c>
      <c r="BA134" s="18">
        <v>5117.4466393357097</v>
      </c>
      <c r="BB134" s="19">
        <v>1.1972455522197801E-3</v>
      </c>
      <c r="BC134" s="18">
        <v>8285.4546430486807</v>
      </c>
      <c r="BD134" s="19">
        <v>3.1976258415238302E-3</v>
      </c>
      <c r="BE134" s="18">
        <v>-3130.43728430594</v>
      </c>
      <c r="BF134" s="19">
        <v>6.9700091922872999E-3</v>
      </c>
      <c r="BG134" s="18"/>
      <c r="BH134" s="19"/>
    </row>
    <row r="135" spans="1:60" x14ac:dyDescent="0.15">
      <c r="A135" s="17">
        <v>2010</v>
      </c>
      <c r="B135" s="17">
        <v>4</v>
      </c>
      <c r="C135" s="18">
        <v>156140.735556261</v>
      </c>
      <c r="D135" s="19">
        <v>9.2069521205249104E-3</v>
      </c>
      <c r="E135" s="18">
        <v>151018.56671687801</v>
      </c>
      <c r="F135" s="19">
        <v>9.7020303456323304E-3</v>
      </c>
      <c r="G135" s="18">
        <v>1237.8394031549999</v>
      </c>
      <c r="H135" s="19">
        <v>2.4044162204917899E-2</v>
      </c>
      <c r="I135" s="18">
        <v>190.40620408419599</v>
      </c>
      <c r="J135" s="19">
        <v>-2.0117271782611398E-2</v>
      </c>
      <c r="K135" s="18">
        <v>26298.646342163898</v>
      </c>
      <c r="L135" s="19">
        <v>2.8346935060391799E-2</v>
      </c>
      <c r="M135" s="18">
        <v>5356.01440061632</v>
      </c>
      <c r="N135" s="19">
        <v>4.1877502229363997E-2</v>
      </c>
      <c r="O135" s="18">
        <v>22018.784656610202</v>
      </c>
      <c r="P135" s="19">
        <v>2.29165197593677E-2</v>
      </c>
      <c r="Q135" s="18">
        <v>3509.5943497830799</v>
      </c>
      <c r="R135" s="19">
        <v>5.03632541076744E-2</v>
      </c>
      <c r="S135" s="18">
        <v>455.98135627204198</v>
      </c>
      <c r="T135" s="19">
        <v>-1.2388015314111401E-2</v>
      </c>
      <c r="U135" s="18">
        <v>7931.0113332780302</v>
      </c>
      <c r="V135" s="19">
        <v>1.1145996842774701E-2</v>
      </c>
      <c r="W135" s="18">
        <v>24321.788606482402</v>
      </c>
      <c r="X135" s="19">
        <v>-1.5722114022121599E-2</v>
      </c>
      <c r="Y135" s="18">
        <v>5839.0151359265601</v>
      </c>
      <c r="Z135" s="19">
        <v>6.2368906521093103E-4</v>
      </c>
      <c r="AA135" s="18">
        <v>6528.3985791936802</v>
      </c>
      <c r="AB135" s="19">
        <v>1.27877519028354E-2</v>
      </c>
      <c r="AC135" s="18">
        <v>3533.9128746893798</v>
      </c>
      <c r="AD135" s="19">
        <v>-4.8029714727576599E-3</v>
      </c>
      <c r="AE135" s="18">
        <v>6888.3100224903701</v>
      </c>
      <c r="AF135" s="19">
        <v>7.6173428381844897E-3</v>
      </c>
      <c r="AG135" s="18">
        <v>12293.9296407945</v>
      </c>
      <c r="AH135" s="19">
        <v>2.5982667536496001E-2</v>
      </c>
      <c r="AI135" s="18">
        <v>6331.9639505977602</v>
      </c>
      <c r="AJ135" s="19">
        <v>3.58090577670322E-2</v>
      </c>
      <c r="AK135" s="18">
        <v>4203.9336667729804</v>
      </c>
      <c r="AL135" s="19">
        <v>6.2314159564515999E-3</v>
      </c>
      <c r="AM135" s="18">
        <v>27461.308433022001</v>
      </c>
      <c r="AN135" s="19">
        <v>7.23603984236121E-3</v>
      </c>
      <c r="AO135" s="18">
        <v>10526.985787916599</v>
      </c>
      <c r="AP135" s="19">
        <v>4.1512170977173702E-3</v>
      </c>
      <c r="AQ135" s="18">
        <v>7058.4727939859904</v>
      </c>
      <c r="AR135" s="19">
        <v>7.09559139339766E-3</v>
      </c>
      <c r="AS135" s="18">
        <v>9653.7016149198698</v>
      </c>
      <c r="AT135" s="19">
        <v>4.6975682351635397E-3</v>
      </c>
      <c r="AU135" s="18">
        <v>1379.34855130141</v>
      </c>
      <c r="AV135" s="19">
        <v>1.47471385599478E-2</v>
      </c>
      <c r="AW135" s="18">
        <v>2268.31560187064</v>
      </c>
      <c r="AX135" s="19">
        <v>7.8470065084033092E-3</v>
      </c>
      <c r="AY135" s="18">
        <v>513.11452826605</v>
      </c>
      <c r="AZ135" s="19">
        <v>-5.56300375055452E-3</v>
      </c>
      <c r="BA135" s="18">
        <v>5095.8665911522503</v>
      </c>
      <c r="BB135" s="19">
        <v>-4.2169561705985804E-3</v>
      </c>
      <c r="BC135" s="18">
        <v>8296.8410323336702</v>
      </c>
      <c r="BD135" s="19">
        <v>1.3742624606050101E-3</v>
      </c>
      <c r="BE135" s="18">
        <v>-3167.55776007853</v>
      </c>
      <c r="BF135" s="19">
        <v>1.1857920284390901E-2</v>
      </c>
      <c r="BG135" s="18"/>
      <c r="BH135" s="19"/>
    </row>
    <row r="136" spans="1:60" x14ac:dyDescent="0.15">
      <c r="A136" s="17">
        <v>2011</v>
      </c>
      <c r="B136" s="17">
        <v>1</v>
      </c>
      <c r="C136" s="18">
        <v>156512.097722115</v>
      </c>
      <c r="D136" s="19">
        <v>2.3783810453468202E-3</v>
      </c>
      <c r="E136" s="18">
        <v>151438.43656361301</v>
      </c>
      <c r="F136" s="19">
        <v>2.7802531560334699E-3</v>
      </c>
      <c r="G136" s="18">
        <v>1305.3444784840499</v>
      </c>
      <c r="H136" s="19">
        <v>5.45345988801023E-2</v>
      </c>
      <c r="I136" s="18">
        <v>198.95916186966099</v>
      </c>
      <c r="J136" s="19">
        <v>4.4919533092961303E-2</v>
      </c>
      <c r="K136" s="18">
        <v>27147.845075248799</v>
      </c>
      <c r="L136" s="19">
        <v>3.2290587204993698E-2</v>
      </c>
      <c r="M136" s="18">
        <v>5679.6309965242399</v>
      </c>
      <c r="N136" s="19">
        <v>6.04211586642995E-2</v>
      </c>
      <c r="O136" s="18">
        <v>22492.899233105101</v>
      </c>
      <c r="P136" s="19">
        <v>2.1532277275463099E-2</v>
      </c>
      <c r="Q136" s="18">
        <v>3284.2092188862998</v>
      </c>
      <c r="R136" s="19">
        <v>-6.42197098678116E-2</v>
      </c>
      <c r="S136" s="18">
        <v>459.58083213909703</v>
      </c>
      <c r="T136" s="19">
        <v>7.8939101731763106E-3</v>
      </c>
      <c r="U136" s="18">
        <v>7894.70747435474</v>
      </c>
      <c r="V136" s="19">
        <v>-4.5774564425301598E-3</v>
      </c>
      <c r="W136" s="18">
        <v>23759.6741953827</v>
      </c>
      <c r="X136" s="19">
        <v>-2.3111557303391799E-2</v>
      </c>
      <c r="Y136" s="18">
        <v>5780.3374439343897</v>
      </c>
      <c r="Z136" s="19">
        <v>-1.0049244714426401E-2</v>
      </c>
      <c r="AA136" s="18">
        <v>6526.4630133856199</v>
      </c>
      <c r="AB136" s="19">
        <v>-2.9648401282222903E-4</v>
      </c>
      <c r="AC136" s="18">
        <v>3555.4397864089901</v>
      </c>
      <c r="AD136" s="19">
        <v>6.0915230462523801E-3</v>
      </c>
      <c r="AE136" s="18">
        <v>6730.7861063242899</v>
      </c>
      <c r="AF136" s="19">
        <v>-2.2868296527269599E-2</v>
      </c>
      <c r="AG136" s="18">
        <v>12494.6846424467</v>
      </c>
      <c r="AH136" s="19">
        <v>1.6329603919817502E-2</v>
      </c>
      <c r="AI136" s="18">
        <v>6417.7588325160696</v>
      </c>
      <c r="AJ136" s="19">
        <v>1.35494899509341E-2</v>
      </c>
      <c r="AK136" s="18">
        <v>4269.9428510676798</v>
      </c>
      <c r="AL136" s="19">
        <v>1.5701766375722001E-2</v>
      </c>
      <c r="AM136" s="18">
        <v>27581.487999429301</v>
      </c>
      <c r="AN136" s="19">
        <v>4.3763233897014002E-3</v>
      </c>
      <c r="AO136" s="18">
        <v>10519.678172596599</v>
      </c>
      <c r="AP136" s="19">
        <v>-6.94179270986917E-4</v>
      </c>
      <c r="AQ136" s="18">
        <v>7117.3859238765699</v>
      </c>
      <c r="AR136" s="19">
        <v>8.3464414484637501E-3</v>
      </c>
      <c r="AS136" s="18">
        <v>9560.0574816178596</v>
      </c>
      <c r="AT136" s="19">
        <v>-9.7003343419358509E-3</v>
      </c>
      <c r="AU136" s="18">
        <v>1509.29627399232</v>
      </c>
      <c r="AV136" s="19">
        <v>9.4209489376924305E-2</v>
      </c>
      <c r="AW136" s="18">
        <v>2283.9347892778101</v>
      </c>
      <c r="AX136" s="19">
        <v>6.8858087447300998E-3</v>
      </c>
      <c r="AY136" s="18">
        <v>510.015767305704</v>
      </c>
      <c r="AZ136" s="19">
        <v>-6.0391214624498897E-3</v>
      </c>
      <c r="BA136" s="18">
        <v>5051.6487747108604</v>
      </c>
      <c r="BB136" s="19">
        <v>-8.6771927110820303E-3</v>
      </c>
      <c r="BC136" s="18">
        <v>8295.2398254956297</v>
      </c>
      <c r="BD136" s="19">
        <v>-1.9298993819483201E-4</v>
      </c>
      <c r="BE136" s="18">
        <v>-3216.2799766636699</v>
      </c>
      <c r="BF136" s="19">
        <v>1.53816347721276E-2</v>
      </c>
      <c r="BG136" s="18"/>
      <c r="BH136" s="19"/>
    </row>
    <row r="137" spans="1:60" x14ac:dyDescent="0.15">
      <c r="A137" s="17">
        <v>2011</v>
      </c>
      <c r="B137" s="17">
        <v>2</v>
      </c>
      <c r="C137" s="18">
        <v>157695.762802376</v>
      </c>
      <c r="D137" s="19">
        <v>7.5627705301248797E-3</v>
      </c>
      <c r="E137" s="18">
        <v>152656.73681110001</v>
      </c>
      <c r="F137" s="19">
        <v>8.0448548937272994E-3</v>
      </c>
      <c r="G137" s="18">
        <v>1340.38890097688</v>
      </c>
      <c r="H137" s="19">
        <v>2.6846876874628799E-2</v>
      </c>
      <c r="I137" s="18">
        <v>188.764321684973</v>
      </c>
      <c r="J137" s="19">
        <v>-5.1240868170556203E-2</v>
      </c>
      <c r="K137" s="18">
        <v>28091.669911452602</v>
      </c>
      <c r="L137" s="19">
        <v>3.4766105139750099E-2</v>
      </c>
      <c r="M137" s="18">
        <v>5976.8746335327196</v>
      </c>
      <c r="N137" s="19">
        <v>5.23350261998334E-2</v>
      </c>
      <c r="O137" s="18">
        <v>23116.3232713586</v>
      </c>
      <c r="P137" s="19">
        <v>2.77164820680822E-2</v>
      </c>
      <c r="Q137" s="18">
        <v>3157.5586816332502</v>
      </c>
      <c r="R137" s="19">
        <v>-3.8563480220667697E-2</v>
      </c>
      <c r="S137" s="18">
        <v>469.84614615234301</v>
      </c>
      <c r="T137" s="19">
        <v>2.2336253593227901E-2</v>
      </c>
      <c r="U137" s="18">
        <v>7850.0318390853299</v>
      </c>
      <c r="V137" s="19">
        <v>-5.6589348515491099E-3</v>
      </c>
      <c r="W137" s="18">
        <v>23482.836170804101</v>
      </c>
      <c r="X137" s="19">
        <v>-1.1651591781184399E-2</v>
      </c>
      <c r="Y137" s="18">
        <v>5825.1675439104902</v>
      </c>
      <c r="Z137" s="19">
        <v>7.7556198770265504E-3</v>
      </c>
      <c r="AA137" s="18">
        <v>6612.73688759579</v>
      </c>
      <c r="AB137" s="19">
        <v>1.32190857487775E-2</v>
      </c>
      <c r="AC137" s="18">
        <v>3549.2944101803901</v>
      </c>
      <c r="AD137" s="19">
        <v>-1.72844334253697E-3</v>
      </c>
      <c r="AE137" s="18">
        <v>6734.6537128801301</v>
      </c>
      <c r="AF137" s="19">
        <v>5.7461439046546702E-4</v>
      </c>
      <c r="AG137" s="18">
        <v>12479.582418664901</v>
      </c>
      <c r="AH137" s="19">
        <v>-1.2086918729068399E-3</v>
      </c>
      <c r="AI137" s="18">
        <v>6340.4292757153398</v>
      </c>
      <c r="AJ137" s="19">
        <v>-1.20493086167294E-2</v>
      </c>
      <c r="AK137" s="18">
        <v>4325.0032287162003</v>
      </c>
      <c r="AL137" s="19">
        <v>1.28948746081596E-2</v>
      </c>
      <c r="AM137" s="18">
        <v>27828.656412726399</v>
      </c>
      <c r="AN137" s="19">
        <v>8.9613879172241208E-3</v>
      </c>
      <c r="AO137" s="18">
        <v>10594.071309987599</v>
      </c>
      <c r="AP137" s="19">
        <v>7.0718073471858203E-3</v>
      </c>
      <c r="AQ137" s="18">
        <v>7160.9667716212298</v>
      </c>
      <c r="AR137" s="19">
        <v>6.1231536705719201E-3</v>
      </c>
      <c r="AS137" s="18">
        <v>9684.8880568444401</v>
      </c>
      <c r="AT137" s="19">
        <v>1.30575130397073E-2</v>
      </c>
      <c r="AU137" s="18">
        <v>1570.8935913784601</v>
      </c>
      <c r="AV137" s="19">
        <v>4.08119455719669E-2</v>
      </c>
      <c r="AW137" s="18">
        <v>2317.57178581058</v>
      </c>
      <c r="AX137" s="19">
        <v>1.47276518973698E-2</v>
      </c>
      <c r="AY137" s="18">
        <v>510.19611997897198</v>
      </c>
      <c r="AZ137" s="19">
        <v>3.5362176001107998E-4</v>
      </c>
      <c r="BA137" s="18">
        <v>5022.3118339147604</v>
      </c>
      <c r="BB137" s="19">
        <v>-5.8073991491578401E-3</v>
      </c>
      <c r="BC137" s="18">
        <v>8326.5048408230505</v>
      </c>
      <c r="BD137" s="19">
        <v>3.7690309123232799E-3</v>
      </c>
      <c r="BE137" s="18">
        <v>-3283.7030826108598</v>
      </c>
      <c r="BF137" s="19">
        <v>2.0963071136961501E-2</v>
      </c>
      <c r="BG137" s="18"/>
      <c r="BH137" s="19"/>
    </row>
    <row r="138" spans="1:60" x14ac:dyDescent="0.15">
      <c r="A138" s="17">
        <v>2011</v>
      </c>
      <c r="B138" s="17">
        <v>3</v>
      </c>
      <c r="C138" s="18">
        <v>156890.345702169</v>
      </c>
      <c r="D138" s="19">
        <v>-5.1074111687867702E-3</v>
      </c>
      <c r="E138" s="18">
        <v>151961.96709604599</v>
      </c>
      <c r="F138" s="19">
        <v>-4.5511893517935498E-3</v>
      </c>
      <c r="G138" s="18">
        <v>1360.11471103025</v>
      </c>
      <c r="H138" s="19">
        <v>1.47164826857271E-2</v>
      </c>
      <c r="I138" s="18">
        <v>186.049432111773</v>
      </c>
      <c r="J138" s="19">
        <v>-1.43824296295335E-2</v>
      </c>
      <c r="K138" s="18">
        <v>28099.045108767601</v>
      </c>
      <c r="L138" s="19">
        <v>2.6254036653039497E-4</v>
      </c>
      <c r="M138" s="18">
        <v>5937.4752596891003</v>
      </c>
      <c r="N138" s="19">
        <v>-6.5919692580748103E-3</v>
      </c>
      <c r="O138" s="18">
        <v>23187.494588408499</v>
      </c>
      <c r="P138" s="19">
        <v>3.0788337840046399E-3</v>
      </c>
      <c r="Q138" s="18">
        <v>3243.4034526276</v>
      </c>
      <c r="R138" s="19">
        <v>2.7187070661170799E-2</v>
      </c>
      <c r="S138" s="18">
        <v>464.75424767563698</v>
      </c>
      <c r="T138" s="19">
        <v>-1.08373741455673E-2</v>
      </c>
      <c r="U138" s="18">
        <v>7809.0290274518802</v>
      </c>
      <c r="V138" s="19">
        <v>-5.22326692094388E-3</v>
      </c>
      <c r="W138" s="18">
        <v>22972.853275689798</v>
      </c>
      <c r="X138" s="19">
        <v>-2.1717261552435502E-2</v>
      </c>
      <c r="Y138" s="18">
        <v>5803.4095023897898</v>
      </c>
      <c r="Z138" s="19">
        <v>-3.7351786633929001E-3</v>
      </c>
      <c r="AA138" s="18">
        <v>6565.2619966987004</v>
      </c>
      <c r="AB138" s="19">
        <v>-7.1793104283554001E-3</v>
      </c>
      <c r="AC138" s="18">
        <v>3453.7189588405399</v>
      </c>
      <c r="AD138" s="19">
        <v>-2.6928014499361899E-2</v>
      </c>
      <c r="AE138" s="18">
        <v>6656.9358204014497</v>
      </c>
      <c r="AF138" s="19">
        <v>-1.15399983120207E-2</v>
      </c>
      <c r="AG138" s="18">
        <v>12340.687413572099</v>
      </c>
      <c r="AH138" s="19">
        <v>-1.11297798622692E-2</v>
      </c>
      <c r="AI138" s="18">
        <v>6203.1362729829198</v>
      </c>
      <c r="AJ138" s="19">
        <v>-2.1653581604998098E-2</v>
      </c>
      <c r="AK138" s="18">
        <v>4369.7968554045201</v>
      </c>
      <c r="AL138" s="19">
        <v>1.03569001731381E-2</v>
      </c>
      <c r="AM138" s="18">
        <v>27989.4969170191</v>
      </c>
      <c r="AN138" s="19">
        <v>5.7796719290823502E-3</v>
      </c>
      <c r="AO138" s="18">
        <v>10624.2588062425</v>
      </c>
      <c r="AP138" s="19">
        <v>2.8494707437354298E-3</v>
      </c>
      <c r="AQ138" s="18">
        <v>7179.7076620113003</v>
      </c>
      <c r="AR138" s="19">
        <v>2.6170894221066998E-3</v>
      </c>
      <c r="AS138" s="18">
        <v>9718.6204420484501</v>
      </c>
      <c r="AT138" s="19">
        <v>3.4829917502428001E-3</v>
      </c>
      <c r="AU138" s="18">
        <v>1554.5836733958099</v>
      </c>
      <c r="AV138" s="19">
        <v>-1.03825733787207E-2</v>
      </c>
      <c r="AW138" s="18">
        <v>2321.7845312060499</v>
      </c>
      <c r="AX138" s="19">
        <v>1.8177410603890101E-3</v>
      </c>
      <c r="AY138" s="18">
        <v>513.94871312125304</v>
      </c>
      <c r="AZ138" s="19">
        <v>7.3551973355572304E-3</v>
      </c>
      <c r="BA138" s="18">
        <v>4917.8925518902597</v>
      </c>
      <c r="BB138" s="19">
        <v>-2.07910789846566E-2</v>
      </c>
      <c r="BC138" s="18">
        <v>8268.1356773326006</v>
      </c>
      <c r="BD138" s="19">
        <v>-7.0100437826305902E-3</v>
      </c>
      <c r="BE138" s="18">
        <v>-3339.8031298314399</v>
      </c>
      <c r="BF138" s="19">
        <v>1.70843848573465E-2</v>
      </c>
      <c r="BG138" s="18"/>
      <c r="BH138" s="19"/>
    </row>
    <row r="139" spans="1:60" x14ac:dyDescent="0.15">
      <c r="A139" s="17">
        <v>2011</v>
      </c>
      <c r="B139" s="17">
        <v>4</v>
      </c>
      <c r="C139" s="18">
        <v>157354.484814853</v>
      </c>
      <c r="D139" s="19">
        <v>2.9583663074168598E-3</v>
      </c>
      <c r="E139" s="18">
        <v>152452.428993865</v>
      </c>
      <c r="F139" s="19">
        <v>3.2275305932942802E-3</v>
      </c>
      <c r="G139" s="18">
        <v>1355.5153086497301</v>
      </c>
      <c r="H139" s="19">
        <v>-3.3816282870998702E-3</v>
      </c>
      <c r="I139" s="18">
        <v>188.79035109535599</v>
      </c>
      <c r="J139" s="19">
        <v>1.4732208276438299E-2</v>
      </c>
      <c r="K139" s="18">
        <v>28144.913283637001</v>
      </c>
      <c r="L139" s="19">
        <v>1.6323748615612E-3</v>
      </c>
      <c r="M139" s="18">
        <v>5863.0927924529096</v>
      </c>
      <c r="N139" s="19">
        <v>-1.2527625629228999E-2</v>
      </c>
      <c r="O139" s="18">
        <v>23358.946731542099</v>
      </c>
      <c r="P139" s="19">
        <v>7.3941642327899296E-3</v>
      </c>
      <c r="Q139" s="18">
        <v>3390.89759037164</v>
      </c>
      <c r="R139" s="19">
        <v>4.5475112762967299E-2</v>
      </c>
      <c r="S139" s="18">
        <v>452.213896854116</v>
      </c>
      <c r="T139" s="19">
        <v>-2.6982756767126699E-2</v>
      </c>
      <c r="U139" s="18">
        <v>7794.97853619544</v>
      </c>
      <c r="V139" s="19">
        <v>-1.7992622651346001E-3</v>
      </c>
      <c r="W139" s="18">
        <v>23173.616892867001</v>
      </c>
      <c r="X139" s="19">
        <v>8.7391676936237096E-3</v>
      </c>
      <c r="Y139" s="18">
        <v>5859.3300483585899</v>
      </c>
      <c r="Z139" s="19">
        <v>9.6358090784005607E-3</v>
      </c>
      <c r="AA139" s="18">
        <v>6725.4788886684701</v>
      </c>
      <c r="AB139" s="19">
        <v>2.4403731648537E-2</v>
      </c>
      <c r="AC139" s="18">
        <v>3425.0586257725799</v>
      </c>
      <c r="AD139" s="19">
        <v>-8.2983975851902408E-3</v>
      </c>
      <c r="AE139" s="18">
        <v>6767.2577069155204</v>
      </c>
      <c r="AF139" s="19">
        <v>1.6572472604582798E-2</v>
      </c>
      <c r="AG139" s="18">
        <v>12332.349159268701</v>
      </c>
      <c r="AH139" s="19">
        <v>-6.7567178585714604E-4</v>
      </c>
      <c r="AI139" s="18">
        <v>6150.5276890737496</v>
      </c>
      <c r="AJ139" s="19">
        <v>-8.4809653688090493E-3</v>
      </c>
      <c r="AK139" s="18">
        <v>4404.7340198813999</v>
      </c>
      <c r="AL139" s="19">
        <v>7.9951461436171805E-3</v>
      </c>
      <c r="AM139" s="18">
        <v>27968.372630336198</v>
      </c>
      <c r="AN139" s="19">
        <v>-7.5472191392100796E-4</v>
      </c>
      <c r="AO139" s="18">
        <v>10617.1137524608</v>
      </c>
      <c r="AP139" s="19">
        <v>-6.7252256481564699E-4</v>
      </c>
      <c r="AQ139" s="18">
        <v>7135.5800075900397</v>
      </c>
      <c r="AR139" s="19">
        <v>-6.14616311674399E-3</v>
      </c>
      <c r="AS139" s="18">
        <v>9801.7510638395397</v>
      </c>
      <c r="AT139" s="19">
        <v>8.5537471379595297E-3</v>
      </c>
      <c r="AU139" s="18">
        <v>1444.5505966410201</v>
      </c>
      <c r="AV139" s="19">
        <v>-7.0779771226104293E-2</v>
      </c>
      <c r="AW139" s="18">
        <v>2323.5714704287998</v>
      </c>
      <c r="AX139" s="19">
        <v>7.6964042043359303E-4</v>
      </c>
      <c r="AY139" s="18">
        <v>520.33121643229094</v>
      </c>
      <c r="AZ139" s="19">
        <v>1.2418560739799101E-2</v>
      </c>
      <c r="BA139" s="18">
        <v>4894.3825626374301</v>
      </c>
      <c r="BB139" s="19">
        <v>-4.7805007947548904E-3</v>
      </c>
      <c r="BC139" s="18">
        <v>8290.0923304239695</v>
      </c>
      <c r="BD139" s="19">
        <v>2.6555748415657602E-3</v>
      </c>
      <c r="BE139" s="18">
        <v>-3390.4762261987398</v>
      </c>
      <c r="BF139" s="19">
        <v>1.51724800526967E-2</v>
      </c>
      <c r="BG139" s="18"/>
      <c r="BH139" s="19"/>
    </row>
    <row r="140" spans="1:60" x14ac:dyDescent="0.15">
      <c r="A140" s="17">
        <v>2012</v>
      </c>
      <c r="B140" s="17">
        <v>1</v>
      </c>
      <c r="C140" s="18">
        <v>157772.040642473</v>
      </c>
      <c r="D140" s="19">
        <v>2.65359978847557E-3</v>
      </c>
      <c r="E140" s="18">
        <v>152882.79163927399</v>
      </c>
      <c r="F140" s="19">
        <v>2.8229307217271199E-3</v>
      </c>
      <c r="G140" s="18">
        <v>1326.4235897993401</v>
      </c>
      <c r="H140" s="19">
        <v>-2.14617412763616E-2</v>
      </c>
      <c r="I140" s="18">
        <v>189.57861209291701</v>
      </c>
      <c r="J140" s="19">
        <v>4.1753246020614903E-3</v>
      </c>
      <c r="K140" s="18">
        <v>27603.034674534101</v>
      </c>
      <c r="L140" s="19">
        <v>-1.9253163214324898E-2</v>
      </c>
      <c r="M140" s="18">
        <v>5758.0728014760298</v>
      </c>
      <c r="N140" s="19">
        <v>-1.79120465417263E-2</v>
      </c>
      <c r="O140" s="18">
        <v>22885.317599793201</v>
      </c>
      <c r="P140" s="19">
        <v>-2.0276133902449301E-2</v>
      </c>
      <c r="Q140" s="18">
        <v>3474.7453228065001</v>
      </c>
      <c r="R140" s="19">
        <v>2.4727297183181798E-2</v>
      </c>
      <c r="S140" s="18">
        <v>433.437517469341</v>
      </c>
      <c r="T140" s="19">
        <v>-4.1521013651714997E-2</v>
      </c>
      <c r="U140" s="18">
        <v>7853.47743067789</v>
      </c>
      <c r="V140" s="19">
        <v>7.5046896166313104E-3</v>
      </c>
      <c r="W140" s="18">
        <v>23732.211896503799</v>
      </c>
      <c r="X140" s="19">
        <v>2.4104782875250801E-2</v>
      </c>
      <c r="Y140" s="18">
        <v>5970.19947705287</v>
      </c>
      <c r="Z140" s="19">
        <v>1.89218609942161E-2</v>
      </c>
      <c r="AA140" s="18">
        <v>6797.9492211316101</v>
      </c>
      <c r="AB140" s="19">
        <v>1.07754902903998E-2</v>
      </c>
      <c r="AC140" s="18">
        <v>3386.5596223156499</v>
      </c>
      <c r="AD140" s="19">
        <v>-1.12403925489712E-2</v>
      </c>
      <c r="AE140" s="18">
        <v>6779.5148389491296</v>
      </c>
      <c r="AF140" s="19">
        <v>1.8112406183494699E-3</v>
      </c>
      <c r="AG140" s="18">
        <v>12516.5938523404</v>
      </c>
      <c r="AH140" s="19">
        <v>1.4939951074388599E-2</v>
      </c>
      <c r="AI140" s="18">
        <v>6282.5864600988998</v>
      </c>
      <c r="AJ140" s="19">
        <v>2.1471128608973301E-2</v>
      </c>
      <c r="AK140" s="18">
        <v>4429.9641045429698</v>
      </c>
      <c r="AL140" s="19">
        <v>5.7279473738236497E-3</v>
      </c>
      <c r="AM140" s="18">
        <v>28035.866998490499</v>
      </c>
      <c r="AN140" s="19">
        <v>2.4132390198872101E-3</v>
      </c>
      <c r="AO140" s="18">
        <v>10616.882265299801</v>
      </c>
      <c r="AP140" s="19">
        <v>-2.18032100288701E-5</v>
      </c>
      <c r="AQ140" s="18">
        <v>7069.1449511560804</v>
      </c>
      <c r="AR140" s="19">
        <v>-9.3103933195759492E-3</v>
      </c>
      <c r="AS140" s="18">
        <v>9953.5899577322707</v>
      </c>
      <c r="AT140" s="19">
        <v>1.54909967518861E-2</v>
      </c>
      <c r="AU140" s="18">
        <v>1340.4798349299399</v>
      </c>
      <c r="AV140" s="19">
        <v>-7.2043694387081803E-2</v>
      </c>
      <c r="AW140" s="18">
        <v>2301.75270297512</v>
      </c>
      <c r="AX140" s="19">
        <v>-9.3901856393749893E-3</v>
      </c>
      <c r="AY140" s="18">
        <v>529.53537970968796</v>
      </c>
      <c r="AZ140" s="19">
        <v>1.7689046873848001E-2</v>
      </c>
      <c r="BA140" s="18">
        <v>4885.63300844674</v>
      </c>
      <c r="BB140" s="19">
        <v>-1.7876727204538801E-3</v>
      </c>
      <c r="BC140" s="18">
        <v>8327.3382600605291</v>
      </c>
      <c r="BD140" s="19">
        <v>4.4928244646769101E-3</v>
      </c>
      <c r="BE140" s="18">
        <v>-3441.58607754271</v>
      </c>
      <c r="BF140" s="19">
        <v>1.50745346476799E-2</v>
      </c>
      <c r="BG140" s="18"/>
      <c r="BH140" s="19"/>
    </row>
    <row r="141" spans="1:60" x14ac:dyDescent="0.15">
      <c r="A141" s="17">
        <v>2012</v>
      </c>
      <c r="B141" s="17">
        <v>2</v>
      </c>
      <c r="C141" s="18">
        <v>157968.073450372</v>
      </c>
      <c r="D141" s="19">
        <v>1.2425066386954099E-3</v>
      </c>
      <c r="E141" s="18">
        <v>153097.893632744</v>
      </c>
      <c r="F141" s="19">
        <v>1.40697321891525E-3</v>
      </c>
      <c r="G141" s="18">
        <v>1304.5247516142699</v>
      </c>
      <c r="H141" s="19">
        <v>-1.65096869156106E-2</v>
      </c>
      <c r="I141" s="18">
        <v>197.83314973122401</v>
      </c>
      <c r="J141" s="19">
        <v>4.3541502636711402E-2</v>
      </c>
      <c r="K141" s="18">
        <v>27211.130623862598</v>
      </c>
      <c r="L141" s="19">
        <v>-1.4197861042905499E-2</v>
      </c>
      <c r="M141" s="18">
        <v>5663.7121422769796</v>
      </c>
      <c r="N141" s="19">
        <v>-1.6387541882912599E-2</v>
      </c>
      <c r="O141" s="18">
        <v>22577.546747993802</v>
      </c>
      <c r="P141" s="19">
        <v>-1.34483976662025E-2</v>
      </c>
      <c r="Q141" s="18">
        <v>3492.6293764357802</v>
      </c>
      <c r="R141" s="19">
        <v>5.1468674587176197E-3</v>
      </c>
      <c r="S141" s="18">
        <v>423.70075956278299</v>
      </c>
      <c r="T141" s="19">
        <v>-2.2464040407500701E-2</v>
      </c>
      <c r="U141" s="18">
        <v>7900.0467421670901</v>
      </c>
      <c r="V141" s="19">
        <v>5.9297695702653598E-3</v>
      </c>
      <c r="W141" s="18">
        <v>24008.857712209301</v>
      </c>
      <c r="X141" s="19">
        <v>1.16569756292371E-2</v>
      </c>
      <c r="Y141" s="18">
        <v>5975.9617710210596</v>
      </c>
      <c r="Z141" s="19">
        <v>9.6517612021784804E-4</v>
      </c>
      <c r="AA141" s="18">
        <v>6790.1253504924398</v>
      </c>
      <c r="AB141" s="19">
        <v>-1.15091631088504E-3</v>
      </c>
      <c r="AC141" s="18">
        <v>3365.8926869205302</v>
      </c>
      <c r="AD141" s="19">
        <v>-6.1026344432088004E-3</v>
      </c>
      <c r="AE141" s="18">
        <v>6795.1266275073804</v>
      </c>
      <c r="AF141" s="19">
        <v>2.3027884633524099E-3</v>
      </c>
      <c r="AG141" s="18">
        <v>12636.797128078701</v>
      </c>
      <c r="AH141" s="19">
        <v>9.6035133165048893E-3</v>
      </c>
      <c r="AI141" s="18">
        <v>6374.4290504999899</v>
      </c>
      <c r="AJ141" s="19">
        <v>1.46185955393356E-2</v>
      </c>
      <c r="AK141" s="18">
        <v>4481.3574964688396</v>
      </c>
      <c r="AL141" s="19">
        <v>1.16013111422648E-2</v>
      </c>
      <c r="AM141" s="18">
        <v>28036.452530565799</v>
      </c>
      <c r="AN141" s="19">
        <v>2.0885106758017398E-5</v>
      </c>
      <c r="AO141" s="18">
        <v>10655.0395521385</v>
      </c>
      <c r="AP141" s="19">
        <v>3.5940199660577901E-3</v>
      </c>
      <c r="AQ141" s="18">
        <v>7076.0692008136302</v>
      </c>
      <c r="AR141" s="19">
        <v>9.7950313728167892E-4</v>
      </c>
      <c r="AS141" s="18">
        <v>10106.5924270995</v>
      </c>
      <c r="AT141" s="19">
        <v>1.5371586534802801E-2</v>
      </c>
      <c r="AU141" s="18">
        <v>1299.50903019458</v>
      </c>
      <c r="AV141" s="19">
        <v>-3.0564282779758499E-2</v>
      </c>
      <c r="AW141" s="18">
        <v>2284.68609335269</v>
      </c>
      <c r="AX141" s="19">
        <v>-7.4146147847982099E-3</v>
      </c>
      <c r="AY141" s="18">
        <v>534.91124618229401</v>
      </c>
      <c r="AZ141" s="19">
        <v>1.0152043996669999E-2</v>
      </c>
      <c r="BA141" s="18">
        <v>4869.1236540288901</v>
      </c>
      <c r="BB141" s="19">
        <v>-3.3791638441339499E-3</v>
      </c>
      <c r="BC141" s="18">
        <v>8341.6299754817301</v>
      </c>
      <c r="BD141" s="19">
        <v>1.7162405290704901E-3</v>
      </c>
      <c r="BE141" s="18">
        <v>-3476.1245285401601</v>
      </c>
      <c r="BF141" s="19">
        <v>1.00356202690466E-2</v>
      </c>
      <c r="BG141" s="18"/>
      <c r="BH141" s="19"/>
    </row>
    <row r="142" spans="1:60" x14ac:dyDescent="0.15">
      <c r="A142" s="17">
        <v>2012</v>
      </c>
      <c r="B142" s="17">
        <v>3</v>
      </c>
      <c r="C142" s="18">
        <v>158988.78106795499</v>
      </c>
      <c r="D142" s="19">
        <v>6.4614804453089203E-3</v>
      </c>
      <c r="E142" s="18">
        <v>154114.83328254599</v>
      </c>
      <c r="F142" s="19">
        <v>6.6424143773118303E-3</v>
      </c>
      <c r="G142" s="18">
        <v>1285.3422168049001</v>
      </c>
      <c r="H142" s="19">
        <v>-1.4704615443773701E-2</v>
      </c>
      <c r="I142" s="18">
        <v>203.913338094945</v>
      </c>
      <c r="J142" s="19">
        <v>3.0733920841787599E-2</v>
      </c>
      <c r="K142" s="18">
        <v>27248.155093569101</v>
      </c>
      <c r="L142" s="19">
        <v>1.3606369473693201E-3</v>
      </c>
      <c r="M142" s="18">
        <v>5770.8916278445904</v>
      </c>
      <c r="N142" s="19">
        <v>1.8923893530456801E-2</v>
      </c>
      <c r="O142" s="18">
        <v>22472.9485805767</v>
      </c>
      <c r="P142" s="19">
        <v>-4.6328402542824597E-3</v>
      </c>
      <c r="Q142" s="18">
        <v>3514.8607712134799</v>
      </c>
      <c r="R142" s="19">
        <v>6.3652315724329602E-3</v>
      </c>
      <c r="S142" s="18">
        <v>423.38878424507999</v>
      </c>
      <c r="T142" s="19">
        <v>-7.3631049900635404E-4</v>
      </c>
      <c r="U142" s="18">
        <v>7985.3438940728302</v>
      </c>
      <c r="V142" s="19">
        <v>1.07970439529752E-2</v>
      </c>
      <c r="W142" s="18">
        <v>24285.403698482001</v>
      </c>
      <c r="X142" s="19">
        <v>1.15184982804104E-2</v>
      </c>
      <c r="Y142" s="18">
        <v>6031.2192327495904</v>
      </c>
      <c r="Z142" s="19">
        <v>9.2466223590135198E-3</v>
      </c>
      <c r="AA142" s="18">
        <v>6870.7683312052504</v>
      </c>
      <c r="AB142" s="19">
        <v>1.1876508392729201E-2</v>
      </c>
      <c r="AC142" s="18">
        <v>3328.2424795430402</v>
      </c>
      <c r="AD142" s="19">
        <v>-1.11858014736466E-2</v>
      </c>
      <c r="AE142" s="18">
        <v>6848.5880091704303</v>
      </c>
      <c r="AF142" s="19">
        <v>7.8676063881768492E-3</v>
      </c>
      <c r="AG142" s="18">
        <v>12939.5559621556</v>
      </c>
      <c r="AH142" s="19">
        <v>2.3958510294056299E-2</v>
      </c>
      <c r="AI142" s="18">
        <v>6569.18575204629</v>
      </c>
      <c r="AJ142" s="19">
        <v>3.0552807161767798E-2</v>
      </c>
      <c r="AK142" s="18">
        <v>4559.4991840758303</v>
      </c>
      <c r="AL142" s="19">
        <v>1.7437057335544001E-2</v>
      </c>
      <c r="AM142" s="18">
        <v>28084.674651806199</v>
      </c>
      <c r="AN142" s="19">
        <v>1.71997941564772E-3</v>
      </c>
      <c r="AO142" s="18">
        <v>10677.948396501801</v>
      </c>
      <c r="AP142" s="19">
        <v>2.1500478014317998E-3</v>
      </c>
      <c r="AQ142" s="18">
        <v>7058.3948496493604</v>
      </c>
      <c r="AR142" s="19">
        <v>-2.4977640357498601E-3</v>
      </c>
      <c r="AS142" s="18">
        <v>10223.3102482633</v>
      </c>
      <c r="AT142" s="19">
        <v>1.15486819128952E-2</v>
      </c>
      <c r="AU142" s="18">
        <v>1251.12311204248</v>
      </c>
      <c r="AV142" s="19">
        <v>-3.7233999170328901E-2</v>
      </c>
      <c r="AW142" s="18">
        <v>2287.8078008437301</v>
      </c>
      <c r="AX142" s="19">
        <v>1.3663616634760299E-3</v>
      </c>
      <c r="AY142" s="18">
        <v>536.34520454081303</v>
      </c>
      <c r="AZ142" s="19">
        <v>2.6807407186761902E-3</v>
      </c>
      <c r="BA142" s="18">
        <v>4875.9076788378497</v>
      </c>
      <c r="BB142" s="19">
        <v>1.39327429143132E-3</v>
      </c>
      <c r="BC142" s="18">
        <v>8373.8810796791895</v>
      </c>
      <c r="BD142" s="19">
        <v>3.8662832434737098E-3</v>
      </c>
      <c r="BE142" s="18">
        <v>-3503.4134709210298</v>
      </c>
      <c r="BF142" s="19">
        <v>7.8503926303019594E-3</v>
      </c>
      <c r="BG142" s="18"/>
      <c r="BH142" s="19"/>
    </row>
    <row r="143" spans="1:60" x14ac:dyDescent="0.15">
      <c r="A143" s="17">
        <v>2012</v>
      </c>
      <c r="B143" s="17">
        <v>4</v>
      </c>
      <c r="C143" s="18">
        <v>159502.032587066</v>
      </c>
      <c r="D143" s="19">
        <v>3.2282247568926601E-3</v>
      </c>
      <c r="E143" s="18">
        <v>154661.35273606301</v>
      </c>
      <c r="F143" s="19">
        <v>3.5461833353509502E-3</v>
      </c>
      <c r="G143" s="18">
        <v>1256.71979084591</v>
      </c>
      <c r="H143" s="19">
        <v>-2.2268331020933299E-2</v>
      </c>
      <c r="I143" s="18">
        <v>203.62197317772799</v>
      </c>
      <c r="J143" s="19">
        <v>-1.4288663995194501E-3</v>
      </c>
      <c r="K143" s="18">
        <v>27323.3449327452</v>
      </c>
      <c r="L143" s="19">
        <v>2.7594469760567901E-3</v>
      </c>
      <c r="M143" s="18">
        <v>5945.14970018852</v>
      </c>
      <c r="N143" s="19">
        <v>3.01960396385084E-2</v>
      </c>
      <c r="O143" s="18">
        <v>22319.573004428399</v>
      </c>
      <c r="P143" s="19">
        <v>-6.8248977475465801E-3</v>
      </c>
      <c r="Q143" s="18">
        <v>3578.8782524158501</v>
      </c>
      <c r="R143" s="19">
        <v>1.8213376110562101E-2</v>
      </c>
      <c r="S143" s="18">
        <v>427.90758072655501</v>
      </c>
      <c r="T143" s="19">
        <v>1.0672924389180501E-2</v>
      </c>
      <c r="U143" s="18">
        <v>8027.61254685516</v>
      </c>
      <c r="V143" s="19">
        <v>5.2932789549242597E-3</v>
      </c>
      <c r="W143" s="18">
        <v>24335.336814716102</v>
      </c>
      <c r="X143" s="19">
        <v>2.05609578716714E-3</v>
      </c>
      <c r="Y143" s="18">
        <v>6040.4426590363501</v>
      </c>
      <c r="Z143" s="19">
        <v>1.52928055353696E-3</v>
      </c>
      <c r="AA143" s="18">
        <v>6765.2985744800799</v>
      </c>
      <c r="AB143" s="19">
        <v>-1.5350503996205399E-2</v>
      </c>
      <c r="AC143" s="18">
        <v>3378.3482526754901</v>
      </c>
      <c r="AD143" s="19">
        <v>1.50547243599073E-2</v>
      </c>
      <c r="AE143" s="18">
        <v>6895.2785807947203</v>
      </c>
      <c r="AF143" s="19">
        <v>6.8175471442835098E-3</v>
      </c>
      <c r="AG143" s="18">
        <v>13091.8081150281</v>
      </c>
      <c r="AH143" s="19">
        <v>1.17664124887868E-2</v>
      </c>
      <c r="AI143" s="18">
        <v>6593.2477091372302</v>
      </c>
      <c r="AJ143" s="19">
        <v>3.6628522923778401E-3</v>
      </c>
      <c r="AK143" s="18">
        <v>4665.6821989017599</v>
      </c>
      <c r="AL143" s="19">
        <v>2.32883065747174E-2</v>
      </c>
      <c r="AM143" s="18">
        <v>28120.299857456499</v>
      </c>
      <c r="AN143" s="19">
        <v>1.26849273107243E-3</v>
      </c>
      <c r="AO143" s="18">
        <v>10673.793572594101</v>
      </c>
      <c r="AP143" s="19">
        <v>-3.8910320161211802E-4</v>
      </c>
      <c r="AQ143" s="18">
        <v>7046.5167788339104</v>
      </c>
      <c r="AR143" s="19">
        <v>-1.68282889643756E-3</v>
      </c>
      <c r="AS143" s="18">
        <v>10378.4779755899</v>
      </c>
      <c r="AT143" s="19">
        <v>1.51778360979391E-2</v>
      </c>
      <c r="AU143" s="18">
        <v>1216.4592903442399</v>
      </c>
      <c r="AV143" s="19">
        <v>-2.77061636577484E-2</v>
      </c>
      <c r="AW143" s="18">
        <v>2299.7543721066299</v>
      </c>
      <c r="AX143" s="19">
        <v>5.2218421750720402E-3</v>
      </c>
      <c r="AY143" s="18">
        <v>532.16068257994505</v>
      </c>
      <c r="AZ143" s="19">
        <v>-7.8019192218751199E-3</v>
      </c>
      <c r="BA143" s="18">
        <v>4846.3133031624202</v>
      </c>
      <c r="BB143" s="19">
        <v>-6.0695110787013498E-3</v>
      </c>
      <c r="BC143" s="18">
        <v>8362.0856127634506</v>
      </c>
      <c r="BD143" s="19">
        <v>-1.40860215275362E-3</v>
      </c>
      <c r="BE143" s="18">
        <v>-3524.6167853740999</v>
      </c>
      <c r="BF143" s="19">
        <v>6.0521872822221203E-3</v>
      </c>
      <c r="BG143" s="18"/>
      <c r="BH143" s="19"/>
    </row>
    <row r="144" spans="1:60" x14ac:dyDescent="0.15">
      <c r="A144" s="17">
        <v>2013</v>
      </c>
      <c r="B144" s="17">
        <v>1</v>
      </c>
      <c r="C144" s="18">
        <v>160375.920744662</v>
      </c>
      <c r="D144" s="19">
        <v>5.4788527984339598E-3</v>
      </c>
      <c r="E144" s="18">
        <v>155516.98239144299</v>
      </c>
      <c r="F144" s="19">
        <v>5.5322783632965099E-3</v>
      </c>
      <c r="G144" s="18">
        <v>1206.8421997696501</v>
      </c>
      <c r="H144" s="19">
        <v>-3.9688712980865702E-2</v>
      </c>
      <c r="I144" s="18">
        <v>201.11083331230901</v>
      </c>
      <c r="J144" s="19">
        <v>-1.2332361906867401E-2</v>
      </c>
      <c r="K144" s="18">
        <v>27476.091385073902</v>
      </c>
      <c r="L144" s="19">
        <v>5.5903277107802697E-3</v>
      </c>
      <c r="M144" s="18">
        <v>6050.4477814740603</v>
      </c>
      <c r="N144" s="19">
        <v>1.7711594593186501E-2</v>
      </c>
      <c r="O144" s="18">
        <v>22330.081005941302</v>
      </c>
      <c r="P144" s="19">
        <v>4.7079760489876499E-4</v>
      </c>
      <c r="Q144" s="18">
        <v>3699.5839265385298</v>
      </c>
      <c r="R144" s="19">
        <v>3.3727236751125003E-2</v>
      </c>
      <c r="S144" s="18">
        <v>446.23977881525701</v>
      </c>
      <c r="T144" s="19">
        <v>4.2841489411277203E-2</v>
      </c>
      <c r="U144" s="18">
        <v>8000.0560552100997</v>
      </c>
      <c r="V144" s="19">
        <v>-3.4327132113329802E-3</v>
      </c>
      <c r="W144" s="18">
        <v>24254.5117554955</v>
      </c>
      <c r="X144" s="19">
        <v>-3.3213043170902102E-3</v>
      </c>
      <c r="Y144" s="18">
        <v>6080.2903101591</v>
      </c>
      <c r="Z144" s="19">
        <v>6.5968097657771504E-3</v>
      </c>
      <c r="AA144" s="18">
        <v>6559.59658785185</v>
      </c>
      <c r="AB144" s="19">
        <v>-3.0405455777542501E-2</v>
      </c>
      <c r="AC144" s="18">
        <v>3390.87385916522</v>
      </c>
      <c r="AD144" s="19">
        <v>3.70761258251195E-3</v>
      </c>
      <c r="AE144" s="18">
        <v>7039.2610593874297</v>
      </c>
      <c r="AF144" s="19">
        <v>2.08813142073387E-2</v>
      </c>
      <c r="AG144" s="18">
        <v>13519.8255359415</v>
      </c>
      <c r="AH144" s="19">
        <v>3.2693529965665401E-2</v>
      </c>
      <c r="AI144" s="18">
        <v>6834.18022673829</v>
      </c>
      <c r="AJ144" s="19">
        <v>3.6542312412617399E-2</v>
      </c>
      <c r="AK144" s="18">
        <v>4801.94184291082</v>
      </c>
      <c r="AL144" s="19">
        <v>2.9204656082475001E-2</v>
      </c>
      <c r="AM144" s="18">
        <v>28168.484135448201</v>
      </c>
      <c r="AN144" s="19">
        <v>1.71350512746615E-3</v>
      </c>
      <c r="AO144" s="18">
        <v>10712.7377610655</v>
      </c>
      <c r="AP144" s="19">
        <v>3.64857987992018E-3</v>
      </c>
      <c r="AQ144" s="18">
        <v>7077.4762799549299</v>
      </c>
      <c r="AR144" s="19">
        <v>4.39358935666134E-3</v>
      </c>
      <c r="AS144" s="18">
        <v>10490.5352344651</v>
      </c>
      <c r="AT144" s="19">
        <v>1.07970801825483E-2</v>
      </c>
      <c r="AU144" s="18">
        <v>1239.42141628629</v>
      </c>
      <c r="AV144" s="19">
        <v>1.8876197604241099E-2</v>
      </c>
      <c r="AW144" s="18">
        <v>2321.3669974940399</v>
      </c>
      <c r="AX144" s="19">
        <v>9.3977972819832001E-3</v>
      </c>
      <c r="AY144" s="18">
        <v>523.400634591997</v>
      </c>
      <c r="AZ144" s="19">
        <v>-1.64612837338514E-2</v>
      </c>
      <c r="BA144" s="18">
        <v>4863.0430398232702</v>
      </c>
      <c r="BB144" s="19">
        <v>3.4520542966003402E-3</v>
      </c>
      <c r="BC144" s="18">
        <v>8351.4818354537692</v>
      </c>
      <c r="BD144" s="19">
        <v>-1.2680780609917201E-3</v>
      </c>
      <c r="BE144" s="18">
        <v>-3493.3842744038898</v>
      </c>
      <c r="BF144" s="19">
        <v>-8.8612501364174808E-3</v>
      </c>
      <c r="BG144" s="18"/>
      <c r="BH144" s="19"/>
    </row>
    <row r="145" spans="1:60" x14ac:dyDescent="0.15">
      <c r="A145" s="17">
        <v>2013</v>
      </c>
      <c r="B145" s="17">
        <v>2</v>
      </c>
      <c r="C145" s="18">
        <v>161421.81244799701</v>
      </c>
      <c r="D145" s="19">
        <v>6.5215008492434104E-3</v>
      </c>
      <c r="E145" s="18">
        <v>156530.30144254299</v>
      </c>
      <c r="F145" s="19">
        <v>6.5158096274626799E-3</v>
      </c>
      <c r="G145" s="18">
        <v>1193.5597233563501</v>
      </c>
      <c r="H145" s="19">
        <v>-1.10059761051106E-2</v>
      </c>
      <c r="I145" s="18">
        <v>205.86971807884899</v>
      </c>
      <c r="J145" s="19">
        <v>2.36629956137131E-2</v>
      </c>
      <c r="K145" s="18">
        <v>27839.193294068398</v>
      </c>
      <c r="L145" s="19">
        <v>1.3215195127490101E-2</v>
      </c>
      <c r="M145" s="18">
        <v>6212.4022712369397</v>
      </c>
      <c r="N145" s="19">
        <v>2.6767356006073301E-2</v>
      </c>
      <c r="O145" s="18">
        <v>22508.0532484582</v>
      </c>
      <c r="P145" s="19">
        <v>7.9700670351137096E-3</v>
      </c>
      <c r="Q145" s="18">
        <v>3505.5844913287801</v>
      </c>
      <c r="R145" s="19">
        <v>-5.2438176579294601E-2</v>
      </c>
      <c r="S145" s="18">
        <v>466.21225275552098</v>
      </c>
      <c r="T145" s="19">
        <v>4.4757269271892899E-2</v>
      </c>
      <c r="U145" s="18">
        <v>8089.2715571302797</v>
      </c>
      <c r="V145" s="19">
        <v>1.11518596000424E-2</v>
      </c>
      <c r="W145" s="18">
        <v>24284.178206042299</v>
      </c>
      <c r="X145" s="19">
        <v>1.22313121970241E-3</v>
      </c>
      <c r="Y145" s="18">
        <v>6153.3627274345199</v>
      </c>
      <c r="Z145" s="19">
        <v>1.20179158474274E-2</v>
      </c>
      <c r="AA145" s="18">
        <v>6498.2008540249099</v>
      </c>
      <c r="AB145" s="19">
        <v>-9.3596813469670696E-3</v>
      </c>
      <c r="AC145" s="18">
        <v>3423.2414622873498</v>
      </c>
      <c r="AD145" s="19">
        <v>9.5455049248283092E-3</v>
      </c>
      <c r="AE145" s="18">
        <v>7012.7220924826797</v>
      </c>
      <c r="AF145" s="19">
        <v>-3.7701353424533001E-3</v>
      </c>
      <c r="AG145" s="18">
        <v>13771.5038208652</v>
      </c>
      <c r="AH145" s="19">
        <v>1.8615497977737101E-2</v>
      </c>
      <c r="AI145" s="18">
        <v>6972.7905046249598</v>
      </c>
      <c r="AJ145" s="19">
        <v>2.0281917258248499E-2</v>
      </c>
      <c r="AK145" s="18">
        <v>4890.9776226742497</v>
      </c>
      <c r="AL145" s="19">
        <v>1.8541619760529902E-2</v>
      </c>
      <c r="AM145" s="18">
        <v>28289.026297959001</v>
      </c>
      <c r="AN145" s="19">
        <v>4.2793272769388003E-3</v>
      </c>
      <c r="AO145" s="18">
        <v>10757.1859711343</v>
      </c>
      <c r="AP145" s="19">
        <v>4.1490990501438204E-3</v>
      </c>
      <c r="AQ145" s="18">
        <v>7091.4288873759197</v>
      </c>
      <c r="AR145" s="19">
        <v>1.9714099869911901E-3</v>
      </c>
      <c r="AS145" s="18">
        <v>10637.896390775901</v>
      </c>
      <c r="AT145" s="19">
        <v>1.4047057944830899E-2</v>
      </c>
      <c r="AU145" s="18">
        <v>1302.50309941976</v>
      </c>
      <c r="AV145" s="19">
        <v>5.0896073203640299E-2</v>
      </c>
      <c r="AW145" s="18">
        <v>2338.0620493609999</v>
      </c>
      <c r="AX145" s="19">
        <v>7.1919054096067896E-3</v>
      </c>
      <c r="AY145" s="18">
        <v>519.49677536584898</v>
      </c>
      <c r="AZ145" s="19">
        <v>-7.4586444267321604E-3</v>
      </c>
      <c r="BA145" s="18">
        <v>4895.5667903188296</v>
      </c>
      <c r="BB145" s="19">
        <v>6.6879421442966897E-3</v>
      </c>
      <c r="BC145" s="18">
        <v>8372.5307319253207</v>
      </c>
      <c r="BD145" s="19">
        <v>2.52037864492394E-3</v>
      </c>
      <c r="BE145" s="18">
        <v>-3480.3268066886999</v>
      </c>
      <c r="BF145" s="19">
        <v>-3.7377702220899901E-3</v>
      </c>
      <c r="BG145" s="18"/>
      <c r="BH145" s="19"/>
    </row>
    <row r="146" spans="1:60" x14ac:dyDescent="0.15">
      <c r="A146" s="17">
        <v>2013</v>
      </c>
      <c r="B146" s="17">
        <v>3</v>
      </c>
      <c r="C146" s="18">
        <v>162664.12271255199</v>
      </c>
      <c r="D146" s="19">
        <v>7.6960495345399496E-3</v>
      </c>
      <c r="E146" s="18">
        <v>157758.653899508</v>
      </c>
      <c r="F146" s="19">
        <v>7.8473780836390006E-3</v>
      </c>
      <c r="G146" s="18">
        <v>1203.01315379988</v>
      </c>
      <c r="H146" s="19">
        <v>7.9203664957348003E-3</v>
      </c>
      <c r="I146" s="18">
        <v>207.36301572349899</v>
      </c>
      <c r="J146" s="19">
        <v>7.2536051371974199E-3</v>
      </c>
      <c r="K146" s="18">
        <v>28359.931299740201</v>
      </c>
      <c r="L146" s="19">
        <v>1.87052117556437E-2</v>
      </c>
      <c r="M146" s="18">
        <v>6259.67068087401</v>
      </c>
      <c r="N146" s="19">
        <v>7.6087168173122298E-3</v>
      </c>
      <c r="O146" s="18">
        <v>23027.539287568401</v>
      </c>
      <c r="P146" s="19">
        <v>2.30800075588866E-2</v>
      </c>
      <c r="Q146" s="18">
        <v>3381.6665829214899</v>
      </c>
      <c r="R146" s="19">
        <v>-3.5348715375085299E-2</v>
      </c>
      <c r="S146" s="18">
        <v>478.93774598588601</v>
      </c>
      <c r="T146" s="19">
        <v>2.7295492890098399E-2</v>
      </c>
      <c r="U146" s="18">
        <v>8105.5352512319996</v>
      </c>
      <c r="V146" s="19">
        <v>2.0105264098091401E-3</v>
      </c>
      <c r="W146" s="18">
        <v>24511.132369087802</v>
      </c>
      <c r="X146" s="19">
        <v>9.3457625421722295E-3</v>
      </c>
      <c r="Y146" s="18">
        <v>6206.0098214434702</v>
      </c>
      <c r="Z146" s="19">
        <v>8.5558248946098203E-3</v>
      </c>
      <c r="AA146" s="18">
        <v>6510.8253849284301</v>
      </c>
      <c r="AB146" s="19">
        <v>1.9427732671113401E-3</v>
      </c>
      <c r="AC146" s="18">
        <v>3449.4111375350499</v>
      </c>
      <c r="AD146" s="19">
        <v>7.6447062049240797E-3</v>
      </c>
      <c r="AE146" s="18">
        <v>6975.7273610191896</v>
      </c>
      <c r="AF146" s="19">
        <v>-5.2753739525982501E-3</v>
      </c>
      <c r="AG146" s="18">
        <v>13803.0001044972</v>
      </c>
      <c r="AH146" s="19">
        <v>2.28706204069917E-3</v>
      </c>
      <c r="AI146" s="18">
        <v>6959.7406275533604</v>
      </c>
      <c r="AJ146" s="19">
        <v>-1.8715429730663501E-3</v>
      </c>
      <c r="AK146" s="18">
        <v>4934.3709427575304</v>
      </c>
      <c r="AL146" s="19">
        <v>8.8721158490103792E-3</v>
      </c>
      <c r="AM146" s="18">
        <v>28476.942187367102</v>
      </c>
      <c r="AN146" s="19">
        <v>6.6427132354733897E-3</v>
      </c>
      <c r="AO146" s="18">
        <v>10841.1462994997</v>
      </c>
      <c r="AP146" s="19">
        <v>7.8050457239202701E-3</v>
      </c>
      <c r="AQ146" s="18">
        <v>7194.4858874806596</v>
      </c>
      <c r="AR146" s="19">
        <v>1.45326141940447E-2</v>
      </c>
      <c r="AS146" s="18">
        <v>10699.4052856542</v>
      </c>
      <c r="AT146" s="19">
        <v>5.7820543290512099E-3</v>
      </c>
      <c r="AU146" s="18">
        <v>1346.6229278006399</v>
      </c>
      <c r="AV146" s="19">
        <v>3.3873108171900597E-2</v>
      </c>
      <c r="AW146" s="18">
        <v>2326.88060028776</v>
      </c>
      <c r="AX146" s="19">
        <v>-4.7823577121481903E-3</v>
      </c>
      <c r="AY146" s="18">
        <v>520.10034464211799</v>
      </c>
      <c r="AZ146" s="19">
        <v>1.1618345000203899E-3</v>
      </c>
      <c r="BA146" s="18">
        <v>4910.73974056724</v>
      </c>
      <c r="BB146" s="19">
        <v>3.0993245314128201E-3</v>
      </c>
      <c r="BC146" s="18">
        <v>8387.8947141389508</v>
      </c>
      <c r="BD146" s="19">
        <v>1.83504638030674E-3</v>
      </c>
      <c r="BE146" s="18">
        <v>-3480.036888227</v>
      </c>
      <c r="BF146" s="19">
        <v>-8.3302079892710906E-5</v>
      </c>
      <c r="BG146" s="18"/>
      <c r="BH146" s="19"/>
    </row>
    <row r="147" spans="1:60" x14ac:dyDescent="0.15">
      <c r="A147" s="17">
        <v>2013</v>
      </c>
      <c r="B147" s="17">
        <v>4</v>
      </c>
      <c r="C147" s="18">
        <v>162957.891103075</v>
      </c>
      <c r="D147" s="19">
        <v>1.80598146428812E-3</v>
      </c>
      <c r="E147" s="18">
        <v>158037.68658082001</v>
      </c>
      <c r="F147" s="19">
        <v>1.7687313780558899E-3</v>
      </c>
      <c r="G147" s="18">
        <v>1237.88679401442</v>
      </c>
      <c r="H147" s="19">
        <v>2.8988577643047599E-2</v>
      </c>
      <c r="I147" s="18">
        <v>205.19289677531299</v>
      </c>
      <c r="J147" s="19">
        <v>-1.0465313405163299E-2</v>
      </c>
      <c r="K147" s="18">
        <v>28204.898015675401</v>
      </c>
      <c r="L147" s="19">
        <v>-5.4666311573972103E-3</v>
      </c>
      <c r="M147" s="18">
        <v>6204.9512764751798</v>
      </c>
      <c r="N147" s="19">
        <v>-8.7415787808160506E-3</v>
      </c>
      <c r="O147" s="18">
        <v>22930.938590587099</v>
      </c>
      <c r="P147" s="19">
        <v>-4.1950073681321599E-3</v>
      </c>
      <c r="Q147" s="18">
        <v>3447.2073614828</v>
      </c>
      <c r="R147" s="19">
        <v>1.9381206560194601E-2</v>
      </c>
      <c r="S147" s="18">
        <v>484.09896620463297</v>
      </c>
      <c r="T147" s="19">
        <v>1.07763905893918E-2</v>
      </c>
      <c r="U147" s="18">
        <v>8165.2128998484204</v>
      </c>
      <c r="V147" s="19">
        <v>7.3625796158678404E-3</v>
      </c>
      <c r="W147" s="18">
        <v>24602.4091711289</v>
      </c>
      <c r="X147" s="19">
        <v>3.7238916858963701E-3</v>
      </c>
      <c r="Y147" s="18">
        <v>6277.1109499877803</v>
      </c>
      <c r="Z147" s="19">
        <v>1.1456818566196099E-2</v>
      </c>
      <c r="AA147" s="18">
        <v>6492.6844693583198</v>
      </c>
      <c r="AB147" s="19">
        <v>-2.7862697119936902E-3</v>
      </c>
      <c r="AC147" s="18">
        <v>3436.68195866418</v>
      </c>
      <c r="AD147" s="19">
        <v>-3.6902469329795902E-3</v>
      </c>
      <c r="AE147" s="18">
        <v>6966.0169585189997</v>
      </c>
      <c r="AF147" s="19">
        <v>-1.39202723925946E-3</v>
      </c>
      <c r="AG147" s="18">
        <v>13705.538018589001</v>
      </c>
      <c r="AH147" s="19">
        <v>-7.0609349540212696E-3</v>
      </c>
      <c r="AI147" s="18">
        <v>6864.0936366392098</v>
      </c>
      <c r="AJ147" s="19">
        <v>-1.37428958969369E-2</v>
      </c>
      <c r="AK147" s="18">
        <v>4932.4950249699004</v>
      </c>
      <c r="AL147" s="19">
        <v>-3.80173645108783E-4</v>
      </c>
      <c r="AM147" s="18">
        <v>28588.103447184702</v>
      </c>
      <c r="AN147" s="19">
        <v>3.9035532356752598E-3</v>
      </c>
      <c r="AO147" s="18">
        <v>10881.7746858508</v>
      </c>
      <c r="AP147" s="19">
        <v>3.7476098217488199E-3</v>
      </c>
      <c r="AQ147" s="18">
        <v>7193.2283200544298</v>
      </c>
      <c r="AR147" s="19">
        <v>-1.74796009874689E-4</v>
      </c>
      <c r="AS147" s="18">
        <v>10841.9995358655</v>
      </c>
      <c r="AT147" s="19">
        <v>1.3327306182376399E-2</v>
      </c>
      <c r="AU147" s="18">
        <v>1446.6953482940901</v>
      </c>
      <c r="AV147" s="19">
        <v>7.4313616995141302E-2</v>
      </c>
      <c r="AW147" s="18">
        <v>2327.2533720769602</v>
      </c>
      <c r="AX147" s="19">
        <v>1.60202371002338E-4</v>
      </c>
      <c r="AY147" s="18">
        <v>523.97833774682601</v>
      </c>
      <c r="AZ147" s="19">
        <v>7.4562402133693303E-3</v>
      </c>
      <c r="BA147" s="18">
        <v>4925.0619662793097</v>
      </c>
      <c r="BB147" s="19">
        <v>2.9165108453530499E-3</v>
      </c>
      <c r="BC147" s="18">
        <v>8394.1164315726401</v>
      </c>
      <c r="BD147" s="19">
        <v>7.4174958624628805E-4</v>
      </c>
      <c r="BE147" s="18">
        <v>-3471.0979935693099</v>
      </c>
      <c r="BF147" s="19">
        <v>-2.5686206625920001E-3</v>
      </c>
      <c r="BG147" s="18"/>
      <c r="BH147" s="19"/>
    </row>
    <row r="148" spans="1:60" x14ac:dyDescent="0.15">
      <c r="A148" s="17">
        <v>2014</v>
      </c>
      <c r="B148" s="17">
        <v>1</v>
      </c>
      <c r="C148" s="18">
        <v>163781.084668275</v>
      </c>
      <c r="D148" s="19">
        <v>5.0515722781345803E-3</v>
      </c>
      <c r="E148" s="18">
        <v>158832.44581675</v>
      </c>
      <c r="F148" s="19">
        <v>5.0289222344654903E-3</v>
      </c>
      <c r="G148" s="18">
        <v>1325.4268351146</v>
      </c>
      <c r="H148" s="19">
        <v>7.0717323687004702E-2</v>
      </c>
      <c r="I148" s="18">
        <v>203.537867590395</v>
      </c>
      <c r="J148" s="19">
        <v>-8.0657235748770005E-3</v>
      </c>
      <c r="K148" s="18">
        <v>28226.671537697301</v>
      </c>
      <c r="L148" s="19">
        <v>7.7197662653261101E-4</v>
      </c>
      <c r="M148" s="18">
        <v>6181.4259534641596</v>
      </c>
      <c r="N148" s="19">
        <v>-3.7913791684730499E-3</v>
      </c>
      <c r="O148" s="18">
        <v>22986.9998681713</v>
      </c>
      <c r="P148" s="19">
        <v>2.4447877422335601E-3</v>
      </c>
      <c r="Q148" s="18">
        <v>3081.0256824039502</v>
      </c>
      <c r="R148" s="19">
        <v>-0.10622560254725701</v>
      </c>
      <c r="S148" s="18">
        <v>492.91493720567598</v>
      </c>
      <c r="T148" s="19">
        <v>1.8211092393276999E-2</v>
      </c>
      <c r="U148" s="18">
        <v>8219.7863628839204</v>
      </c>
      <c r="V148" s="19">
        <v>6.6836546339792396E-3</v>
      </c>
      <c r="W148" s="18">
        <v>24764.0400312167</v>
      </c>
      <c r="X148" s="19">
        <v>6.5697167689344697E-3</v>
      </c>
      <c r="Y148" s="18">
        <v>6283.5323974458797</v>
      </c>
      <c r="Z148" s="19">
        <v>1.02299409860107E-3</v>
      </c>
      <c r="AA148" s="18">
        <v>6746.73381652223</v>
      </c>
      <c r="AB148" s="19">
        <v>3.9128552813997103E-2</v>
      </c>
      <c r="AC148" s="18">
        <v>3454.8583622737801</v>
      </c>
      <c r="AD148" s="19">
        <v>5.2889396889868002E-3</v>
      </c>
      <c r="AE148" s="18">
        <v>7053.3892665983003</v>
      </c>
      <c r="AF148" s="19">
        <v>1.2542649350350901E-2</v>
      </c>
      <c r="AG148" s="18">
        <v>13604.346662913</v>
      </c>
      <c r="AH148" s="19">
        <v>-7.3832457754484703E-3</v>
      </c>
      <c r="AI148" s="18">
        <v>6820.1318792824404</v>
      </c>
      <c r="AJ148" s="19">
        <v>-6.4045975599916804E-3</v>
      </c>
      <c r="AK148" s="18">
        <v>4884.52478776519</v>
      </c>
      <c r="AL148" s="19">
        <v>-9.7253493337285894E-3</v>
      </c>
      <c r="AM148" s="18">
        <v>28821.834836001301</v>
      </c>
      <c r="AN148" s="19">
        <v>8.1758270270821908E-3</v>
      </c>
      <c r="AO148" s="18">
        <v>10888.6386354556</v>
      </c>
      <c r="AP148" s="19">
        <v>6.3077483250229005E-4</v>
      </c>
      <c r="AQ148" s="18">
        <v>7250.5400038770604</v>
      </c>
      <c r="AR148" s="19">
        <v>7.9674495612553908E-3</v>
      </c>
      <c r="AS148" s="18">
        <v>10994.420562659199</v>
      </c>
      <c r="AT148" s="19">
        <v>1.4058387135099E-2</v>
      </c>
      <c r="AU148" s="18">
        <v>1564.33839714025</v>
      </c>
      <c r="AV148" s="19">
        <v>8.1318467626844401E-2</v>
      </c>
      <c r="AW148" s="18">
        <v>2295.7952210250701</v>
      </c>
      <c r="AX148" s="19">
        <v>-1.35172866991359E-2</v>
      </c>
      <c r="AY148" s="18">
        <v>531.84740141260897</v>
      </c>
      <c r="AZ148" s="19">
        <v>1.5017917915502599E-2</v>
      </c>
      <c r="BA148" s="18">
        <v>4953.3403346833102</v>
      </c>
      <c r="BB148" s="19">
        <v>5.74172844882259E-3</v>
      </c>
      <c r="BC148" s="18">
        <v>8415.5541980837897</v>
      </c>
      <c r="BD148" s="19">
        <v>2.5539038784969702E-3</v>
      </c>
      <c r="BE148" s="18">
        <v>-3463.0793318083502</v>
      </c>
      <c r="BF148" s="19">
        <v>-2.31012255367546E-3</v>
      </c>
      <c r="BG148" s="18"/>
      <c r="BH148" s="19"/>
    </row>
    <row r="149" spans="1:60" x14ac:dyDescent="0.15">
      <c r="A149" s="17">
        <v>2014</v>
      </c>
      <c r="B149" s="17">
        <v>2</v>
      </c>
      <c r="C149" s="18">
        <v>164895.91963900099</v>
      </c>
      <c r="D149" s="19">
        <v>6.8068603464479498E-3</v>
      </c>
      <c r="E149" s="18">
        <v>159917.90067510199</v>
      </c>
      <c r="F149" s="19">
        <v>6.8339617435890796E-3</v>
      </c>
      <c r="G149" s="18">
        <v>1357.13263612264</v>
      </c>
      <c r="H149" s="19">
        <v>2.39212004526057E-2</v>
      </c>
      <c r="I149" s="18">
        <v>195.52720816519999</v>
      </c>
      <c r="J149" s="19">
        <v>-3.9357096151345999E-2</v>
      </c>
      <c r="K149" s="18">
        <v>28462.810259612699</v>
      </c>
      <c r="L149" s="19">
        <v>8.3658011749645506E-3</v>
      </c>
      <c r="M149" s="18">
        <v>6313.4760664486803</v>
      </c>
      <c r="N149" s="19">
        <v>2.1362403105470201E-2</v>
      </c>
      <c r="O149" s="18">
        <v>23067.482772015301</v>
      </c>
      <c r="P149" s="19">
        <v>3.5012356682284601E-3</v>
      </c>
      <c r="Q149" s="18">
        <v>2940.97863370308</v>
      </c>
      <c r="R149" s="19">
        <v>-4.5454683971215902E-2</v>
      </c>
      <c r="S149" s="18">
        <v>501.960790829774</v>
      </c>
      <c r="T149" s="19">
        <v>1.8351753905814699E-2</v>
      </c>
      <c r="U149" s="18">
        <v>8242.3135298723901</v>
      </c>
      <c r="V149" s="19">
        <v>2.7406024918352799E-3</v>
      </c>
      <c r="W149" s="18">
        <v>25164.409828909502</v>
      </c>
      <c r="X149" s="19">
        <v>1.6167386144915401E-2</v>
      </c>
      <c r="Y149" s="18">
        <v>6285.3062917137004</v>
      </c>
      <c r="Z149" s="19">
        <v>2.8230844620824602E-4</v>
      </c>
      <c r="AA149" s="18">
        <v>6724.0787189148696</v>
      </c>
      <c r="AB149" s="19">
        <v>-3.3579355912756199E-3</v>
      </c>
      <c r="AC149" s="18">
        <v>3420.5760374261199</v>
      </c>
      <c r="AD149" s="19">
        <v>-9.9229320721269092E-3</v>
      </c>
      <c r="AE149" s="18">
        <v>7224.9187821400101</v>
      </c>
      <c r="AF149" s="19">
        <v>2.4318736575902802E-2</v>
      </c>
      <c r="AG149" s="18">
        <v>13573.297176412299</v>
      </c>
      <c r="AH149" s="19">
        <v>-2.2823210309207398E-3</v>
      </c>
      <c r="AI149" s="18">
        <v>6808.0486137820599</v>
      </c>
      <c r="AJ149" s="19">
        <v>-1.77170554972483E-3</v>
      </c>
      <c r="AK149" s="18">
        <v>4871.6452574267096</v>
      </c>
      <c r="AL149" s="19">
        <v>-2.63680314833148E-3</v>
      </c>
      <c r="AM149" s="18">
        <v>29060.762570572999</v>
      </c>
      <c r="AN149" s="19">
        <v>8.2898169367506807E-3</v>
      </c>
      <c r="AO149" s="18">
        <v>10928.0162684887</v>
      </c>
      <c r="AP149" s="19">
        <v>3.61639635141242E-3</v>
      </c>
      <c r="AQ149" s="18">
        <v>7290.1428934412897</v>
      </c>
      <c r="AR149" s="19">
        <v>5.4620606938320399E-3</v>
      </c>
      <c r="AS149" s="18">
        <v>10994.938398875</v>
      </c>
      <c r="AT149" s="19">
        <v>4.7099909702419403E-5</v>
      </c>
      <c r="AU149" s="18">
        <v>1620.4517224658</v>
      </c>
      <c r="AV149" s="19">
        <v>3.5870324111545698E-2</v>
      </c>
      <c r="AW149" s="18">
        <v>2319.5178847086499</v>
      </c>
      <c r="AX149" s="19">
        <v>1.0333092196695801E-2</v>
      </c>
      <c r="AY149" s="18">
        <v>538.32607171158304</v>
      </c>
      <c r="AZ149" s="19">
        <v>1.21814458090159E-2</v>
      </c>
      <c r="BA149" s="18">
        <v>4983.0993792345998</v>
      </c>
      <c r="BB149" s="19">
        <v>6.0078739881686003E-3</v>
      </c>
      <c r="BC149" s="18">
        <v>8449.6779931613291</v>
      </c>
      <c r="BD149" s="19">
        <v>4.0548482339177704E-3</v>
      </c>
      <c r="BE149" s="18">
        <v>-3466.7021012461</v>
      </c>
      <c r="BF149" s="19">
        <v>1.04611217088602E-3</v>
      </c>
      <c r="BG149" s="18"/>
      <c r="BH149" s="19"/>
    </row>
    <row r="150" spans="1:60" x14ac:dyDescent="0.15">
      <c r="A150" s="17">
        <v>2014</v>
      </c>
      <c r="B150" s="17">
        <v>3</v>
      </c>
      <c r="C150" s="18">
        <v>166143.35341167101</v>
      </c>
      <c r="D150" s="19">
        <v>7.5649765949354899E-3</v>
      </c>
      <c r="E150" s="18">
        <v>161137.25698050801</v>
      </c>
      <c r="F150" s="19">
        <v>7.6248893979828898E-3</v>
      </c>
      <c r="G150" s="18">
        <v>1357.10825416231</v>
      </c>
      <c r="H150" s="19">
        <v>-1.7965790285789902E-5</v>
      </c>
      <c r="I150" s="18">
        <v>188.06480133853901</v>
      </c>
      <c r="J150" s="19">
        <v>-3.81655673227611E-2</v>
      </c>
      <c r="K150" s="18">
        <v>28765.2059677947</v>
      </c>
      <c r="L150" s="19">
        <v>1.0624239329280799E-2</v>
      </c>
      <c r="M150" s="18">
        <v>6568.9540556363499</v>
      </c>
      <c r="N150" s="19">
        <v>4.0465503709651102E-2</v>
      </c>
      <c r="O150" s="18">
        <v>23050.320440001298</v>
      </c>
      <c r="P150" s="19">
        <v>-7.4400541158470301E-4</v>
      </c>
      <c r="Q150" s="18">
        <v>2899.5540350082201</v>
      </c>
      <c r="R150" s="19">
        <v>-1.40853109982304E-2</v>
      </c>
      <c r="S150" s="18">
        <v>508.751775771805</v>
      </c>
      <c r="T150" s="19">
        <v>1.3528915138580001E-2</v>
      </c>
      <c r="U150" s="18">
        <v>8245.03391947604</v>
      </c>
      <c r="V150" s="19">
        <v>3.30051701356249E-4</v>
      </c>
      <c r="W150" s="18">
        <v>25489.2070648318</v>
      </c>
      <c r="X150" s="19">
        <v>1.29070078786082E-2</v>
      </c>
      <c r="Y150" s="18">
        <v>6268.7994282954696</v>
      </c>
      <c r="Z150" s="19">
        <v>-2.6262623732422599E-3</v>
      </c>
      <c r="AA150" s="18">
        <v>6727.04087858816</v>
      </c>
      <c r="AB150" s="19">
        <v>4.4053018965395401E-4</v>
      </c>
      <c r="AC150" s="18">
        <v>3444.5109698084598</v>
      </c>
      <c r="AD150" s="19">
        <v>6.9973396645655103E-3</v>
      </c>
      <c r="AE150" s="18">
        <v>7255.3814927552503</v>
      </c>
      <c r="AF150" s="19">
        <v>4.2163395235039801E-3</v>
      </c>
      <c r="AG150" s="18">
        <v>13686.7380982505</v>
      </c>
      <c r="AH150" s="19">
        <v>8.3576540293619495E-3</v>
      </c>
      <c r="AI150" s="18">
        <v>6900.0216840350704</v>
      </c>
      <c r="AJ150" s="19">
        <v>1.35094614434479E-2</v>
      </c>
      <c r="AK150" s="18">
        <v>4892.7400803113496</v>
      </c>
      <c r="AL150" s="19">
        <v>4.3301229399830303E-3</v>
      </c>
      <c r="AM150" s="18">
        <v>29257.442071999001</v>
      </c>
      <c r="AN150" s="19">
        <v>6.7678713161236602E-3</v>
      </c>
      <c r="AO150" s="18">
        <v>10967.622764796</v>
      </c>
      <c r="AP150" s="19">
        <v>3.6243079561995E-3</v>
      </c>
      <c r="AQ150" s="18">
        <v>7323.0819589767398</v>
      </c>
      <c r="AR150" s="19">
        <v>4.51830176951451E-3</v>
      </c>
      <c r="AS150" s="18">
        <v>11167.415850887801</v>
      </c>
      <c r="AT150" s="19">
        <v>1.5686986662010599E-2</v>
      </c>
      <c r="AU150" s="18">
        <v>1595.9844158659901</v>
      </c>
      <c r="AV150" s="19">
        <v>-1.5099065439963999E-2</v>
      </c>
      <c r="AW150" s="18">
        <v>2290.6655794429498</v>
      </c>
      <c r="AX150" s="19">
        <v>-1.24389233883075E-2</v>
      </c>
      <c r="AY150" s="18">
        <v>544.05514949774204</v>
      </c>
      <c r="AZ150" s="19">
        <v>1.0642393313673001E-2</v>
      </c>
      <c r="BA150" s="18">
        <v>5011.7106468340899</v>
      </c>
      <c r="BB150" s="19">
        <v>5.7416610470826203E-3</v>
      </c>
      <c r="BC150" s="18">
        <v>8501.4137157304394</v>
      </c>
      <c r="BD150" s="19">
        <v>6.1228040418805901E-3</v>
      </c>
      <c r="BE150" s="18">
        <v>-3489.9736726496499</v>
      </c>
      <c r="BF150" s="19">
        <v>6.7128846736459503E-3</v>
      </c>
      <c r="BG150" s="18"/>
      <c r="BH150" s="19"/>
    </row>
    <row r="151" spans="1:60" x14ac:dyDescent="0.15">
      <c r="A151" s="17">
        <v>2014</v>
      </c>
      <c r="B151" s="17">
        <v>4</v>
      </c>
      <c r="C151" s="18">
        <v>167474.713560818</v>
      </c>
      <c r="D151" s="19">
        <v>8.0133217598430395E-3</v>
      </c>
      <c r="E151" s="18">
        <v>162425.722005691</v>
      </c>
      <c r="F151" s="19">
        <v>7.9960714817153295E-3</v>
      </c>
      <c r="G151" s="18">
        <v>1328.3626807159001</v>
      </c>
      <c r="H151" s="19">
        <v>-2.1181488918256702E-2</v>
      </c>
      <c r="I151" s="18">
        <v>177.074666114118</v>
      </c>
      <c r="J151" s="19">
        <v>-5.8438023203703199E-2</v>
      </c>
      <c r="K151" s="18">
        <v>28854.309884793802</v>
      </c>
      <c r="L151" s="19">
        <v>3.09762833260629E-3</v>
      </c>
      <c r="M151" s="18">
        <v>6787.4931195168601</v>
      </c>
      <c r="N151" s="19">
        <v>3.3268471971270801E-2</v>
      </c>
      <c r="O151" s="18">
        <v>22845.859982403901</v>
      </c>
      <c r="P151" s="19">
        <v>-8.8701785352417496E-3</v>
      </c>
      <c r="Q151" s="18">
        <v>3075.3454495882602</v>
      </c>
      <c r="R151" s="19">
        <v>6.0627052456203798E-2</v>
      </c>
      <c r="S151" s="18">
        <v>524.42129019867298</v>
      </c>
      <c r="T151" s="19">
        <v>3.07999208515728E-2</v>
      </c>
      <c r="U151" s="18">
        <v>8177.83457631479</v>
      </c>
      <c r="V151" s="19">
        <v>-8.1502809833828797E-3</v>
      </c>
      <c r="W151" s="18">
        <v>26205.892512022499</v>
      </c>
      <c r="X151" s="19">
        <v>2.8117212331001201E-2</v>
      </c>
      <c r="Y151" s="18">
        <v>6301.7261750724201</v>
      </c>
      <c r="Z151" s="19">
        <v>5.2524805034155396E-3</v>
      </c>
      <c r="AA151" s="18">
        <v>6626.32998918878</v>
      </c>
      <c r="AB151" s="19">
        <v>-1.4971053575716599E-2</v>
      </c>
      <c r="AC151" s="18">
        <v>3421.6072595671299</v>
      </c>
      <c r="AD151" s="19">
        <v>-6.6493358395677297E-3</v>
      </c>
      <c r="AE151" s="18">
        <v>7180.4389686188397</v>
      </c>
      <c r="AF151" s="19">
        <v>-1.03292327510609E-2</v>
      </c>
      <c r="AG151" s="18">
        <v>13892.1804103502</v>
      </c>
      <c r="AH151" s="19">
        <v>1.50103195242675E-2</v>
      </c>
      <c r="AI151" s="18">
        <v>7042.2277925613598</v>
      </c>
      <c r="AJ151" s="19">
        <v>2.0609516178089302E-2</v>
      </c>
      <c r="AK151" s="18">
        <v>4947.5922238907397</v>
      </c>
      <c r="AL151" s="19">
        <v>1.12109253054575E-2</v>
      </c>
      <c r="AM151" s="18">
        <v>29365.200944676799</v>
      </c>
      <c r="AN151" s="19">
        <v>3.6831269258803499E-3</v>
      </c>
      <c r="AO151" s="18">
        <v>11056.688480585901</v>
      </c>
      <c r="AP151" s="19">
        <v>8.1207858530452093E-3</v>
      </c>
      <c r="AQ151" s="18">
        <v>7364.2248022807798</v>
      </c>
      <c r="AR151" s="19">
        <v>5.6182415456391696E-3</v>
      </c>
      <c r="AS151" s="18">
        <v>11352.048952124</v>
      </c>
      <c r="AT151" s="19">
        <v>1.6533198342533199E-2</v>
      </c>
      <c r="AU151" s="18">
        <v>1460.9264673707401</v>
      </c>
      <c r="AV151" s="19">
        <v>-8.4623601053128494E-2</v>
      </c>
      <c r="AW151" s="18">
        <v>2280.2460688851302</v>
      </c>
      <c r="AX151" s="19">
        <v>-4.5486825538106901E-3</v>
      </c>
      <c r="AY151" s="18">
        <v>548.54711012369501</v>
      </c>
      <c r="AZ151" s="19">
        <v>8.2564435427179301E-3</v>
      </c>
      <c r="BA151" s="18">
        <v>5054.4768420280298</v>
      </c>
      <c r="BB151" s="19">
        <v>8.5332530562110005E-3</v>
      </c>
      <c r="BC151" s="18">
        <v>8571.9784439915093</v>
      </c>
      <c r="BD151" s="19">
        <v>8.3003522261826407E-3</v>
      </c>
      <c r="BE151" s="18">
        <v>-3517.68450352319</v>
      </c>
      <c r="BF151" s="19">
        <v>7.9401260504359302E-3</v>
      </c>
      <c r="BG151" s="18"/>
      <c r="BH151" s="19"/>
    </row>
    <row r="152" spans="1:60" x14ac:dyDescent="0.15">
      <c r="A152" s="17">
        <v>2015</v>
      </c>
      <c r="B152" s="17">
        <v>1</v>
      </c>
      <c r="C152" s="18">
        <v>167204.058474627</v>
      </c>
      <c r="D152" s="19">
        <v>-1.61609523274253E-3</v>
      </c>
      <c r="E152" s="18">
        <v>162167.481214659</v>
      </c>
      <c r="F152" s="19">
        <v>-1.5899008349366001E-3</v>
      </c>
      <c r="G152" s="18">
        <v>1244.78104925146</v>
      </c>
      <c r="H152" s="19">
        <v>-6.2920791646594698E-2</v>
      </c>
      <c r="I152" s="18">
        <v>162.72950335677999</v>
      </c>
      <c r="J152" s="19">
        <v>-8.1011942996365396E-2</v>
      </c>
      <c r="K152" s="18">
        <v>28410.821354858101</v>
      </c>
      <c r="L152" s="19">
        <v>-1.53699233045748E-2</v>
      </c>
      <c r="M152" s="18">
        <v>7046.3435097420997</v>
      </c>
      <c r="N152" s="19">
        <v>3.8136376076896697E-2</v>
      </c>
      <c r="O152" s="18">
        <v>22009.397904906698</v>
      </c>
      <c r="P152" s="19">
        <v>-3.6613289153545801E-2</v>
      </c>
      <c r="Q152" s="18">
        <v>3023.09600200772</v>
      </c>
      <c r="R152" s="19">
        <v>-1.6989781615440298E-2</v>
      </c>
      <c r="S152" s="18">
        <v>562.023517924766</v>
      </c>
      <c r="T152" s="19">
        <v>7.1702328698073095E-2</v>
      </c>
      <c r="U152" s="18">
        <v>8194.1758685752302</v>
      </c>
      <c r="V152" s="19">
        <v>1.9982419683286499E-3</v>
      </c>
      <c r="W152" s="18">
        <v>26572.9398702324</v>
      </c>
      <c r="X152" s="19">
        <v>1.40062910676115E-2</v>
      </c>
      <c r="Y152" s="18">
        <v>6280.5129866749103</v>
      </c>
      <c r="Z152" s="19">
        <v>-3.3662504222132798E-3</v>
      </c>
      <c r="AA152" s="18">
        <v>6591.8069850251904</v>
      </c>
      <c r="AB152" s="19">
        <v>-5.2099735781212502E-3</v>
      </c>
      <c r="AC152" s="18">
        <v>3357.4539405630098</v>
      </c>
      <c r="AD152" s="19">
        <v>-1.8749468930059101E-2</v>
      </c>
      <c r="AE152" s="18">
        <v>7177.0942950381695</v>
      </c>
      <c r="AF152" s="19">
        <v>-4.65803496873751E-4</v>
      </c>
      <c r="AG152" s="18">
        <v>14027.1128659517</v>
      </c>
      <c r="AH152" s="19">
        <v>9.7128349629684897E-3</v>
      </c>
      <c r="AI152" s="18">
        <v>7097.2432670752496</v>
      </c>
      <c r="AJ152" s="19">
        <v>7.8122259225983396E-3</v>
      </c>
      <c r="AK152" s="18">
        <v>5036.8782317725399</v>
      </c>
      <c r="AL152" s="19">
        <v>1.8046355447536098E-2</v>
      </c>
      <c r="AM152" s="18">
        <v>29407.451401322502</v>
      </c>
      <c r="AN152" s="19">
        <v>1.4387933774166999E-3</v>
      </c>
      <c r="AO152" s="18">
        <v>11073.377915457701</v>
      </c>
      <c r="AP152" s="19">
        <v>1.50944244301221E-3</v>
      </c>
      <c r="AQ152" s="18">
        <v>7326.3053277339304</v>
      </c>
      <c r="AR152" s="19">
        <v>-5.1491467961579697E-3</v>
      </c>
      <c r="AS152" s="18">
        <v>11269.6837029422</v>
      </c>
      <c r="AT152" s="19">
        <v>-7.2555403459945199E-3</v>
      </c>
      <c r="AU152" s="18">
        <v>1315.6166417350801</v>
      </c>
      <c r="AV152" s="19">
        <v>-9.9464161188875605E-2</v>
      </c>
      <c r="AW152" s="18">
        <v>2280.9634239124198</v>
      </c>
      <c r="AX152" s="19">
        <v>3.1459544523570999E-4</v>
      </c>
      <c r="AY152" s="18">
        <v>551.29202285860003</v>
      </c>
      <c r="AZ152" s="19">
        <v>5.00396900147049E-3</v>
      </c>
      <c r="BA152" s="18">
        <v>5042.3442085981897</v>
      </c>
      <c r="BB152" s="19">
        <v>-2.4003737298703399E-3</v>
      </c>
      <c r="BC152" s="18">
        <v>8594.8642919446993</v>
      </c>
      <c r="BD152" s="19">
        <v>2.6698443192234599E-3</v>
      </c>
      <c r="BE152" s="18">
        <v>-3554.4406302318698</v>
      </c>
      <c r="BF152" s="19">
        <v>1.04489548940121E-2</v>
      </c>
      <c r="BG152" s="18"/>
      <c r="BH152" s="19"/>
    </row>
    <row r="153" spans="1:60" x14ac:dyDescent="0.15">
      <c r="A153" s="17">
        <v>2015</v>
      </c>
      <c r="B153" s="17">
        <v>2</v>
      </c>
      <c r="C153" s="18">
        <v>167552.83832955299</v>
      </c>
      <c r="D153" s="19">
        <v>2.08595328431316E-3</v>
      </c>
      <c r="E153" s="18">
        <v>162526.58986265</v>
      </c>
      <c r="F153" s="19">
        <v>2.2144306941260798E-3</v>
      </c>
      <c r="G153" s="18">
        <v>1201.9143972423101</v>
      </c>
      <c r="H153" s="19">
        <v>-3.4437102038892303E-2</v>
      </c>
      <c r="I153" s="18">
        <v>154.91778044594301</v>
      </c>
      <c r="J153" s="19">
        <v>-4.8004343095117398E-2</v>
      </c>
      <c r="K153" s="18">
        <v>28287.530849958901</v>
      </c>
      <c r="L153" s="19">
        <v>-4.3395614424252002E-3</v>
      </c>
      <c r="M153" s="18">
        <v>7228.4614372392298</v>
      </c>
      <c r="N153" s="19">
        <v>2.5845735060366901E-2</v>
      </c>
      <c r="O153" s="18">
        <v>21624.744918042299</v>
      </c>
      <c r="P153" s="19">
        <v>-1.7476760996658E-2</v>
      </c>
      <c r="Q153" s="18">
        <v>2984.77968602192</v>
      </c>
      <c r="R153" s="19">
        <v>-1.2674528351185E-2</v>
      </c>
      <c r="S153" s="18">
        <v>579.215422117603</v>
      </c>
      <c r="T153" s="19">
        <v>3.0589296790135299E-2</v>
      </c>
      <c r="U153" s="18">
        <v>8071.1509039099901</v>
      </c>
      <c r="V153" s="19">
        <v>-1.5013708106636801E-2</v>
      </c>
      <c r="W153" s="18">
        <v>27219.442977617498</v>
      </c>
      <c r="X153" s="19">
        <v>2.4329378327813098E-2</v>
      </c>
      <c r="Y153" s="18">
        <v>6327.6600431618099</v>
      </c>
      <c r="Z153" s="19">
        <v>7.5068798658541897E-3</v>
      </c>
      <c r="AA153" s="18">
        <v>6499.4924138708102</v>
      </c>
      <c r="AB153" s="19">
        <v>-1.40044408709328E-2</v>
      </c>
      <c r="AC153" s="18">
        <v>3311.0556968423002</v>
      </c>
      <c r="AD153" s="19">
        <v>-1.3819472892883799E-2</v>
      </c>
      <c r="AE153" s="18">
        <v>7212.6030655699797</v>
      </c>
      <c r="AF153" s="19">
        <v>4.94751344654376E-3</v>
      </c>
      <c r="AG153" s="18">
        <v>14010.9449865566</v>
      </c>
      <c r="AH153" s="19">
        <v>-1.1526163330684001E-3</v>
      </c>
      <c r="AI153" s="18">
        <v>6987.44434966075</v>
      </c>
      <c r="AJ153" s="19">
        <v>-1.54706430768493E-2</v>
      </c>
      <c r="AK153" s="18">
        <v>5097.1797885250598</v>
      </c>
      <c r="AL153" s="19">
        <v>1.19720100383096E-2</v>
      </c>
      <c r="AM153" s="18">
        <v>29424.775460743302</v>
      </c>
      <c r="AN153" s="19">
        <v>5.8910441385795498E-4</v>
      </c>
      <c r="AO153" s="18">
        <v>11125.659909076199</v>
      </c>
      <c r="AP153" s="19">
        <v>4.7214132866813001E-3</v>
      </c>
      <c r="AQ153" s="18">
        <v>7343.9786701770399</v>
      </c>
      <c r="AR153" s="19">
        <v>2.4123131172544298E-3</v>
      </c>
      <c r="AS153" s="18">
        <v>11279.244847999</v>
      </c>
      <c r="AT153" s="19">
        <v>8.4839515543300202E-4</v>
      </c>
      <c r="AU153" s="18">
        <v>1262.4917912276201</v>
      </c>
      <c r="AV153" s="19">
        <v>-4.0380190415800099E-2</v>
      </c>
      <c r="AW153" s="18">
        <v>2282.9329101573599</v>
      </c>
      <c r="AX153" s="19">
        <v>8.6344490415424203E-4</v>
      </c>
      <c r="AY153" s="18">
        <v>554.83891975186395</v>
      </c>
      <c r="AZ153" s="19">
        <v>6.4337896181987401E-3</v>
      </c>
      <c r="BA153" s="18">
        <v>5033.0503140078399</v>
      </c>
      <c r="BB153" s="19">
        <v>-1.84316940809126E-3</v>
      </c>
      <c r="BC153" s="18">
        <v>8622.5025160105506</v>
      </c>
      <c r="BD153" s="19">
        <v>3.2156673016645598E-3</v>
      </c>
      <c r="BE153" s="18">
        <v>-3593.08401580192</v>
      </c>
      <c r="BF153" s="19">
        <v>1.08718613109955E-2</v>
      </c>
      <c r="BG153" s="18"/>
      <c r="BH153" s="19"/>
    </row>
    <row r="154" spans="1:60" x14ac:dyDescent="0.15">
      <c r="A154" s="17">
        <v>2015</v>
      </c>
      <c r="B154" s="17">
        <v>3</v>
      </c>
      <c r="C154" s="18">
        <v>168779.07109966999</v>
      </c>
      <c r="D154" s="19">
        <v>7.3184840217701604E-3</v>
      </c>
      <c r="E154" s="18">
        <v>163766.379094078</v>
      </c>
      <c r="F154" s="19">
        <v>7.6282239876890303E-3</v>
      </c>
      <c r="G154" s="18">
        <v>1182.80819394936</v>
      </c>
      <c r="H154" s="19">
        <v>-1.58964759360481E-2</v>
      </c>
      <c r="I154" s="18">
        <v>152.666342110632</v>
      </c>
      <c r="J154" s="19">
        <v>-1.4533117688821E-2</v>
      </c>
      <c r="K154" s="18">
        <v>28905.1540441221</v>
      </c>
      <c r="L154" s="19">
        <v>2.1833761222889599E-2</v>
      </c>
      <c r="M154" s="18">
        <v>7687.1908365341096</v>
      </c>
      <c r="N154" s="19">
        <v>6.3461554478469795E-2</v>
      </c>
      <c r="O154" s="18">
        <v>21687.840138288699</v>
      </c>
      <c r="P154" s="19">
        <v>2.91773246276605E-3</v>
      </c>
      <c r="Q154" s="18">
        <v>2708.9510471223898</v>
      </c>
      <c r="R154" s="19">
        <v>-9.2411724788689906E-2</v>
      </c>
      <c r="S154" s="18">
        <v>598.21154262800701</v>
      </c>
      <c r="T154" s="19">
        <v>3.2796296136167399E-2</v>
      </c>
      <c r="U154" s="18">
        <v>8047.2103852708497</v>
      </c>
      <c r="V154" s="19">
        <v>-2.9661839958343701E-3</v>
      </c>
      <c r="W154" s="18">
        <v>27821.892646247299</v>
      </c>
      <c r="X154" s="19">
        <v>2.2133063822251199E-2</v>
      </c>
      <c r="Y154" s="18">
        <v>6334.7094505681298</v>
      </c>
      <c r="Z154" s="19">
        <v>1.1140622849889999E-3</v>
      </c>
      <c r="AA154" s="18">
        <v>6426.9481039248003</v>
      </c>
      <c r="AB154" s="19">
        <v>-1.1161534674798501E-2</v>
      </c>
      <c r="AC154" s="18">
        <v>3285.69396427726</v>
      </c>
      <c r="AD154" s="19">
        <v>-7.6597118523939996E-3</v>
      </c>
      <c r="AE154" s="18">
        <v>7279.6615816007197</v>
      </c>
      <c r="AF154" s="19">
        <v>9.2974083588270896E-3</v>
      </c>
      <c r="AG154" s="18">
        <v>14071.2882374532</v>
      </c>
      <c r="AH154" s="19">
        <v>4.3068651653734901E-3</v>
      </c>
      <c r="AI154" s="18">
        <v>7003.1935679399803</v>
      </c>
      <c r="AJ154" s="19">
        <v>2.2539311214677701E-3</v>
      </c>
      <c r="AK154" s="18">
        <v>5129.3176869282097</v>
      </c>
      <c r="AL154" s="19">
        <v>6.3050352815674504E-3</v>
      </c>
      <c r="AM154" s="18">
        <v>29406.701317747102</v>
      </c>
      <c r="AN154" s="19">
        <v>-6.1424913914365198E-4</v>
      </c>
      <c r="AO154" s="18">
        <v>11130.617576083499</v>
      </c>
      <c r="AP154" s="19">
        <v>4.4560655708325602E-4</v>
      </c>
      <c r="AQ154" s="18">
        <v>7325.1957946274397</v>
      </c>
      <c r="AR154" s="19">
        <v>-2.5575885215827201E-3</v>
      </c>
      <c r="AS154" s="18">
        <v>11434.083588559501</v>
      </c>
      <c r="AT154" s="19">
        <v>1.37277577220012E-2</v>
      </c>
      <c r="AU154" s="18">
        <v>1256.0319800744901</v>
      </c>
      <c r="AV154" s="19">
        <v>-5.1167153703630701E-3</v>
      </c>
      <c r="AW154" s="18">
        <v>2258.9673001410501</v>
      </c>
      <c r="AX154" s="19">
        <v>-1.0497728562093901E-2</v>
      </c>
      <c r="AY154" s="18">
        <v>560.00600766856098</v>
      </c>
      <c r="AZ154" s="19">
        <v>9.3127712075566898E-3</v>
      </c>
      <c r="BA154" s="18">
        <v>5022.0522557607601</v>
      </c>
      <c r="BB154" s="19">
        <v>-2.1851675546464798E-3</v>
      </c>
      <c r="BC154" s="18">
        <v>8663.7455031123609</v>
      </c>
      <c r="BD154" s="19">
        <v>4.7831806398690403E-3</v>
      </c>
      <c r="BE154" s="18">
        <v>-3647.6867994834201</v>
      </c>
      <c r="BF154" s="19">
        <v>1.51966342677661E-2</v>
      </c>
      <c r="BG154" s="18"/>
      <c r="BH154" s="19"/>
    </row>
    <row r="155" spans="1:60" x14ac:dyDescent="0.15">
      <c r="A155" s="17">
        <v>2015</v>
      </c>
      <c r="B155" s="17">
        <v>4</v>
      </c>
      <c r="C155" s="18">
        <v>169934.58320201101</v>
      </c>
      <c r="D155" s="19">
        <v>6.8462996911422503E-3</v>
      </c>
      <c r="E155" s="18">
        <v>164865.28586792501</v>
      </c>
      <c r="F155" s="19">
        <v>6.7102098729050503E-3</v>
      </c>
      <c r="G155" s="18">
        <v>1184.10475394948</v>
      </c>
      <c r="H155" s="19">
        <v>1.09617096563608E-3</v>
      </c>
      <c r="I155" s="18">
        <v>154.217742964742</v>
      </c>
      <c r="J155" s="19">
        <v>1.0162035931840001E-2</v>
      </c>
      <c r="K155" s="18">
        <v>29296.795264361401</v>
      </c>
      <c r="L155" s="19">
        <v>1.35491829464565E-2</v>
      </c>
      <c r="M155" s="18">
        <v>8311.0037974186507</v>
      </c>
      <c r="N155" s="19">
        <v>8.1149664962109694E-2</v>
      </c>
      <c r="O155" s="18">
        <v>21275.262615194199</v>
      </c>
      <c r="P155" s="19">
        <v>-1.9023449106220398E-2</v>
      </c>
      <c r="Q155" s="18">
        <v>2700.7431951103799</v>
      </c>
      <c r="R155" s="19">
        <v>-3.0299004556484399E-3</v>
      </c>
      <c r="S155" s="18">
        <v>628.90243550461798</v>
      </c>
      <c r="T155" s="19">
        <v>5.1304414391241102E-2</v>
      </c>
      <c r="U155" s="18">
        <v>8086.5702099219498</v>
      </c>
      <c r="V155" s="19">
        <v>4.8911141584098202E-3</v>
      </c>
      <c r="W155" s="18">
        <v>28106.133336184699</v>
      </c>
      <c r="X155" s="19">
        <v>1.02164397495006E-2</v>
      </c>
      <c r="Y155" s="18">
        <v>6292.6286426388097</v>
      </c>
      <c r="Z155" s="19">
        <v>-6.6428947148550197E-3</v>
      </c>
      <c r="AA155" s="18">
        <v>6355.8944570713502</v>
      </c>
      <c r="AB155" s="19">
        <v>-1.10555812345913E-2</v>
      </c>
      <c r="AC155" s="18">
        <v>3331.3356659369301</v>
      </c>
      <c r="AD155" s="19">
        <v>1.3891038592119801E-2</v>
      </c>
      <c r="AE155" s="18">
        <v>7358.8414203837901</v>
      </c>
      <c r="AF155" s="19">
        <v>1.0876857103248301E-2</v>
      </c>
      <c r="AG155" s="18">
        <v>14144.3127151882</v>
      </c>
      <c r="AH155" s="19">
        <v>5.1896085491762696E-3</v>
      </c>
      <c r="AI155" s="18">
        <v>7050.0471477607398</v>
      </c>
      <c r="AJ155" s="19">
        <v>6.69031626303362E-3</v>
      </c>
      <c r="AK155" s="18">
        <v>5133.3672111584901</v>
      </c>
      <c r="AL155" s="19">
        <v>7.8948594675720696E-4</v>
      </c>
      <c r="AM155" s="18">
        <v>29393.0991270841</v>
      </c>
      <c r="AN155" s="19">
        <v>-4.6255411363616E-4</v>
      </c>
      <c r="AO155" s="18">
        <v>11149.4750952757</v>
      </c>
      <c r="AP155" s="19">
        <v>1.6942024162862599E-3</v>
      </c>
      <c r="AQ155" s="18">
        <v>7326.1644423609096</v>
      </c>
      <c r="AR155" s="19">
        <v>1.32235063829977E-4</v>
      </c>
      <c r="AS155" s="18">
        <v>11525.369197404299</v>
      </c>
      <c r="AT155" s="19">
        <v>7.9836401525126294E-3</v>
      </c>
      <c r="AU155" s="18">
        <v>1306.1358365983699</v>
      </c>
      <c r="AV155" s="19">
        <v>3.9890589824715703E-2</v>
      </c>
      <c r="AW155" s="18">
        <v>2273.9731870471001</v>
      </c>
      <c r="AX155" s="19">
        <v>6.6428083775742497E-3</v>
      </c>
      <c r="AY155" s="18">
        <v>564.99714687841401</v>
      </c>
      <c r="AZ155" s="19">
        <v>8.9126529742651305E-3</v>
      </c>
      <c r="BA155" s="18">
        <v>5077.4314983559398</v>
      </c>
      <c r="BB155" s="19">
        <v>1.1027213532406301E-2</v>
      </c>
      <c r="BC155" s="18">
        <v>8761.1325543644307</v>
      </c>
      <c r="BD155" s="19">
        <v>1.12407562314807E-2</v>
      </c>
      <c r="BE155" s="18">
        <v>-3689.8336655447802</v>
      </c>
      <c r="BF155" s="19">
        <v>1.1554409240215099E-2</v>
      </c>
      <c r="BG155" s="18"/>
      <c r="BH155" s="19"/>
    </row>
    <row r="156" spans="1:60" x14ac:dyDescent="0.15">
      <c r="A156" s="17">
        <v>2016</v>
      </c>
      <c r="B156" s="17">
        <v>1</v>
      </c>
      <c r="C156" s="18">
        <v>170578.60485033499</v>
      </c>
      <c r="D156" s="19">
        <v>3.7898209781026498E-3</v>
      </c>
      <c r="E156" s="18">
        <v>165441.591527816</v>
      </c>
      <c r="F156" s="19">
        <v>3.4956155679286599E-3</v>
      </c>
      <c r="G156" s="18">
        <v>1223.95444202215</v>
      </c>
      <c r="H156" s="19">
        <v>3.3653853630562398E-2</v>
      </c>
      <c r="I156" s="18">
        <v>158.94730534563399</v>
      </c>
      <c r="J156" s="19">
        <v>3.0668081959757999E-2</v>
      </c>
      <c r="K156" s="18">
        <v>29702.701949979801</v>
      </c>
      <c r="L156" s="19">
        <v>1.3854985910771301E-2</v>
      </c>
      <c r="M156" s="18">
        <v>8412.4864039939603</v>
      </c>
      <c r="N156" s="19">
        <v>1.2210631717775301E-2</v>
      </c>
      <c r="O156" s="18">
        <v>21648.783318657501</v>
      </c>
      <c r="P156" s="19">
        <v>1.7556573106484799E-2</v>
      </c>
      <c r="Q156" s="18">
        <v>2486.6108339943498</v>
      </c>
      <c r="R156" s="19">
        <v>-7.9286457706792698E-2</v>
      </c>
      <c r="S156" s="18">
        <v>634.29864657332803</v>
      </c>
      <c r="T156" s="19">
        <v>8.5803628099809792E-3</v>
      </c>
      <c r="U156" s="18">
        <v>8117.79015076224</v>
      </c>
      <c r="V156" s="19">
        <v>3.8607147443034998E-3</v>
      </c>
      <c r="W156" s="18">
        <v>28338.610445825001</v>
      </c>
      <c r="X156" s="19">
        <v>8.2714013649463104E-3</v>
      </c>
      <c r="Y156" s="18">
        <v>6303.3443160144698</v>
      </c>
      <c r="Z156" s="19">
        <v>1.7028930172437999E-3</v>
      </c>
      <c r="AA156" s="18">
        <v>6296.8288427019497</v>
      </c>
      <c r="AB156" s="19">
        <v>-9.2930451832303803E-3</v>
      </c>
      <c r="AC156" s="18">
        <v>3310.1723809805499</v>
      </c>
      <c r="AD156" s="19">
        <v>-6.3527927169800798E-3</v>
      </c>
      <c r="AE156" s="18">
        <v>7416.2910416823797</v>
      </c>
      <c r="AF156" s="19">
        <v>7.8068839939202696E-3</v>
      </c>
      <c r="AG156" s="18">
        <v>14060.7022750582</v>
      </c>
      <c r="AH156" s="19">
        <v>-5.9112409216069998E-3</v>
      </c>
      <c r="AI156" s="18">
        <v>7012.2592360716499</v>
      </c>
      <c r="AJ156" s="19">
        <v>-5.35995162827951E-3</v>
      </c>
      <c r="AK156" s="18">
        <v>5108.6601296055196</v>
      </c>
      <c r="AL156" s="19">
        <v>-4.8130360709963699E-3</v>
      </c>
      <c r="AM156" s="18">
        <v>29367.9410155675</v>
      </c>
      <c r="AN156" s="19">
        <v>-8.5591898315462401E-4</v>
      </c>
      <c r="AO156" s="18">
        <v>11158.4402030415</v>
      </c>
      <c r="AP156" s="19">
        <v>8.0408339309623301E-4</v>
      </c>
      <c r="AQ156" s="18">
        <v>7313.2993918490001</v>
      </c>
      <c r="AR156" s="19">
        <v>-1.7560417341332399E-3</v>
      </c>
      <c r="AS156" s="18">
        <v>11757.8053256822</v>
      </c>
      <c r="AT156" s="19">
        <v>2.0167347726292001E-2</v>
      </c>
      <c r="AU156" s="18">
        <v>1385.99615950664</v>
      </c>
      <c r="AV156" s="19">
        <v>6.11424330230914E-2</v>
      </c>
      <c r="AW156" s="18">
        <v>2246.0499146731599</v>
      </c>
      <c r="AX156" s="19">
        <v>-1.2279508189887999E-2</v>
      </c>
      <c r="AY156" s="18">
        <v>570.56487374297001</v>
      </c>
      <c r="AZ156" s="19">
        <v>9.8544335937222893E-3</v>
      </c>
      <c r="BA156" s="18">
        <v>5143.3073210508001</v>
      </c>
      <c r="BB156" s="19">
        <v>1.29742415463776E-2</v>
      </c>
      <c r="BC156" s="18">
        <v>8834.2164783209901</v>
      </c>
      <c r="BD156" s="19">
        <v>8.3418352025910192E-3</v>
      </c>
      <c r="BE156" s="18">
        <v>-3695.4753354684799</v>
      </c>
      <c r="BF156" s="19">
        <v>1.5289767602202401E-3</v>
      </c>
      <c r="BG156" s="18"/>
      <c r="BH156" s="19"/>
    </row>
    <row r="157" spans="1:60" x14ac:dyDescent="0.15">
      <c r="A157" s="17">
        <v>2016</v>
      </c>
      <c r="B157" s="17">
        <v>2</v>
      </c>
      <c r="C157" s="18">
        <v>170954.71704569299</v>
      </c>
      <c r="D157" s="19">
        <v>2.20492010523721E-3</v>
      </c>
      <c r="E157" s="18">
        <v>165773.340651648</v>
      </c>
      <c r="F157" s="19">
        <v>2.00523411778497E-3</v>
      </c>
      <c r="G157" s="18">
        <v>1233.2294063017</v>
      </c>
      <c r="H157" s="19">
        <v>7.5778672482484898E-3</v>
      </c>
      <c r="I157" s="18">
        <v>159.41752188221901</v>
      </c>
      <c r="J157" s="19">
        <v>2.9583171326010801E-3</v>
      </c>
      <c r="K157" s="18">
        <v>29633.799036377699</v>
      </c>
      <c r="L157" s="19">
        <v>-2.31975238206117E-3</v>
      </c>
      <c r="M157" s="18">
        <v>8623.2032046135791</v>
      </c>
      <c r="N157" s="19">
        <v>2.50480999909348E-2</v>
      </c>
      <c r="O157" s="18">
        <v>21309.198418585402</v>
      </c>
      <c r="P157" s="19">
        <v>-1.5686096307287199E-2</v>
      </c>
      <c r="Q157" s="18">
        <v>2538.1573999065899</v>
      </c>
      <c r="R157" s="19">
        <v>2.0729647441227999E-2</v>
      </c>
      <c r="S157" s="18">
        <v>603.29667960330698</v>
      </c>
      <c r="T157" s="19">
        <v>-4.8875978433035698E-2</v>
      </c>
      <c r="U157" s="18">
        <v>8191.2662346974203</v>
      </c>
      <c r="V157" s="19">
        <v>9.0512420955206601E-3</v>
      </c>
      <c r="W157" s="18">
        <v>28016.305825547999</v>
      </c>
      <c r="X157" s="19">
        <v>-1.1373338890174301E-2</v>
      </c>
      <c r="Y157" s="18">
        <v>6294.7762861812298</v>
      </c>
      <c r="Z157" s="19">
        <v>-1.3592831683751901E-3</v>
      </c>
      <c r="AA157" s="18">
        <v>6416.6647210255696</v>
      </c>
      <c r="AB157" s="19">
        <v>1.90311474739411E-2</v>
      </c>
      <c r="AC157" s="18">
        <v>3328.47319794639</v>
      </c>
      <c r="AD157" s="19">
        <v>5.5286597975976503E-3</v>
      </c>
      <c r="AE157" s="18">
        <v>7535.5783500018097</v>
      </c>
      <c r="AF157" s="19">
        <v>1.6084496637063201E-2</v>
      </c>
      <c r="AG157" s="18">
        <v>14054.2617295407</v>
      </c>
      <c r="AH157" s="19">
        <v>-4.5805290457634501E-4</v>
      </c>
      <c r="AI157" s="18">
        <v>6991.7068278219804</v>
      </c>
      <c r="AJ157" s="19">
        <v>-2.9309253348688302E-3</v>
      </c>
      <c r="AK157" s="18">
        <v>5080.9100922349398</v>
      </c>
      <c r="AL157" s="19">
        <v>-5.43195997904777E-3</v>
      </c>
      <c r="AM157" s="18">
        <v>29561.769370869701</v>
      </c>
      <c r="AN157" s="19">
        <v>6.5999981135724797E-3</v>
      </c>
      <c r="AO157" s="18">
        <v>11209.323322189801</v>
      </c>
      <c r="AP157" s="19">
        <v>4.5600566228234402E-3</v>
      </c>
      <c r="AQ157" s="18">
        <v>7345.7230681979399</v>
      </c>
      <c r="AR157" s="19">
        <v>4.4335223558702496E-3</v>
      </c>
      <c r="AS157" s="18">
        <v>11835.9633427065</v>
      </c>
      <c r="AT157" s="19">
        <v>6.64733042088206E-3</v>
      </c>
      <c r="AU157" s="18">
        <v>1435.8046200414601</v>
      </c>
      <c r="AV157" s="19">
        <v>3.5936939791054098E-2</v>
      </c>
      <c r="AW157" s="18">
        <v>2246.9510459221601</v>
      </c>
      <c r="AX157" s="19">
        <v>4.0120713395741498E-4</v>
      </c>
      <c r="AY157" s="18">
        <v>575.50169061708903</v>
      </c>
      <c r="AZ157" s="19">
        <v>8.6525075435033294E-3</v>
      </c>
      <c r="BA157" s="18">
        <v>5186.8547672012801</v>
      </c>
      <c r="BB157" s="19">
        <v>8.4668178337792294E-3</v>
      </c>
      <c r="BC157" s="18">
        <v>8890.9654812929293</v>
      </c>
      <c r="BD157" s="19">
        <v>6.4237731904348604E-3</v>
      </c>
      <c r="BE157" s="18">
        <v>-3708.3122965279599</v>
      </c>
      <c r="BF157" s="19">
        <v>3.4736968574189402E-3</v>
      </c>
      <c r="BG157" s="18"/>
      <c r="BH157" s="19"/>
    </row>
    <row r="158" spans="1:60" x14ac:dyDescent="0.15">
      <c r="A158" s="17">
        <v>2016</v>
      </c>
      <c r="B158" s="17">
        <v>3</v>
      </c>
      <c r="C158" s="18">
        <v>171290.80730180201</v>
      </c>
      <c r="D158" s="19">
        <v>1.9659607053683602E-3</v>
      </c>
      <c r="E158" s="18">
        <v>166090.376900412</v>
      </c>
      <c r="F158" s="19">
        <v>1.912468238364E-3</v>
      </c>
      <c r="G158" s="18">
        <v>1232.4913294092501</v>
      </c>
      <c r="H158" s="19">
        <v>-5.9849115555432597E-4</v>
      </c>
      <c r="I158" s="18">
        <v>160.32642588497899</v>
      </c>
      <c r="J158" s="19">
        <v>5.7014059184237204E-3</v>
      </c>
      <c r="K158" s="18">
        <v>30328.825914929599</v>
      </c>
      <c r="L158" s="19">
        <v>2.34538567835572E-2</v>
      </c>
      <c r="M158" s="18">
        <v>8935.9078203123809</v>
      </c>
      <c r="N158" s="19">
        <v>3.6263162107961697E-2</v>
      </c>
      <c r="O158" s="18">
        <v>21670.153893922401</v>
      </c>
      <c r="P158" s="19">
        <v>1.6938951350800299E-2</v>
      </c>
      <c r="Q158" s="18">
        <v>2313.4863365613501</v>
      </c>
      <c r="R158" s="19">
        <v>-8.8517387989220195E-2</v>
      </c>
      <c r="S158" s="18">
        <v>608.89972440233601</v>
      </c>
      <c r="T158" s="19">
        <v>9.28737881122421E-3</v>
      </c>
      <c r="U158" s="18">
        <v>8209.8335983160305</v>
      </c>
      <c r="V158" s="19">
        <v>2.2667269121292599E-3</v>
      </c>
      <c r="W158" s="18">
        <v>27542.305458480401</v>
      </c>
      <c r="X158" s="19">
        <v>-1.6918731899170099E-2</v>
      </c>
      <c r="Y158" s="18">
        <v>6297.4219138939097</v>
      </c>
      <c r="Z158" s="19">
        <v>4.2028939431615299E-4</v>
      </c>
      <c r="AA158" s="18">
        <v>6418.6452618230596</v>
      </c>
      <c r="AB158" s="19">
        <v>3.0865580228955903E-4</v>
      </c>
      <c r="AC158" s="18">
        <v>3310.4980061390902</v>
      </c>
      <c r="AD158" s="19">
        <v>-5.4004315907955104E-3</v>
      </c>
      <c r="AE158" s="18">
        <v>7423.1129620440797</v>
      </c>
      <c r="AF158" s="19">
        <v>-1.49245861079388E-2</v>
      </c>
      <c r="AG158" s="18">
        <v>14130.3318428824</v>
      </c>
      <c r="AH158" s="19">
        <v>5.4126011601043399E-3</v>
      </c>
      <c r="AI158" s="18">
        <v>7035.1995571267798</v>
      </c>
      <c r="AJ158" s="19">
        <v>6.22061685019837E-3</v>
      </c>
      <c r="AK158" s="18">
        <v>5048.6071143351601</v>
      </c>
      <c r="AL158" s="19">
        <v>-6.3577149198418299E-3</v>
      </c>
      <c r="AM158" s="18">
        <v>29611.034451724401</v>
      </c>
      <c r="AN158" s="19">
        <v>1.66651326707012E-3</v>
      </c>
      <c r="AO158" s="18">
        <v>11231.1609827336</v>
      </c>
      <c r="AP158" s="19">
        <v>1.94816938686659E-3</v>
      </c>
      <c r="AQ158" s="18">
        <v>7331.3137477259697</v>
      </c>
      <c r="AR158" s="19">
        <v>-1.96159320712075E-3</v>
      </c>
      <c r="AS158" s="18">
        <v>12037.715795714401</v>
      </c>
      <c r="AT158" s="19">
        <v>1.7045714587504E-2</v>
      </c>
      <c r="AU158" s="18">
        <v>1466.5891788935301</v>
      </c>
      <c r="AV158" s="19">
        <v>2.1440632257596199E-2</v>
      </c>
      <c r="AW158" s="18">
        <v>2248.2455947947501</v>
      </c>
      <c r="AX158" s="19">
        <v>5.7613577071058397E-4</v>
      </c>
      <c r="AY158" s="18">
        <v>580.78159508180295</v>
      </c>
      <c r="AZ158" s="19">
        <v>9.1744378006126705E-3</v>
      </c>
      <c r="BA158" s="18">
        <v>5206.55449024888</v>
      </c>
      <c r="BB158" s="19">
        <v>3.79800937789354E-3</v>
      </c>
      <c r="BC158" s="18">
        <v>8940.8717657678899</v>
      </c>
      <c r="BD158" s="19">
        <v>5.6131456791688201E-3</v>
      </c>
      <c r="BE158" s="18">
        <v>-3738.89538920826</v>
      </c>
      <c r="BF158" s="19">
        <v>8.2471729009800897E-3</v>
      </c>
      <c r="BG158" s="18"/>
      <c r="BH158" s="19"/>
    </row>
    <row r="159" spans="1:60" x14ac:dyDescent="0.15">
      <c r="A159" s="17">
        <v>2016</v>
      </c>
      <c r="B159" s="17">
        <v>4</v>
      </c>
      <c r="C159" s="18">
        <v>171392.892495807</v>
      </c>
      <c r="D159" s="19">
        <v>5.9597590561111203E-4</v>
      </c>
      <c r="E159" s="18">
        <v>166178.83567564</v>
      </c>
      <c r="F159" s="19">
        <v>5.3259422296969604E-4</v>
      </c>
      <c r="G159" s="18">
        <v>1224.99366015075</v>
      </c>
      <c r="H159" s="19">
        <v>-6.0833444257149E-3</v>
      </c>
      <c r="I159" s="18">
        <v>160.99505417828601</v>
      </c>
      <c r="J159" s="19">
        <v>4.1704185047266602E-3</v>
      </c>
      <c r="K159" s="18">
        <v>30518.703916889699</v>
      </c>
      <c r="L159" s="19">
        <v>6.2606446584072602E-3</v>
      </c>
      <c r="M159" s="18">
        <v>9266.94635391269</v>
      </c>
      <c r="N159" s="19">
        <v>3.7045876060608302E-2</v>
      </c>
      <c r="O159" s="18">
        <v>21460.0730708519</v>
      </c>
      <c r="P159" s="19">
        <v>-9.6944776718622706E-3</v>
      </c>
      <c r="Q159" s="18">
        <v>2128.9837919830302</v>
      </c>
      <c r="R159" s="19">
        <v>-7.9750868489050206E-2</v>
      </c>
      <c r="S159" s="18">
        <v>579.40119808541397</v>
      </c>
      <c r="T159" s="19">
        <v>-4.8445622710498799E-2</v>
      </c>
      <c r="U159" s="18">
        <v>8204.3188621449008</v>
      </c>
      <c r="V159" s="19">
        <v>-6.7172325785758201E-4</v>
      </c>
      <c r="W159" s="18">
        <v>27187.175274388901</v>
      </c>
      <c r="X159" s="19">
        <v>-1.2893989017253899E-2</v>
      </c>
      <c r="Y159" s="18">
        <v>6309.2842169123096</v>
      </c>
      <c r="Z159" s="19">
        <v>1.8836760789731101E-3</v>
      </c>
      <c r="AA159" s="18">
        <v>6402.4174519198104</v>
      </c>
      <c r="AB159" s="19">
        <v>-2.5282297496287401E-3</v>
      </c>
      <c r="AC159" s="18">
        <v>3334.5246205119702</v>
      </c>
      <c r="AD159" s="19">
        <v>7.2577039250068002E-3</v>
      </c>
      <c r="AE159" s="18">
        <v>7494.6033619672899</v>
      </c>
      <c r="AF159" s="19">
        <v>9.6307843203726796E-3</v>
      </c>
      <c r="AG159" s="18">
        <v>13996.752565647799</v>
      </c>
      <c r="AH159" s="19">
        <v>-9.4533715640848798E-3</v>
      </c>
      <c r="AI159" s="18">
        <v>6913.7792870602198</v>
      </c>
      <c r="AJ159" s="19">
        <v>-1.7258966015194499E-2</v>
      </c>
      <c r="AK159" s="18">
        <v>5010.1206921805797</v>
      </c>
      <c r="AL159" s="19">
        <v>-7.6231763104138697E-3</v>
      </c>
      <c r="AM159" s="18">
        <v>29863.570454049401</v>
      </c>
      <c r="AN159" s="19">
        <v>8.5284424202340895E-3</v>
      </c>
      <c r="AO159" s="18">
        <v>11291.2811766705</v>
      </c>
      <c r="AP159" s="19">
        <v>5.3529812304620198E-3</v>
      </c>
      <c r="AQ159" s="18">
        <v>7351.7174667058098</v>
      </c>
      <c r="AR159" s="19">
        <v>2.7830917734443798E-3</v>
      </c>
      <c r="AS159" s="18">
        <v>12229.730701660899</v>
      </c>
      <c r="AT159" s="19">
        <v>1.5951108100996401E-2</v>
      </c>
      <c r="AU159" s="18">
        <v>1465.15269285161</v>
      </c>
      <c r="AV159" s="19">
        <v>-9.7947404944431792E-4</v>
      </c>
      <c r="AW159" s="18">
        <v>2257.2083996777901</v>
      </c>
      <c r="AX159" s="19">
        <v>3.9865773133473904E-3</v>
      </c>
      <c r="AY159" s="18">
        <v>584.99782263117697</v>
      </c>
      <c r="AZ159" s="19">
        <v>7.2595750021649001E-3</v>
      </c>
      <c r="BA159" s="18">
        <v>5218.95293385697</v>
      </c>
      <c r="BB159" s="19">
        <v>2.3813144818354299E-3</v>
      </c>
      <c r="BC159" s="18">
        <v>8987.6858485516295</v>
      </c>
      <c r="BD159" s="19">
        <v>5.2359640100176899E-3</v>
      </c>
      <c r="BE159" s="18">
        <v>-3773.8921844250999</v>
      </c>
      <c r="BF159" s="19">
        <v>9.3601964146559097E-3</v>
      </c>
      <c r="BG159" s="18"/>
      <c r="BH159" s="19"/>
    </row>
    <row r="160" spans="1:60" x14ac:dyDescent="0.15">
      <c r="A160" s="17">
        <v>2017</v>
      </c>
      <c r="B160" s="17">
        <v>1</v>
      </c>
      <c r="C160" s="18">
        <v>171859.71551559499</v>
      </c>
      <c r="D160" s="19">
        <v>2.72370115814069E-3</v>
      </c>
      <c r="E160" s="18">
        <v>166606.41212203499</v>
      </c>
      <c r="F160" s="19">
        <v>2.5729897833077801E-3</v>
      </c>
      <c r="G160" s="18">
        <v>1201.4692621009599</v>
      </c>
      <c r="H160" s="19">
        <v>-1.9203689631254399E-2</v>
      </c>
      <c r="I160" s="18">
        <v>159.71385056464001</v>
      </c>
      <c r="J160" s="19">
        <v>-7.9580308860089898E-3</v>
      </c>
      <c r="K160" s="18">
        <v>31030.617590625501</v>
      </c>
      <c r="L160" s="19">
        <v>1.6773768477517999E-2</v>
      </c>
      <c r="M160" s="18">
        <v>9430.8896546300002</v>
      </c>
      <c r="N160" s="19">
        <v>1.7691189142158701E-2</v>
      </c>
      <c r="O160" s="18">
        <v>21827.055063285799</v>
      </c>
      <c r="P160" s="19">
        <v>1.7100686993109002E-2</v>
      </c>
      <c r="Q160" s="18">
        <v>2360.4698328795998</v>
      </c>
      <c r="R160" s="19">
        <v>0.108730767123854</v>
      </c>
      <c r="S160" s="18">
        <v>541.10057340794901</v>
      </c>
      <c r="T160" s="19">
        <v>-6.6103806488537101E-2</v>
      </c>
      <c r="U160" s="18">
        <v>8179.0055732502997</v>
      </c>
      <c r="V160" s="19">
        <v>-3.0853614199949399E-3</v>
      </c>
      <c r="W160" s="18">
        <v>27189.367904709299</v>
      </c>
      <c r="X160" s="19">
        <v>8.0649434825108598E-5</v>
      </c>
      <c r="Y160" s="18">
        <v>6315.7812522660497</v>
      </c>
      <c r="Z160" s="19">
        <v>1.0297579139513201E-3</v>
      </c>
      <c r="AA160" s="18">
        <v>6284.2669534883698</v>
      </c>
      <c r="AB160" s="19">
        <v>-1.84540447914729E-2</v>
      </c>
      <c r="AC160" s="18">
        <v>3350.9585973559501</v>
      </c>
      <c r="AD160" s="19">
        <v>4.9284316999447199E-3</v>
      </c>
      <c r="AE160" s="18">
        <v>7454.2059381235304</v>
      </c>
      <c r="AF160" s="19">
        <v>-5.3902017081746099E-3</v>
      </c>
      <c r="AG160" s="18">
        <v>13647.5737956544</v>
      </c>
      <c r="AH160" s="19">
        <v>-2.4947127439430099E-2</v>
      </c>
      <c r="AI160" s="18">
        <v>6535.2126818571296</v>
      </c>
      <c r="AJ160" s="19">
        <v>-5.4755379002568397E-2</v>
      </c>
      <c r="AK160" s="18">
        <v>4963.6566426388199</v>
      </c>
      <c r="AL160" s="19">
        <v>-9.2740379716342893E-3</v>
      </c>
      <c r="AM160" s="18">
        <v>29967.8687608494</v>
      </c>
      <c r="AN160" s="19">
        <v>3.4924928672026602E-3</v>
      </c>
      <c r="AO160" s="18">
        <v>11350.2976855013</v>
      </c>
      <c r="AP160" s="19">
        <v>5.22673272478014E-3</v>
      </c>
      <c r="AQ160" s="18">
        <v>7357.9375068549598</v>
      </c>
      <c r="AR160" s="19">
        <v>8.4606626646377403E-4</v>
      </c>
      <c r="AS160" s="18">
        <v>12342.9942086066</v>
      </c>
      <c r="AT160" s="19">
        <v>9.2613246937887101E-3</v>
      </c>
      <c r="AU160" s="18">
        <v>1445.4119146087801</v>
      </c>
      <c r="AV160" s="19">
        <v>-1.3473529645846499E-2</v>
      </c>
      <c r="AW160" s="18">
        <v>2271.0436435792499</v>
      </c>
      <c r="AX160" s="19">
        <v>6.1293604540191299E-3</v>
      </c>
      <c r="AY160" s="18">
        <v>588.01645288335703</v>
      </c>
      <c r="AZ160" s="19">
        <v>5.1600709189023597E-3</v>
      </c>
      <c r="BA160" s="18">
        <v>5260.0750267048697</v>
      </c>
      <c r="BB160" s="19">
        <v>7.8793760681630208E-3</v>
      </c>
      <c r="BC160" s="18">
        <v>9049.5391600847597</v>
      </c>
      <c r="BD160" s="19">
        <v>6.88200640024528E-3</v>
      </c>
      <c r="BE160" s="18">
        <v>-3794.0217517631199</v>
      </c>
      <c r="BF160" s="19">
        <v>5.3339010110302603E-3</v>
      </c>
      <c r="BG160" s="18"/>
      <c r="BH160" s="19"/>
    </row>
    <row r="161" spans="1:60" x14ac:dyDescent="0.15">
      <c r="A161" s="17">
        <v>2017</v>
      </c>
      <c r="B161" s="17">
        <v>2</v>
      </c>
      <c r="C161" s="18">
        <v>173286.739399991</v>
      </c>
      <c r="D161" s="19">
        <v>8.3034228243383801E-3</v>
      </c>
      <c r="E161" s="18">
        <v>168004.63440789701</v>
      </c>
      <c r="F161" s="19">
        <v>8.3923677849666607E-3</v>
      </c>
      <c r="G161" s="18">
        <v>1198.93122196222</v>
      </c>
      <c r="H161" s="19">
        <v>-2.1124470003541802E-3</v>
      </c>
      <c r="I161" s="18">
        <v>163.84913832275001</v>
      </c>
      <c r="J161" s="19">
        <v>2.5891854360095699E-2</v>
      </c>
      <c r="K161" s="18">
        <v>31510.983015415401</v>
      </c>
      <c r="L161" s="19">
        <v>1.5480369457260701E-2</v>
      </c>
      <c r="M161" s="18">
        <v>9682.4983259373403</v>
      </c>
      <c r="N161" s="19">
        <v>2.6679208486319401E-2</v>
      </c>
      <c r="O161" s="18">
        <v>22037.825935806199</v>
      </c>
      <c r="P161" s="19">
        <v>9.6564044901710205E-3</v>
      </c>
      <c r="Q161" s="18">
        <v>2609.18717427209</v>
      </c>
      <c r="R161" s="19">
        <v>0.105367727190597</v>
      </c>
      <c r="S161" s="18">
        <v>534.90107454597796</v>
      </c>
      <c r="T161" s="19">
        <v>-1.1457202536168E-2</v>
      </c>
      <c r="U161" s="18">
        <v>8181.0677922936302</v>
      </c>
      <c r="V161" s="19">
        <v>2.5213566916693102E-4</v>
      </c>
      <c r="W161" s="18">
        <v>27211.330813442401</v>
      </c>
      <c r="X161" s="19">
        <v>8.0777562796341396E-4</v>
      </c>
      <c r="Y161" s="18">
        <v>6245.1738007634603</v>
      </c>
      <c r="Z161" s="19">
        <v>-1.1179527707242501E-2</v>
      </c>
      <c r="AA161" s="18">
        <v>6522.0795206284402</v>
      </c>
      <c r="AB161" s="19">
        <v>3.7842531022342897E-2</v>
      </c>
      <c r="AC161" s="18">
        <v>3375.5030322098</v>
      </c>
      <c r="AD161" s="19">
        <v>7.3246010479557401E-3</v>
      </c>
      <c r="AE161" s="18">
        <v>7499.6221871201196</v>
      </c>
      <c r="AF161" s="19">
        <v>6.0927011372624599E-3</v>
      </c>
      <c r="AG161" s="18">
        <v>13748.9257674529</v>
      </c>
      <c r="AH161" s="19">
        <v>7.4263728715480096E-3</v>
      </c>
      <c r="AI161" s="18">
        <v>6549.6066454512302</v>
      </c>
      <c r="AJ161" s="19">
        <v>2.20252412504651E-3</v>
      </c>
      <c r="AK161" s="18">
        <v>4948.1652860043196</v>
      </c>
      <c r="AL161" s="19">
        <v>-3.1209565346308498E-3</v>
      </c>
      <c r="AM161" s="18">
        <v>30096.2711085874</v>
      </c>
      <c r="AN161" s="19">
        <v>4.2846673136023297E-3</v>
      </c>
      <c r="AO161" s="18">
        <v>11429.231275657499</v>
      </c>
      <c r="AP161" s="19">
        <v>6.9543189388836498E-3</v>
      </c>
      <c r="AQ161" s="18">
        <v>7354.1581503734797</v>
      </c>
      <c r="AR161" s="19">
        <v>-5.1364346027127404E-4</v>
      </c>
      <c r="AS161" s="18">
        <v>12383.8407513068</v>
      </c>
      <c r="AT161" s="19">
        <v>3.3092896269655298E-3</v>
      </c>
      <c r="AU161" s="18">
        <v>1456.75737343635</v>
      </c>
      <c r="AV161" s="19">
        <v>7.8492910656813297E-3</v>
      </c>
      <c r="AW161" s="18">
        <v>2246.4899193503202</v>
      </c>
      <c r="AX161" s="19">
        <v>-1.08116478951676E-2</v>
      </c>
      <c r="AY161" s="18">
        <v>591.07798933992501</v>
      </c>
      <c r="AZ161" s="19">
        <v>5.2065489690911199E-3</v>
      </c>
      <c r="BA161" s="18">
        <v>5288.7206088767098</v>
      </c>
      <c r="BB161" s="19">
        <v>5.4458504919430197E-3</v>
      </c>
      <c r="BC161" s="18">
        <v>9111.0609339064395</v>
      </c>
      <c r="BD161" s="19">
        <v>6.7983322391749201E-3</v>
      </c>
      <c r="BE161" s="18">
        <v>-3826.8061928485599</v>
      </c>
      <c r="BF161" s="19">
        <v>8.6410788420483407E-3</v>
      </c>
      <c r="BG161" s="18"/>
      <c r="BH161" s="19"/>
    </row>
    <row r="162" spans="1:60" x14ac:dyDescent="0.15">
      <c r="A162" s="17">
        <v>2017</v>
      </c>
      <c r="B162" s="17">
        <v>3</v>
      </c>
      <c r="C162" s="18">
        <v>174667.79776370301</v>
      </c>
      <c r="D162" s="19">
        <v>7.9697867736077104E-3</v>
      </c>
      <c r="E162" s="18">
        <v>169360.82783340101</v>
      </c>
      <c r="F162" s="19">
        <v>8.0723572315974899E-3</v>
      </c>
      <c r="G162" s="18">
        <v>1208.5963888645399</v>
      </c>
      <c r="H162" s="19">
        <v>8.0614857009895201E-3</v>
      </c>
      <c r="I162" s="18">
        <v>170.233308429006</v>
      </c>
      <c r="J162" s="19">
        <v>3.89637087604362E-2</v>
      </c>
      <c r="K162" s="18">
        <v>31740.900497074501</v>
      </c>
      <c r="L162" s="19">
        <v>7.2964236484343E-3</v>
      </c>
      <c r="M162" s="18">
        <v>9738.8042894809696</v>
      </c>
      <c r="N162" s="19">
        <v>5.8152309092369698E-3</v>
      </c>
      <c r="O162" s="18">
        <v>22215.8850961073</v>
      </c>
      <c r="P162" s="19">
        <v>8.0797062659343499E-3</v>
      </c>
      <c r="Q162" s="18">
        <v>2696.3652048598701</v>
      </c>
      <c r="R162" s="19">
        <v>3.3411949685863397E-2</v>
      </c>
      <c r="S162" s="18">
        <v>525.55806525209096</v>
      </c>
      <c r="T162" s="19">
        <v>-1.7466798513757799E-2</v>
      </c>
      <c r="U162" s="18">
        <v>8208.1759142349292</v>
      </c>
      <c r="V162" s="19">
        <v>3.3135188009121301E-3</v>
      </c>
      <c r="W162" s="18">
        <v>27567.984981603699</v>
      </c>
      <c r="X162" s="19">
        <v>1.31068256310733E-2</v>
      </c>
      <c r="Y162" s="18">
        <v>6244.5994794433</v>
      </c>
      <c r="Z162" s="19">
        <v>-9.1962423861669001E-5</v>
      </c>
      <c r="AA162" s="18">
        <v>6491.3956971596099</v>
      </c>
      <c r="AB162" s="19">
        <v>-4.70460738354672E-3</v>
      </c>
      <c r="AC162" s="18">
        <v>3415.31352314886</v>
      </c>
      <c r="AD162" s="19">
        <v>1.1793943172078601E-2</v>
      </c>
      <c r="AE162" s="18">
        <v>7656.0622175451899</v>
      </c>
      <c r="AF162" s="19">
        <v>2.0859721532871401E-2</v>
      </c>
      <c r="AG162" s="18">
        <v>13754.6198905437</v>
      </c>
      <c r="AH162" s="19">
        <v>4.1415039888015299E-4</v>
      </c>
      <c r="AI162" s="18">
        <v>6439.6537672840204</v>
      </c>
      <c r="AJ162" s="19">
        <v>-1.6787707127964999E-2</v>
      </c>
      <c r="AK162" s="18">
        <v>4962.4611320555396</v>
      </c>
      <c r="AL162" s="19">
        <v>2.8891205578069901E-3</v>
      </c>
      <c r="AM162" s="18">
        <v>30358.917832597999</v>
      </c>
      <c r="AN162" s="19">
        <v>8.7268859010150007E-3</v>
      </c>
      <c r="AO162" s="18">
        <v>11498.3539168264</v>
      </c>
      <c r="AP162" s="19">
        <v>6.0478819180203001E-3</v>
      </c>
      <c r="AQ162" s="18">
        <v>7338.2244281787798</v>
      </c>
      <c r="AR162" s="19">
        <v>-2.1666276232982199E-3</v>
      </c>
      <c r="AS162" s="18">
        <v>12482.759543651</v>
      </c>
      <c r="AT162" s="19">
        <v>7.9877312968279508E-3</v>
      </c>
      <c r="AU162" s="18">
        <v>1494.23388441157</v>
      </c>
      <c r="AV162" s="19">
        <v>2.57259799460068E-2</v>
      </c>
      <c r="AW162" s="18">
        <v>2285.1212969774701</v>
      </c>
      <c r="AX162" s="19">
        <v>1.7196328055783E-2</v>
      </c>
      <c r="AY162" s="18">
        <v>594.396068714477</v>
      </c>
      <c r="AZ162" s="19">
        <v>5.6136067226204601E-3</v>
      </c>
      <c r="BA162" s="18">
        <v>5313.6710550382704</v>
      </c>
      <c r="BB162" s="19">
        <v>4.7176714382839401E-3</v>
      </c>
      <c r="BC162" s="18">
        <v>9154.1072597285092</v>
      </c>
      <c r="BD162" s="19">
        <v>4.7246227562678404E-3</v>
      </c>
      <c r="BE162" s="18">
        <v>-3844.9225377975199</v>
      </c>
      <c r="BF162" s="19">
        <v>4.7340638736330697E-3</v>
      </c>
      <c r="BG162" s="18"/>
      <c r="BH162" s="19"/>
    </row>
    <row r="163" spans="1:60" x14ac:dyDescent="0.15">
      <c r="A163" s="17">
        <v>2017</v>
      </c>
      <c r="B163" s="17">
        <v>4</v>
      </c>
      <c r="C163" s="18">
        <v>176427.26623088101</v>
      </c>
      <c r="D163" s="19">
        <v>1.0073227519355099E-2</v>
      </c>
      <c r="E163" s="18">
        <v>171184.32729652501</v>
      </c>
      <c r="F163" s="19">
        <v>1.07669493970444E-2</v>
      </c>
      <c r="G163" s="18">
        <v>1229.0024812315701</v>
      </c>
      <c r="H163" s="19">
        <v>1.6884124886562098E-2</v>
      </c>
      <c r="I163" s="18">
        <v>178.882722593008</v>
      </c>
      <c r="J163" s="19">
        <v>5.0809176205426097E-2</v>
      </c>
      <c r="K163" s="18">
        <v>32133.204817399299</v>
      </c>
      <c r="L163" s="19">
        <v>1.23595838234329E-2</v>
      </c>
      <c r="M163" s="18">
        <v>9961.2337213579303</v>
      </c>
      <c r="N163" s="19">
        <v>2.2839501161062498E-2</v>
      </c>
      <c r="O163" s="18">
        <v>22367.620818559401</v>
      </c>
      <c r="P163" s="19">
        <v>6.8300552418096797E-3</v>
      </c>
      <c r="Q163" s="18">
        <v>2669.9842050360398</v>
      </c>
      <c r="R163" s="19">
        <v>-9.78391197760764E-3</v>
      </c>
      <c r="S163" s="18">
        <v>525.55388280649004</v>
      </c>
      <c r="T163" s="19">
        <v>-7.9581037315534803E-6</v>
      </c>
      <c r="U163" s="18">
        <v>8375.6882884198894</v>
      </c>
      <c r="V163" s="19">
        <v>2.0407990269122499E-2</v>
      </c>
      <c r="W163" s="18">
        <v>27601.9476710405</v>
      </c>
      <c r="X163" s="19">
        <v>1.23196125721359E-3</v>
      </c>
      <c r="Y163" s="18">
        <v>6208.3830323244001</v>
      </c>
      <c r="Z163" s="19">
        <v>-5.7996429135482898E-3</v>
      </c>
      <c r="AA163" s="18">
        <v>6643.4025276174798</v>
      </c>
      <c r="AB163" s="19">
        <v>2.3416663772996199E-2</v>
      </c>
      <c r="AC163" s="18">
        <v>3454.8832528493899</v>
      </c>
      <c r="AD163" s="19">
        <v>1.1585972834509101E-2</v>
      </c>
      <c r="AE163" s="18">
        <v>7793.2935247356199</v>
      </c>
      <c r="AF163" s="19">
        <v>1.79245287317473E-2</v>
      </c>
      <c r="AG163" s="18">
        <v>14106.1878639436</v>
      </c>
      <c r="AH163" s="19">
        <v>2.5559991929810202E-2</v>
      </c>
      <c r="AI163" s="18">
        <v>6597.6209177478504</v>
      </c>
      <c r="AJ163" s="19">
        <v>2.45303794539962E-2</v>
      </c>
      <c r="AK163" s="18">
        <v>5006.14717534792</v>
      </c>
      <c r="AL163" s="19">
        <v>8.8033018556441505E-3</v>
      </c>
      <c r="AM163" s="18">
        <v>30628.7448124312</v>
      </c>
      <c r="AN163" s="19">
        <v>8.8878984857449998E-3</v>
      </c>
      <c r="AO163" s="18">
        <v>11575.403776195701</v>
      </c>
      <c r="AP163" s="19">
        <v>6.7009469291563501E-3</v>
      </c>
      <c r="AQ163" s="18">
        <v>7403.8630308213797</v>
      </c>
      <c r="AR163" s="19">
        <v>8.94475268302641E-3</v>
      </c>
      <c r="AS163" s="18">
        <v>12564.7698125441</v>
      </c>
      <c r="AT163" s="19">
        <v>6.5698829338478601E-3</v>
      </c>
      <c r="AU163" s="18">
        <v>1524.8612128301399</v>
      </c>
      <c r="AV163" s="19">
        <v>2.0497011035613698E-2</v>
      </c>
      <c r="AW163" s="18">
        <v>2281.99304219654</v>
      </c>
      <c r="AX163" s="19">
        <v>-1.3689666211929E-3</v>
      </c>
      <c r="AY163" s="18">
        <v>597.55485202329101</v>
      </c>
      <c r="AZ163" s="19">
        <v>5.3142735544084996E-3</v>
      </c>
      <c r="BA163" s="18">
        <v>5247.2549573822398</v>
      </c>
      <c r="BB163" s="19">
        <v>-1.2499098451541501E-2</v>
      </c>
      <c r="BC163" s="18">
        <v>9129.5675695856607</v>
      </c>
      <c r="BD163" s="19">
        <v>-2.6807300205898802E-3</v>
      </c>
      <c r="BE163" s="18">
        <v>-3885.88684460081</v>
      </c>
      <c r="BF163" s="19">
        <v>1.0654130584059699E-2</v>
      </c>
      <c r="BG163" s="18"/>
      <c r="BH163" s="19"/>
    </row>
    <row r="164" spans="1:60" x14ac:dyDescent="0.15">
      <c r="A164" s="17">
        <v>2018</v>
      </c>
      <c r="B164" s="17">
        <v>1</v>
      </c>
      <c r="C164" s="18">
        <v>178251.20345541101</v>
      </c>
      <c r="D164" s="19">
        <v>1.0338182206730599E-2</v>
      </c>
      <c r="E164" s="18">
        <v>173035.92248435799</v>
      </c>
      <c r="F164" s="19">
        <v>1.0816382650645801E-2</v>
      </c>
      <c r="G164" s="18">
        <v>1270.19463008905</v>
      </c>
      <c r="H164" s="19">
        <v>3.3516733681609998E-2</v>
      </c>
      <c r="I164" s="18">
        <v>188.50438001397001</v>
      </c>
      <c r="J164" s="19">
        <v>5.3787516656110403E-2</v>
      </c>
      <c r="K164" s="18">
        <v>32632.144790353501</v>
      </c>
      <c r="L164" s="19">
        <v>1.55272396821136E-2</v>
      </c>
      <c r="M164" s="18">
        <v>10485.735076267199</v>
      </c>
      <c r="N164" s="19">
        <v>5.2654256448640697E-2</v>
      </c>
      <c r="O164" s="18">
        <v>22290.9609128298</v>
      </c>
      <c r="P164" s="19">
        <v>-3.4272713379487302E-3</v>
      </c>
      <c r="Q164" s="18">
        <v>2899.54376767739</v>
      </c>
      <c r="R164" s="19">
        <v>8.5977872905901795E-2</v>
      </c>
      <c r="S164" s="18">
        <v>546.35817518496799</v>
      </c>
      <c r="T164" s="19">
        <v>3.9585460328790401E-2</v>
      </c>
      <c r="U164" s="18">
        <v>8458.9995815338498</v>
      </c>
      <c r="V164" s="19">
        <v>9.9467996235185208E-3</v>
      </c>
      <c r="W164" s="18">
        <v>27539.382727201599</v>
      </c>
      <c r="X164" s="19">
        <v>-2.2666858362502301E-3</v>
      </c>
      <c r="Y164" s="18">
        <v>6185.0340249089504</v>
      </c>
      <c r="Z164" s="19">
        <v>-3.7608838394596099E-3</v>
      </c>
      <c r="AA164" s="18">
        <v>6780.0169391808904</v>
      </c>
      <c r="AB164" s="19">
        <v>2.0563922025722998E-2</v>
      </c>
      <c r="AC164" s="18">
        <v>3508.2036745668102</v>
      </c>
      <c r="AD164" s="19">
        <v>1.54333497878527E-2</v>
      </c>
      <c r="AE164" s="18">
        <v>7930.0669695781298</v>
      </c>
      <c r="AF164" s="19">
        <v>1.75501467265913E-2</v>
      </c>
      <c r="AG164" s="18">
        <v>14231.3011944958</v>
      </c>
      <c r="AH164" s="19">
        <v>8.8693934717796203E-3</v>
      </c>
      <c r="AI164" s="18">
        <v>6541.9390546756704</v>
      </c>
      <c r="AJ164" s="19">
        <v>-8.4396881491620706E-3</v>
      </c>
      <c r="AK164" s="18">
        <v>5079.6043862462402</v>
      </c>
      <c r="AL164" s="19">
        <v>1.46734021844284E-2</v>
      </c>
      <c r="AM164" s="18">
        <v>31134.837796235701</v>
      </c>
      <c r="AN164" s="19">
        <v>1.6523464702970399E-2</v>
      </c>
      <c r="AO164" s="18">
        <v>11540.6435113569</v>
      </c>
      <c r="AP164" s="19">
        <v>-3.0029418853041402E-3</v>
      </c>
      <c r="AQ164" s="18">
        <v>7408.35087945941</v>
      </c>
      <c r="AR164" s="19">
        <v>6.0614960316640598E-4</v>
      </c>
      <c r="AS164" s="18">
        <v>12718.1743865027</v>
      </c>
      <c r="AT164" s="19">
        <v>1.2209103409554599E-2</v>
      </c>
      <c r="AU164" s="18">
        <v>1498.8046627317599</v>
      </c>
      <c r="AV164" s="19">
        <v>-1.7087817487349E-2</v>
      </c>
      <c r="AW164" s="18">
        <v>2288.7537871875702</v>
      </c>
      <c r="AX164" s="19">
        <v>2.9626492570415902E-3</v>
      </c>
      <c r="AY164" s="18">
        <v>600.45683969753895</v>
      </c>
      <c r="AZ164" s="19">
        <v>4.8564373034913899E-3</v>
      </c>
      <c r="BA164" s="18">
        <v>5222.0705266744799</v>
      </c>
      <c r="BB164" s="19">
        <v>-4.7995439353163399E-3</v>
      </c>
      <c r="BC164" s="18">
        <v>9108.09246530768</v>
      </c>
      <c r="BD164" s="19">
        <v>-2.3522586490872799E-3</v>
      </c>
      <c r="BE164" s="18">
        <v>-3890.47711679348</v>
      </c>
      <c r="BF164" s="19">
        <v>1.1812675912199499E-3</v>
      </c>
      <c r="BG164" s="18"/>
      <c r="BH164" s="19"/>
    </row>
    <row r="165" spans="1:60" x14ac:dyDescent="0.15">
      <c r="A165" s="17">
        <v>2018</v>
      </c>
      <c r="B165" s="17">
        <v>2</v>
      </c>
      <c r="C165" s="18">
        <v>179528.89468856499</v>
      </c>
      <c r="D165" s="19">
        <v>7.1679248632594596E-3</v>
      </c>
      <c r="E165" s="18">
        <v>174357.87128459199</v>
      </c>
      <c r="F165" s="19">
        <v>7.6397361961291202E-3</v>
      </c>
      <c r="G165" s="18">
        <v>1289.25134136821</v>
      </c>
      <c r="H165" s="19">
        <v>1.5002985233704601E-2</v>
      </c>
      <c r="I165" s="18">
        <v>196.76671260747699</v>
      </c>
      <c r="J165" s="19">
        <v>4.3830984685311498E-2</v>
      </c>
      <c r="K165" s="18">
        <v>33067.971759636297</v>
      </c>
      <c r="L165" s="19">
        <v>1.33557561748634E-2</v>
      </c>
      <c r="M165" s="18">
        <v>10553.2254538208</v>
      </c>
      <c r="N165" s="19">
        <v>6.4363992665059698E-3</v>
      </c>
      <c r="O165" s="18">
        <v>22672.7105708985</v>
      </c>
      <c r="P165" s="19">
        <v>1.7125760507210999E-2</v>
      </c>
      <c r="Q165" s="18">
        <v>3129.2788285044699</v>
      </c>
      <c r="R165" s="19">
        <v>7.9231451302113301E-2</v>
      </c>
      <c r="S165" s="18">
        <v>557.36966008736704</v>
      </c>
      <c r="T165" s="19">
        <v>2.0154333553572299E-2</v>
      </c>
      <c r="U165" s="18">
        <v>8552.2155385626193</v>
      </c>
      <c r="V165" s="19">
        <v>1.10197377515258E-2</v>
      </c>
      <c r="W165" s="18">
        <v>27282.411488172598</v>
      </c>
      <c r="X165" s="19">
        <v>-9.3310457091391203E-3</v>
      </c>
      <c r="Y165" s="18">
        <v>6210.5566179103298</v>
      </c>
      <c r="Z165" s="19">
        <v>4.1265080998074098E-3</v>
      </c>
      <c r="AA165" s="18">
        <v>6696.5298971899501</v>
      </c>
      <c r="AB165" s="19">
        <v>-1.2313692242932399E-2</v>
      </c>
      <c r="AC165" s="18">
        <v>3570.1826550624701</v>
      </c>
      <c r="AD165" s="19">
        <v>1.76668706395204E-2</v>
      </c>
      <c r="AE165" s="18">
        <v>8021.7506192312903</v>
      </c>
      <c r="AF165" s="19">
        <v>1.15615227468933E-2</v>
      </c>
      <c r="AG165" s="18">
        <v>14433.8221803789</v>
      </c>
      <c r="AH165" s="19">
        <v>1.4230672453296799E-2</v>
      </c>
      <c r="AI165" s="18">
        <v>6639.7361716676796</v>
      </c>
      <c r="AJ165" s="19">
        <v>1.4949255285726199E-2</v>
      </c>
      <c r="AK165" s="18">
        <v>5126.6469927301896</v>
      </c>
      <c r="AL165" s="19">
        <v>9.2610768293916994E-3</v>
      </c>
      <c r="AM165" s="18">
        <v>31548.970728800501</v>
      </c>
      <c r="AN165" s="19">
        <v>1.3301271561941601E-2</v>
      </c>
      <c r="AO165" s="18">
        <v>11579.2859362378</v>
      </c>
      <c r="AP165" s="19">
        <v>3.34837696380652E-3</v>
      </c>
      <c r="AQ165" s="18">
        <v>7447.65873023724</v>
      </c>
      <c r="AR165" s="19">
        <v>5.3058840513102697E-3</v>
      </c>
      <c r="AS165" s="18">
        <v>12722.571797976099</v>
      </c>
      <c r="AT165" s="19">
        <v>3.4575807342340802E-4</v>
      </c>
      <c r="AU165" s="18">
        <v>1472.4110420233801</v>
      </c>
      <c r="AV165" s="19">
        <v>-1.76097802233143E-2</v>
      </c>
      <c r="AW165" s="18">
        <v>2326.37534773885</v>
      </c>
      <c r="AX165" s="19">
        <v>1.6437574352418501E-2</v>
      </c>
      <c r="AY165" s="18">
        <v>604.13006820648104</v>
      </c>
      <c r="AZ165" s="19">
        <v>6.1173897374406901E-3</v>
      </c>
      <c r="BA165" s="18">
        <v>5175.8661644112999</v>
      </c>
      <c r="BB165" s="19">
        <v>-8.8479008521938907E-3</v>
      </c>
      <c r="BC165" s="18">
        <v>9080.2284144463392</v>
      </c>
      <c r="BD165" s="19">
        <v>-3.0592630638604E-3</v>
      </c>
      <c r="BE165" s="18">
        <v>-3908.9083786268602</v>
      </c>
      <c r="BF165" s="19">
        <v>4.7375325133820496E-3</v>
      </c>
      <c r="BG165" s="18"/>
      <c r="BH165" s="19"/>
    </row>
    <row r="166" spans="1:60" x14ac:dyDescent="0.15">
      <c r="A166" s="17">
        <v>2018</v>
      </c>
      <c r="B166" s="17">
        <v>3</v>
      </c>
      <c r="C166" s="18">
        <v>179224.547035436</v>
      </c>
      <c r="D166" s="19">
        <v>-1.69525721003105E-3</v>
      </c>
      <c r="E166" s="18">
        <v>174141.06800642199</v>
      </c>
      <c r="F166" s="19">
        <v>-1.2434384325337199E-3</v>
      </c>
      <c r="G166" s="18">
        <v>1293.7575578854301</v>
      </c>
      <c r="H166" s="19">
        <v>3.49521956862597E-3</v>
      </c>
      <c r="I166" s="18">
        <v>197.724471538133</v>
      </c>
      <c r="J166" s="19">
        <v>4.8674845351845998E-3</v>
      </c>
      <c r="K166" s="18">
        <v>33041.274828651003</v>
      </c>
      <c r="L166" s="19">
        <v>-8.0733500014340499E-4</v>
      </c>
      <c r="M166" s="18">
        <v>10733.2180772089</v>
      </c>
      <c r="N166" s="19">
        <v>1.70556977272718E-2</v>
      </c>
      <c r="O166" s="18">
        <v>22436.0594968152</v>
      </c>
      <c r="P166" s="19">
        <v>-1.0437705423147399E-2</v>
      </c>
      <c r="Q166" s="18">
        <v>2919.2904549139298</v>
      </c>
      <c r="R166" s="19">
        <v>-6.7104398520759598E-2</v>
      </c>
      <c r="S166" s="18">
        <v>561.68335200056197</v>
      </c>
      <c r="T166" s="19">
        <v>7.7393733855517502E-3</v>
      </c>
      <c r="U166" s="18">
        <v>8603.0816654714108</v>
      </c>
      <c r="V166" s="19">
        <v>5.9477133941998597E-3</v>
      </c>
      <c r="W166" s="18">
        <v>26743.263794414801</v>
      </c>
      <c r="X166" s="19">
        <v>-1.97617316193455E-2</v>
      </c>
      <c r="Y166" s="18">
        <v>6185.3468379043998</v>
      </c>
      <c r="Z166" s="19">
        <v>-4.0591820599831198E-3</v>
      </c>
      <c r="AA166" s="18">
        <v>6719.7524466463801</v>
      </c>
      <c r="AB166" s="19">
        <v>3.4678482457275498E-3</v>
      </c>
      <c r="AC166" s="18">
        <v>3608.79995977823</v>
      </c>
      <c r="AD166" s="19">
        <v>1.0816618769068399E-2</v>
      </c>
      <c r="AE166" s="18">
        <v>7984.6828971940604</v>
      </c>
      <c r="AF166" s="19">
        <v>-4.6209018201547299E-3</v>
      </c>
      <c r="AG166" s="18">
        <v>14440.9927871236</v>
      </c>
      <c r="AH166" s="19">
        <v>4.96791955387765E-4</v>
      </c>
      <c r="AI166" s="18">
        <v>6563.8709053775701</v>
      </c>
      <c r="AJ166" s="19">
        <v>-1.14259459003561E-2</v>
      </c>
      <c r="AK166" s="18">
        <v>5147.7448153666401</v>
      </c>
      <c r="AL166" s="19">
        <v>4.1153257999571001E-3</v>
      </c>
      <c r="AM166" s="18">
        <v>31869.656358170399</v>
      </c>
      <c r="AN166" s="19">
        <v>1.0164693869938899E-2</v>
      </c>
      <c r="AO166" s="18">
        <v>11597.8788303784</v>
      </c>
      <c r="AP166" s="19">
        <v>1.6057029978338E-3</v>
      </c>
      <c r="AQ166" s="18">
        <v>7425.3641486909601</v>
      </c>
      <c r="AR166" s="19">
        <v>-2.9935020324933798E-3</v>
      </c>
      <c r="AS166" s="18">
        <v>12834.0422737182</v>
      </c>
      <c r="AT166" s="19">
        <v>8.7616307073907808E-3</v>
      </c>
      <c r="AU166" s="18">
        <v>1476.1140253375299</v>
      </c>
      <c r="AV166" s="19">
        <v>2.51491139937432E-3</v>
      </c>
      <c r="AW166" s="18">
        <v>2359.5593398332699</v>
      </c>
      <c r="AX166" s="19">
        <v>1.4264246793483501E-2</v>
      </c>
      <c r="AY166" s="18">
        <v>609.10054450805796</v>
      </c>
      <c r="AZ166" s="19">
        <v>8.2274936527047E-3</v>
      </c>
      <c r="BA166" s="18">
        <v>5089.0927398260001</v>
      </c>
      <c r="BB166" s="19">
        <v>-1.67650054752084E-2</v>
      </c>
      <c r="BC166" s="18">
        <v>9021.0978622174898</v>
      </c>
      <c r="BD166" s="19">
        <v>-6.5120115408955296E-3</v>
      </c>
      <c r="BE166" s="18">
        <v>-3936.7052425523598</v>
      </c>
      <c r="BF166" s="19">
        <v>7.1111577026183896E-3</v>
      </c>
      <c r="BG166" s="18"/>
      <c r="BH166" s="19"/>
    </row>
    <row r="167" spans="1:60" x14ac:dyDescent="0.15">
      <c r="A167" s="17">
        <v>2018</v>
      </c>
      <c r="B167" s="17">
        <v>4</v>
      </c>
      <c r="C167" s="18">
        <v>180242.491808274</v>
      </c>
      <c r="D167" s="19">
        <v>5.6797173695048997E-3</v>
      </c>
      <c r="E167" s="18">
        <v>175191.356020665</v>
      </c>
      <c r="F167" s="19">
        <v>6.0312482647910696E-3</v>
      </c>
      <c r="G167" s="18">
        <v>1285.59944292615</v>
      </c>
      <c r="H167" s="19">
        <v>-6.30575250328502E-3</v>
      </c>
      <c r="I167" s="18">
        <v>199.12083528237301</v>
      </c>
      <c r="J167" s="19">
        <v>7.0621695603887398E-3</v>
      </c>
      <c r="K167" s="18">
        <v>34427.060755584404</v>
      </c>
      <c r="L167" s="19">
        <v>4.1941055062794302E-2</v>
      </c>
      <c r="M167" s="18">
        <v>11368.3634552609</v>
      </c>
      <c r="N167" s="19">
        <v>5.9175670659359997E-2</v>
      </c>
      <c r="O167" s="18">
        <v>23162.793240071602</v>
      </c>
      <c r="P167" s="19">
        <v>3.23913271561602E-2</v>
      </c>
      <c r="Q167" s="18">
        <v>2953.19371892971</v>
      </c>
      <c r="R167" s="19">
        <v>1.16135288829213E-2</v>
      </c>
      <c r="S167" s="18">
        <v>567.63242550527502</v>
      </c>
      <c r="T167" s="19">
        <v>1.0591507623511E-2</v>
      </c>
      <c r="U167" s="18">
        <v>8510.4293860216403</v>
      </c>
      <c r="V167" s="19">
        <v>-1.07696617389594E-2</v>
      </c>
      <c r="W167" s="18">
        <v>26473.112572341201</v>
      </c>
      <c r="X167" s="19">
        <v>-1.01016549120702E-2</v>
      </c>
      <c r="Y167" s="18">
        <v>6220.03570196907</v>
      </c>
      <c r="Z167" s="19">
        <v>5.6082326462436596E-3</v>
      </c>
      <c r="AA167" s="18">
        <v>6752.5135208091997</v>
      </c>
      <c r="AB167" s="19">
        <v>4.8753394448577403E-3</v>
      </c>
      <c r="AC167" s="18">
        <v>3500.6638353716899</v>
      </c>
      <c r="AD167" s="19">
        <v>-2.9964565953161101E-2</v>
      </c>
      <c r="AE167" s="18">
        <v>7949.3974077203502</v>
      </c>
      <c r="AF167" s="19">
        <v>-4.4191472508080497E-3</v>
      </c>
      <c r="AG167" s="18">
        <v>14121.6938622243</v>
      </c>
      <c r="AH167" s="19">
        <v>-2.2110593752528E-2</v>
      </c>
      <c r="AI167" s="18">
        <v>6296.46242794714</v>
      </c>
      <c r="AJ167" s="19">
        <v>-4.0739448000317702E-2</v>
      </c>
      <c r="AK167" s="18">
        <v>5142.6809010324296</v>
      </c>
      <c r="AL167" s="19">
        <v>-9.8371510551409401E-4</v>
      </c>
      <c r="AM167" s="18">
        <v>32046.7015095315</v>
      </c>
      <c r="AN167" s="19">
        <v>5.5552889987691102E-3</v>
      </c>
      <c r="AO167" s="18">
        <v>11631.7530228257</v>
      </c>
      <c r="AP167" s="19">
        <v>2.92072308589275E-3</v>
      </c>
      <c r="AQ167" s="18">
        <v>7424.6279317630697</v>
      </c>
      <c r="AR167" s="19">
        <v>-9.9148932382275804E-5</v>
      </c>
      <c r="AS167" s="18">
        <v>13009.5599929906</v>
      </c>
      <c r="AT167" s="19">
        <v>1.3675949909548899E-2</v>
      </c>
      <c r="AU167" s="18">
        <v>1510.26127524461</v>
      </c>
      <c r="AV167" s="19">
        <v>2.31332060538307E-2</v>
      </c>
      <c r="AW167" s="18">
        <v>2380.8528034518999</v>
      </c>
      <c r="AX167" s="19">
        <v>9.0243391039832605E-3</v>
      </c>
      <c r="AY167" s="18">
        <v>614.76122663753301</v>
      </c>
      <c r="AZ167" s="19">
        <v>9.2935102102851292E-3</v>
      </c>
      <c r="BA167" s="18">
        <v>5057.1342691209802</v>
      </c>
      <c r="BB167" s="19">
        <v>-6.2797972720997101E-3</v>
      </c>
      <c r="BC167" s="18">
        <v>9017.0450249259302</v>
      </c>
      <c r="BD167" s="19">
        <v>-4.4926209131745899E-4</v>
      </c>
      <c r="BE167" s="18">
        <v>-3964.7114189499098</v>
      </c>
      <c r="BF167" s="19">
        <v>7.1141156556062696E-3</v>
      </c>
      <c r="BG167" s="18"/>
      <c r="BH167" s="19"/>
    </row>
    <row r="168" spans="1:60" x14ac:dyDescent="0.15">
      <c r="A168" s="17">
        <v>2019</v>
      </c>
      <c r="B168" s="17">
        <v>1</v>
      </c>
      <c r="C168" s="18">
        <v>180569.350781994</v>
      </c>
      <c r="D168" s="19">
        <v>1.8134401629716899E-3</v>
      </c>
      <c r="E168" s="18">
        <v>175480.183504591</v>
      </c>
      <c r="F168" s="19">
        <v>1.64864003845255E-3</v>
      </c>
      <c r="G168" s="18">
        <v>1264.2058374951901</v>
      </c>
      <c r="H168" s="19">
        <v>-1.66409572971398E-2</v>
      </c>
      <c r="I168" s="18">
        <v>195.129413780709</v>
      </c>
      <c r="J168" s="19">
        <v>-2.0045222771406E-2</v>
      </c>
      <c r="K168" s="18">
        <v>34386.535321441399</v>
      </c>
      <c r="L168" s="19">
        <v>-1.1771389498136399E-3</v>
      </c>
      <c r="M168" s="18">
        <v>11196.8099818345</v>
      </c>
      <c r="N168" s="19">
        <v>-1.50904282838537E-2</v>
      </c>
      <c r="O168" s="18">
        <v>23319.800848096598</v>
      </c>
      <c r="P168" s="19">
        <v>6.77844016469398E-3</v>
      </c>
      <c r="Q168" s="18">
        <v>3048.8274757919598</v>
      </c>
      <c r="R168" s="19">
        <v>3.2383164114580601E-2</v>
      </c>
      <c r="S168" s="18">
        <v>554.043654154053</v>
      </c>
      <c r="T168" s="19">
        <v>-2.3939385314582801E-2</v>
      </c>
      <c r="U168" s="18">
        <v>8567.5510152323004</v>
      </c>
      <c r="V168" s="19">
        <v>6.7119561915964798E-3</v>
      </c>
      <c r="W168" s="18">
        <v>26107.527957459399</v>
      </c>
      <c r="X168" s="19">
        <v>-1.38096573979634E-2</v>
      </c>
      <c r="Y168" s="18">
        <v>6244.3321452330301</v>
      </c>
      <c r="Z168" s="19">
        <v>3.9061581682349202E-3</v>
      </c>
      <c r="AA168" s="18">
        <v>6986.8166120395499</v>
      </c>
      <c r="AB168" s="19">
        <v>3.4698648215705501E-2</v>
      </c>
      <c r="AC168" s="18">
        <v>3527.7056715085901</v>
      </c>
      <c r="AD168" s="19">
        <v>7.7247737596701799E-3</v>
      </c>
      <c r="AE168" s="18">
        <v>7967.5796514368103</v>
      </c>
      <c r="AF168" s="19">
        <v>2.28724804961944E-3</v>
      </c>
      <c r="AG168" s="18">
        <v>14124.4237614424</v>
      </c>
      <c r="AH168" s="19">
        <v>1.93312448543814E-4</v>
      </c>
      <c r="AI168" s="18">
        <v>6369.7137939169997</v>
      </c>
      <c r="AJ168" s="19">
        <v>1.1633733514350399E-2</v>
      </c>
      <c r="AK168" s="18">
        <v>5110.5457800375098</v>
      </c>
      <c r="AL168" s="19">
        <v>-6.2487098875738702E-3</v>
      </c>
      <c r="AM168" s="18">
        <v>32144.4083354867</v>
      </c>
      <c r="AN168" s="19">
        <v>3.0488886953359299E-3</v>
      </c>
      <c r="AO168" s="18">
        <v>11671.668429084501</v>
      </c>
      <c r="AP168" s="19">
        <v>3.4315899057117999E-3</v>
      </c>
      <c r="AQ168" s="18">
        <v>7380.8214304638605</v>
      </c>
      <c r="AR168" s="19">
        <v>-5.9001611530993302E-3</v>
      </c>
      <c r="AS168" s="18">
        <v>13251.549614141801</v>
      </c>
      <c r="AT168" s="19">
        <v>1.8600907431269201E-2</v>
      </c>
      <c r="AU168" s="18">
        <v>1531.0170648676201</v>
      </c>
      <c r="AV168" s="19">
        <v>1.37431780601331E-2</v>
      </c>
      <c r="AW168" s="18">
        <v>2406.6349795030801</v>
      </c>
      <c r="AX168" s="19">
        <v>1.08289668365051E-2</v>
      </c>
      <c r="AY168" s="18">
        <v>621.18564668085196</v>
      </c>
      <c r="AZ168" s="19">
        <v>1.0450268762812701E-2</v>
      </c>
      <c r="BA168" s="18">
        <v>5094.6542824584103</v>
      </c>
      <c r="BB168" s="19">
        <v>7.4192242761930097E-3</v>
      </c>
      <c r="BC168" s="18">
        <v>9026.9271284252409</v>
      </c>
      <c r="BD168" s="19">
        <v>1.0959359160329599E-3</v>
      </c>
      <c r="BE168" s="18">
        <v>-3936.8755942392199</v>
      </c>
      <c r="BF168" s="19">
        <v>-7.0208955379822396E-3</v>
      </c>
      <c r="BG168" s="18"/>
      <c r="BH168" s="19"/>
    </row>
    <row r="169" spans="1:60" x14ac:dyDescent="0.15">
      <c r="A169" s="17">
        <v>2019</v>
      </c>
      <c r="B169" s="17">
        <v>2</v>
      </c>
      <c r="C169" s="18">
        <v>181741.94521247401</v>
      </c>
      <c r="D169" s="19">
        <v>6.4938729934087601E-3</v>
      </c>
      <c r="E169" s="18">
        <v>176649.81859958399</v>
      </c>
      <c r="F169" s="19">
        <v>6.6653400494216504E-3</v>
      </c>
      <c r="G169" s="18">
        <v>1251.5471928904401</v>
      </c>
      <c r="H169" s="19">
        <v>-1.0013119880729801E-2</v>
      </c>
      <c r="I169" s="18">
        <v>193.359726997389</v>
      </c>
      <c r="J169" s="19">
        <v>-9.0692979035395006E-3</v>
      </c>
      <c r="K169" s="18">
        <v>35096.076274866296</v>
      </c>
      <c r="L169" s="19">
        <v>2.0634267069718201E-2</v>
      </c>
      <c r="M169" s="18">
        <v>11621.355886138001</v>
      </c>
      <c r="N169" s="19">
        <v>3.7916683858366398E-2</v>
      </c>
      <c r="O169" s="18">
        <v>23580.479272213499</v>
      </c>
      <c r="P169" s="19">
        <v>1.11784155368615E-2</v>
      </c>
      <c r="Q169" s="18">
        <v>2982.2640975255599</v>
      </c>
      <c r="R169" s="19">
        <v>-2.1832451588330099E-2</v>
      </c>
      <c r="S169" s="18">
        <v>535.08978794643895</v>
      </c>
      <c r="T169" s="19">
        <v>-3.42100591993134E-2</v>
      </c>
      <c r="U169" s="18">
        <v>8571.4008875701802</v>
      </c>
      <c r="V169" s="19">
        <v>4.4935505269072502E-4</v>
      </c>
      <c r="W169" s="18">
        <v>26212.5364548652</v>
      </c>
      <c r="X169" s="19">
        <v>4.0221539770803902E-3</v>
      </c>
      <c r="Y169" s="18">
        <v>6264.9512884040196</v>
      </c>
      <c r="Z169" s="19">
        <v>3.3020574004434299E-3</v>
      </c>
      <c r="AA169" s="18">
        <v>7008.8510394159903</v>
      </c>
      <c r="AB169" s="19">
        <v>3.15371486042348E-3</v>
      </c>
      <c r="AC169" s="18">
        <v>3604.8428139745902</v>
      </c>
      <c r="AD169" s="19">
        <v>2.18660936168775E-2</v>
      </c>
      <c r="AE169" s="18">
        <v>8014.19220952259</v>
      </c>
      <c r="AF169" s="19">
        <v>5.8502782683040903E-3</v>
      </c>
      <c r="AG169" s="18">
        <v>14287.4816467211</v>
      </c>
      <c r="AH169" s="19">
        <v>1.15443920426561E-2</v>
      </c>
      <c r="AI169" s="18">
        <v>6515.4180923016402</v>
      </c>
      <c r="AJ169" s="19">
        <v>2.2874543990311101E-2</v>
      </c>
      <c r="AK169" s="18">
        <v>5108.4991137200004</v>
      </c>
      <c r="AL169" s="19">
        <v>-4.0047901058071201E-4</v>
      </c>
      <c r="AM169" s="18">
        <v>32072.2685916767</v>
      </c>
      <c r="AN169" s="19">
        <v>-2.2442392797222799E-3</v>
      </c>
      <c r="AO169" s="18">
        <v>11729.299920579901</v>
      </c>
      <c r="AP169" s="19">
        <v>4.9377252143127902E-3</v>
      </c>
      <c r="AQ169" s="18">
        <v>7417.86290266997</v>
      </c>
      <c r="AR169" s="19">
        <v>5.0186110794141498E-3</v>
      </c>
      <c r="AS169" s="18">
        <v>13298.812039046699</v>
      </c>
      <c r="AT169" s="19">
        <v>3.5665583483535102E-3</v>
      </c>
      <c r="AU169" s="18">
        <v>1573.18247708336</v>
      </c>
      <c r="AV169" s="19">
        <v>2.7540785261845901E-2</v>
      </c>
      <c r="AW169" s="18">
        <v>2415.3044271406802</v>
      </c>
      <c r="AX169" s="19">
        <v>3.6023109908376299E-3</v>
      </c>
      <c r="AY169" s="18">
        <v>624.58766934365303</v>
      </c>
      <c r="AZ169" s="19">
        <v>5.4766601272571202E-3</v>
      </c>
      <c r="BA169" s="18">
        <v>5097.2181634431699</v>
      </c>
      <c r="BB169" s="19">
        <v>5.0324925747857697E-4</v>
      </c>
      <c r="BC169" s="18">
        <v>9053.0308787008307</v>
      </c>
      <c r="BD169" s="19">
        <v>2.8917648169990398E-3</v>
      </c>
      <c r="BE169" s="18">
        <v>-3960.4250009877401</v>
      </c>
      <c r="BF169" s="19">
        <v>5.9817502953321E-3</v>
      </c>
      <c r="BG169" s="18"/>
      <c r="BH169" s="19"/>
    </row>
    <row r="170" spans="1:60" x14ac:dyDescent="0.15">
      <c r="A170" s="17">
        <v>2019</v>
      </c>
      <c r="B170" s="17">
        <v>3</v>
      </c>
      <c r="C170" s="18">
        <v>182389.271269416</v>
      </c>
      <c r="D170" s="19">
        <v>3.56178677511498E-3</v>
      </c>
      <c r="E170" s="18">
        <v>177298.117079769</v>
      </c>
      <c r="F170" s="19">
        <v>3.6699640301010002E-3</v>
      </c>
      <c r="G170" s="18">
        <v>1243.2844315966499</v>
      </c>
      <c r="H170" s="19">
        <v>-6.6020373348487597E-3</v>
      </c>
      <c r="I170" s="18">
        <v>191.27115508725601</v>
      </c>
      <c r="J170" s="19">
        <v>-1.0801483548645401E-2</v>
      </c>
      <c r="K170" s="18">
        <v>35596.9989458903</v>
      </c>
      <c r="L170" s="19">
        <v>1.4272896693659399E-2</v>
      </c>
      <c r="M170" s="18">
        <v>12211.072881534001</v>
      </c>
      <c r="N170" s="19">
        <v>5.0744250599836602E-2</v>
      </c>
      <c r="O170" s="18">
        <v>23434.0540784763</v>
      </c>
      <c r="P170" s="19">
        <v>-6.2095936238987202E-3</v>
      </c>
      <c r="Q170" s="18">
        <v>3237.3416726527998</v>
      </c>
      <c r="R170" s="19">
        <v>8.5531517929242407E-2</v>
      </c>
      <c r="S170" s="18">
        <v>533.85833040188004</v>
      </c>
      <c r="T170" s="19">
        <v>-2.3014035631001599E-3</v>
      </c>
      <c r="U170" s="18">
        <v>8567.7612146373394</v>
      </c>
      <c r="V170" s="19">
        <v>-4.24629880294014E-4</v>
      </c>
      <c r="W170" s="18">
        <v>25983.192216248099</v>
      </c>
      <c r="X170" s="19">
        <v>-8.7494103827767695E-3</v>
      </c>
      <c r="Y170" s="18">
        <v>6289.0326259230997</v>
      </c>
      <c r="Z170" s="19">
        <v>3.8438187961093999E-3</v>
      </c>
      <c r="AA170" s="18">
        <v>6987.5112106052402</v>
      </c>
      <c r="AB170" s="19">
        <v>-3.04469715374744E-3</v>
      </c>
      <c r="AC170" s="18">
        <v>3634.1634259707998</v>
      </c>
      <c r="AD170" s="19">
        <v>8.1336728143999205E-3</v>
      </c>
      <c r="AE170" s="18">
        <v>8163.6831889226496</v>
      </c>
      <c r="AF170" s="19">
        <v>1.8653281015949399E-2</v>
      </c>
      <c r="AG170" s="18">
        <v>14394.4437773431</v>
      </c>
      <c r="AH170" s="19">
        <v>7.4864229587034998E-3</v>
      </c>
      <c r="AI170" s="18">
        <v>6563.9301949026403</v>
      </c>
      <c r="AJ170" s="19">
        <v>7.4457390015099101E-3</v>
      </c>
      <c r="AK170" s="18">
        <v>5135.7113007196904</v>
      </c>
      <c r="AL170" s="19">
        <v>5.32684579050047E-3</v>
      </c>
      <c r="AM170" s="18">
        <v>32116.6061905438</v>
      </c>
      <c r="AN170" s="19">
        <v>1.38242789842802E-3</v>
      </c>
      <c r="AO170" s="18">
        <v>11805.9520334423</v>
      </c>
      <c r="AP170" s="19">
        <v>6.5350970118740496E-3</v>
      </c>
      <c r="AQ170" s="18">
        <v>7377.1262756859096</v>
      </c>
      <c r="AR170" s="19">
        <v>-5.4916931626481898E-3</v>
      </c>
      <c r="AS170" s="18">
        <v>13188.437946403301</v>
      </c>
      <c r="AT170" s="19">
        <v>-8.2995452766218003E-3</v>
      </c>
      <c r="AU170" s="18">
        <v>1551.4396557832099</v>
      </c>
      <c r="AV170" s="19">
        <v>-1.3820915003109E-2</v>
      </c>
      <c r="AW170" s="18">
        <v>2367.45452110417</v>
      </c>
      <c r="AX170" s="19">
        <v>-1.98111283608077E-2</v>
      </c>
      <c r="AY170" s="18">
        <v>625.52986199210204</v>
      </c>
      <c r="AZ170" s="19">
        <v>1.5085034410600199E-3</v>
      </c>
      <c r="BA170" s="18">
        <v>5096.05860581244</v>
      </c>
      <c r="BB170" s="19">
        <v>-2.2748832668051399E-4</v>
      </c>
      <c r="BC170" s="18">
        <v>9091.4630626504404</v>
      </c>
      <c r="BD170" s="19">
        <v>4.2452284173717398E-3</v>
      </c>
      <c r="BE170" s="18">
        <v>-4000.0292546615101</v>
      </c>
      <c r="BF170" s="19">
        <v>1.0000000925124399E-2</v>
      </c>
      <c r="BG170" s="18"/>
      <c r="BH170" s="19"/>
    </row>
    <row r="171" spans="1:60" x14ac:dyDescent="0.15">
      <c r="A171" s="17">
        <v>2019</v>
      </c>
      <c r="B171" s="17">
        <v>4</v>
      </c>
      <c r="C171" s="18">
        <v>182725.303356513</v>
      </c>
      <c r="D171" s="19">
        <v>1.84238954823868E-3</v>
      </c>
      <c r="E171" s="18">
        <v>177647.932762768</v>
      </c>
      <c r="F171" s="19">
        <v>1.97303665013915E-3</v>
      </c>
      <c r="G171" s="18">
        <v>1240.7492610914801</v>
      </c>
      <c r="H171" s="19">
        <v>-2.0390913299767098E-3</v>
      </c>
      <c r="I171" s="18">
        <v>190.23571435628801</v>
      </c>
      <c r="J171" s="19">
        <v>-5.4134703714022701E-3</v>
      </c>
      <c r="K171" s="18">
        <v>34950.348859932201</v>
      </c>
      <c r="L171" s="19">
        <v>-1.81658596260038E-2</v>
      </c>
      <c r="M171" s="18">
        <v>12088.4151095579</v>
      </c>
      <c r="N171" s="19">
        <v>-1.00447989432326E-2</v>
      </c>
      <c r="O171" s="18">
        <v>22895.350481620801</v>
      </c>
      <c r="P171" s="19">
        <v>-2.29880666423109E-2</v>
      </c>
      <c r="Q171" s="18">
        <v>3233.3747475441801</v>
      </c>
      <c r="R171" s="19">
        <v>-1.2253649783516801E-3</v>
      </c>
      <c r="S171" s="18">
        <v>543.85056193779099</v>
      </c>
      <c r="T171" s="19">
        <v>1.87170096763105E-2</v>
      </c>
      <c r="U171" s="18">
        <v>8616.5530672035402</v>
      </c>
      <c r="V171" s="19">
        <v>5.6948193750836502E-3</v>
      </c>
      <c r="W171" s="18">
        <v>26281.541393102401</v>
      </c>
      <c r="X171" s="19">
        <v>1.14823911693072E-2</v>
      </c>
      <c r="Y171" s="18">
        <v>6260.0894272682699</v>
      </c>
      <c r="Z171" s="19">
        <v>-4.6021702186007703E-3</v>
      </c>
      <c r="AA171" s="18">
        <v>7047.2242054202397</v>
      </c>
      <c r="AB171" s="19">
        <v>8.5456742773260003E-3</v>
      </c>
      <c r="AC171" s="18">
        <v>3644.9734312878199</v>
      </c>
      <c r="AD171" s="19">
        <v>2.9745512377821201E-3</v>
      </c>
      <c r="AE171" s="18">
        <v>8105.2467571730203</v>
      </c>
      <c r="AF171" s="19">
        <v>-7.15809646176824E-3</v>
      </c>
      <c r="AG171" s="18">
        <v>14800.415563262601</v>
      </c>
      <c r="AH171" s="19">
        <v>2.82033673686246E-2</v>
      </c>
      <c r="AI171" s="18">
        <v>6849.50370421759</v>
      </c>
      <c r="AJ171" s="19">
        <v>4.3506481762514801E-2</v>
      </c>
      <c r="AK171" s="18">
        <v>5192.1272387347899</v>
      </c>
      <c r="AL171" s="19">
        <v>1.09850290858824E-2</v>
      </c>
      <c r="AM171" s="18">
        <v>32251.911125572798</v>
      </c>
      <c r="AN171" s="19">
        <v>4.2129275498889998E-3</v>
      </c>
      <c r="AO171" s="18">
        <v>11886.525076423401</v>
      </c>
      <c r="AP171" s="19">
        <v>6.8247814960560298E-3</v>
      </c>
      <c r="AQ171" s="18">
        <v>7421.7881724051103</v>
      </c>
      <c r="AR171" s="19">
        <v>6.0541049522759797E-3</v>
      </c>
      <c r="AS171" s="18">
        <v>13170.329481078599</v>
      </c>
      <c r="AT171" s="19">
        <v>-1.3730561115986601E-3</v>
      </c>
      <c r="AU171" s="18">
        <v>1491.57762707797</v>
      </c>
      <c r="AV171" s="19">
        <v>-3.8584825701789699E-2</v>
      </c>
      <c r="AW171" s="18">
        <v>2354.1699817537301</v>
      </c>
      <c r="AX171" s="19">
        <v>-5.61131765447431E-3</v>
      </c>
      <c r="AY171" s="18">
        <v>623.632530189063</v>
      </c>
      <c r="AZ171" s="19">
        <v>-3.0331594354209299E-3</v>
      </c>
      <c r="BA171" s="18">
        <v>5082.21504036854</v>
      </c>
      <c r="BB171" s="19">
        <v>-2.7165239874022999E-3</v>
      </c>
      <c r="BC171" s="18">
        <v>9123.5606795172807</v>
      </c>
      <c r="BD171" s="19">
        <v>3.5305227162729701E-3</v>
      </c>
      <c r="BE171" s="18">
        <v>-4045.9768951332399</v>
      </c>
      <c r="BF171" s="19">
        <v>1.1486826107130799E-2</v>
      </c>
      <c r="BG171" s="18"/>
      <c r="BH171" s="19"/>
    </row>
    <row r="172" spans="1:60" x14ac:dyDescent="0.15">
      <c r="A172" s="17">
        <v>2020</v>
      </c>
      <c r="B172" s="17">
        <v>1</v>
      </c>
      <c r="C172" s="18">
        <v>180698.478989656</v>
      </c>
      <c r="D172" s="19">
        <v>-1.10921931972555E-2</v>
      </c>
      <c r="E172" s="18">
        <v>175750.47294737899</v>
      </c>
      <c r="F172" s="19">
        <v>-1.0681012640448901E-2</v>
      </c>
      <c r="G172" s="18">
        <v>1251.1952564272001</v>
      </c>
      <c r="H172" s="19">
        <v>8.4191026046038803E-3</v>
      </c>
      <c r="I172" s="18">
        <v>188.60317665827</v>
      </c>
      <c r="J172" s="19">
        <v>-8.5816572536945301E-3</v>
      </c>
      <c r="K172" s="18">
        <v>34368.517220018999</v>
      </c>
      <c r="L172" s="19">
        <v>-1.6647377176261999E-2</v>
      </c>
      <c r="M172" s="18">
        <v>12257.8431668758</v>
      </c>
      <c r="N172" s="19">
        <v>1.4015737859955E-2</v>
      </c>
      <c r="O172" s="18">
        <v>22140.932405117801</v>
      </c>
      <c r="P172" s="19">
        <v>-3.2950710979882003E-2</v>
      </c>
      <c r="Q172" s="18">
        <v>3102.3411361681501</v>
      </c>
      <c r="R172" s="19">
        <v>-4.0525340118879899E-2</v>
      </c>
      <c r="S172" s="18">
        <v>561.75951443858503</v>
      </c>
      <c r="T172" s="19">
        <v>3.2929914491551797E-2</v>
      </c>
      <c r="U172" s="18">
        <v>8532.1626295302704</v>
      </c>
      <c r="V172" s="19">
        <v>-9.7939903596113691E-3</v>
      </c>
      <c r="W172" s="18">
        <v>26496.5202596942</v>
      </c>
      <c r="X172" s="19">
        <v>8.1798423987500292E-3</v>
      </c>
      <c r="Y172" s="18">
        <v>6105.94187519561</v>
      </c>
      <c r="Z172" s="19">
        <v>-2.46238578320007E-2</v>
      </c>
      <c r="AA172" s="18">
        <v>6487.8229143907902</v>
      </c>
      <c r="AB172" s="19">
        <v>-7.9378954709457397E-2</v>
      </c>
      <c r="AC172" s="18">
        <v>2929.6968319145499</v>
      </c>
      <c r="AD172" s="19">
        <v>-0.19623643707069699</v>
      </c>
      <c r="AE172" s="18">
        <v>8103.7468297620098</v>
      </c>
      <c r="AF172" s="19">
        <v>-1.85056353735669E-4</v>
      </c>
      <c r="AG172" s="18">
        <v>15130.6363934249</v>
      </c>
      <c r="AH172" s="19">
        <v>2.2311591775979502E-2</v>
      </c>
      <c r="AI172" s="18">
        <v>7056.6575488608596</v>
      </c>
      <c r="AJ172" s="19">
        <v>3.02436283837202E-2</v>
      </c>
      <c r="AK172" s="18">
        <v>5278.4648659315599</v>
      </c>
      <c r="AL172" s="19">
        <v>1.66285653696348E-2</v>
      </c>
      <c r="AM172" s="18">
        <v>32125.836158401198</v>
      </c>
      <c r="AN172" s="19">
        <v>-3.9090696573225196E-3</v>
      </c>
      <c r="AO172" s="18">
        <v>12022.191772379299</v>
      </c>
      <c r="AP172" s="19">
        <v>1.1413486707310599E-2</v>
      </c>
      <c r="AQ172" s="18">
        <v>7506.2911915449504</v>
      </c>
      <c r="AR172" s="19">
        <v>1.1385803148361399E-2</v>
      </c>
      <c r="AS172" s="18">
        <v>12933.235526881999</v>
      </c>
      <c r="AT172" s="19">
        <v>-1.8002127777990401E-2</v>
      </c>
      <c r="AU172" s="18">
        <v>1334.4095897780701</v>
      </c>
      <c r="AV172" s="19">
        <v>-0.105370337048962</v>
      </c>
      <c r="AW172" s="18">
        <v>2185.35398953807</v>
      </c>
      <c r="AX172" s="19">
        <v>-7.1709347041244195E-2</v>
      </c>
      <c r="AY172" s="18">
        <v>578.14544141035901</v>
      </c>
      <c r="AZ172" s="19">
        <v>-7.2938928899225902E-2</v>
      </c>
      <c r="BA172" s="18">
        <v>4950.6502479323699</v>
      </c>
      <c r="BB172" s="19">
        <v>-2.5887293511025599E-2</v>
      </c>
      <c r="BC172" s="18">
        <v>9050.9448804359308</v>
      </c>
      <c r="BD172" s="19">
        <v>-7.9591512165169097E-3</v>
      </c>
      <c r="BE172" s="18">
        <v>-4102.1231914460004</v>
      </c>
      <c r="BF172" s="19">
        <v>1.3877067953674599E-2</v>
      </c>
      <c r="BG172" s="18"/>
      <c r="BH172" s="19"/>
    </row>
    <row r="173" spans="1:60" x14ac:dyDescent="0.15">
      <c r="A173" s="17">
        <v>2020</v>
      </c>
      <c r="B173" s="17">
        <v>2</v>
      </c>
      <c r="C173" s="18">
        <v>169255.911175127</v>
      </c>
      <c r="D173" s="19">
        <v>-6.33240959110907E-2</v>
      </c>
      <c r="E173" s="18">
        <v>164815.402578899</v>
      </c>
      <c r="F173" s="19">
        <v>-6.2219294122491303E-2</v>
      </c>
      <c r="G173" s="18">
        <v>1247.52301989177</v>
      </c>
      <c r="H173" s="19">
        <v>-2.9349827827191998E-3</v>
      </c>
      <c r="I173" s="18">
        <v>189.57738502044799</v>
      </c>
      <c r="J173" s="19">
        <v>5.16538681605883E-3</v>
      </c>
      <c r="K173" s="18">
        <v>31268.816292357798</v>
      </c>
      <c r="L173" s="19">
        <v>-9.0190126848290794E-2</v>
      </c>
      <c r="M173" s="18">
        <v>12481.6455872923</v>
      </c>
      <c r="N173" s="19">
        <v>1.8257895566925701E-2</v>
      </c>
      <c r="O173" s="18">
        <v>18723.375711867</v>
      </c>
      <c r="P173" s="19">
        <v>-0.15435468708900499</v>
      </c>
      <c r="Q173" s="18">
        <v>2868.7500744164299</v>
      </c>
      <c r="R173" s="19">
        <v>-7.5295092157479301E-2</v>
      </c>
      <c r="S173" s="18">
        <v>585.45514223548105</v>
      </c>
      <c r="T173" s="19">
        <v>4.2181088504709099E-2</v>
      </c>
      <c r="U173" s="18">
        <v>7918.3923833046001</v>
      </c>
      <c r="V173" s="19">
        <v>-7.1936069772203098E-2</v>
      </c>
      <c r="W173" s="18">
        <v>25858.126398959899</v>
      </c>
      <c r="X173" s="19">
        <v>-2.4093498107576002E-2</v>
      </c>
      <c r="Y173" s="18">
        <v>5942.8455662204196</v>
      </c>
      <c r="Z173" s="19">
        <v>-2.6711081158131499E-2</v>
      </c>
      <c r="AA173" s="18">
        <v>4992.3212946657604</v>
      </c>
      <c r="AB173" s="19">
        <v>-0.23050900732938101</v>
      </c>
      <c r="AC173" s="18">
        <v>979.88512656245905</v>
      </c>
      <c r="AD173" s="19">
        <v>-0.66553360884030199</v>
      </c>
      <c r="AE173" s="18">
        <v>8104.2123421288197</v>
      </c>
      <c r="AF173" s="19">
        <v>5.7444090565850203E-5</v>
      </c>
      <c r="AG173" s="18">
        <v>14934.282891016201</v>
      </c>
      <c r="AH173" s="19">
        <v>-1.2977213733988901E-2</v>
      </c>
      <c r="AI173" s="18">
        <v>6873.0685659299097</v>
      </c>
      <c r="AJ173" s="19">
        <v>-2.6016422316056501E-2</v>
      </c>
      <c r="AK173" s="18">
        <v>5286.6332885474003</v>
      </c>
      <c r="AL173" s="19">
        <v>1.5474996657765E-3</v>
      </c>
      <c r="AM173" s="18">
        <v>30488.690538706502</v>
      </c>
      <c r="AN173" s="19">
        <v>-5.09604049408229E-2</v>
      </c>
      <c r="AO173" s="18">
        <v>12049.8880238808</v>
      </c>
      <c r="AP173" s="19">
        <v>2.30376058092352E-3</v>
      </c>
      <c r="AQ173" s="18">
        <v>7342.4465167031703</v>
      </c>
      <c r="AR173" s="19">
        <v>-2.1827647057755799E-2</v>
      </c>
      <c r="AS173" s="18">
        <v>12534.321768057</v>
      </c>
      <c r="AT173" s="19">
        <v>-3.0844080585698298E-2</v>
      </c>
      <c r="AU173" s="18">
        <v>944.22366666426603</v>
      </c>
      <c r="AV173" s="19">
        <v>-0.29240341653921997</v>
      </c>
      <c r="AW173" s="18">
        <v>1973.5938382977299</v>
      </c>
      <c r="AX173" s="19">
        <v>-9.6899702407070507E-2</v>
      </c>
      <c r="AY173" s="18">
        <v>417.93321047593997</v>
      </c>
      <c r="AZ173" s="19">
        <v>-0.277114060682703</v>
      </c>
      <c r="BA173" s="18">
        <v>4438.4465357044</v>
      </c>
      <c r="BB173" s="19">
        <v>-0.103461906330768</v>
      </c>
      <c r="BC173" s="18">
        <v>8545.3994327233504</v>
      </c>
      <c r="BD173" s="19">
        <v>-5.5855543746084403E-2</v>
      </c>
      <c r="BE173" s="18">
        <v>-4103.6081672436003</v>
      </c>
      <c r="BF173" s="19">
        <v>3.6200175574863103E-4</v>
      </c>
      <c r="BG173" s="18"/>
      <c r="BH173" s="19"/>
    </row>
    <row r="174" spans="1:60" x14ac:dyDescent="0.15">
      <c r="A174" s="17">
        <v>2020</v>
      </c>
      <c r="B174" s="17">
        <v>3</v>
      </c>
      <c r="C174" s="18">
        <v>179635.31094654201</v>
      </c>
      <c r="D174" s="19">
        <v>6.1323706211217098E-2</v>
      </c>
      <c r="E174" s="18">
        <v>174839.65801524301</v>
      </c>
      <c r="F174" s="19">
        <v>6.0821108218603398E-2</v>
      </c>
      <c r="G174" s="18">
        <v>1235.1590111604901</v>
      </c>
      <c r="H174" s="19">
        <v>-9.9108461600562192E-3</v>
      </c>
      <c r="I174" s="18">
        <v>189.67125863740699</v>
      </c>
      <c r="J174" s="19">
        <v>4.9517307641333596E-4</v>
      </c>
      <c r="K174" s="18">
        <v>33996.296037051601</v>
      </c>
      <c r="L174" s="19">
        <v>8.7226830692672397E-2</v>
      </c>
      <c r="M174" s="18">
        <v>12230.3223785257</v>
      </c>
      <c r="N174" s="19">
        <v>-2.01354226098562E-2</v>
      </c>
      <c r="O174" s="18">
        <v>21788.674738598402</v>
      </c>
      <c r="P174" s="19">
        <v>0.16371508396258799</v>
      </c>
      <c r="Q174" s="18">
        <v>2724.7669419423501</v>
      </c>
      <c r="R174" s="19">
        <v>-5.0190197381825202E-2</v>
      </c>
      <c r="S174" s="18">
        <v>592.23372548424504</v>
      </c>
      <c r="T174" s="19">
        <v>1.1578313622596001E-2</v>
      </c>
      <c r="U174" s="18">
        <v>8552.8500175438694</v>
      </c>
      <c r="V174" s="19">
        <v>8.0124550985499102E-2</v>
      </c>
      <c r="W174" s="18">
        <v>26862.087219279001</v>
      </c>
      <c r="X174" s="19">
        <v>3.8825737210390003E-2</v>
      </c>
      <c r="Y174" s="18">
        <v>6253.9085028766103</v>
      </c>
      <c r="Z174" s="19">
        <v>5.2342423034563497E-2</v>
      </c>
      <c r="AA174" s="18">
        <v>5877.09827146732</v>
      </c>
      <c r="AB174" s="19">
        <v>0.177227571019303</v>
      </c>
      <c r="AC174" s="18">
        <v>2548.50390745389</v>
      </c>
      <c r="AD174" s="19">
        <v>1.60081905354999</v>
      </c>
      <c r="AE174" s="18">
        <v>8200.6949313229106</v>
      </c>
      <c r="AF174" s="19">
        <v>1.19052395372876E-2</v>
      </c>
      <c r="AG174" s="18">
        <v>15136.7840648003</v>
      </c>
      <c r="AH174" s="19">
        <v>1.3559484259260301E-2</v>
      </c>
      <c r="AI174" s="18">
        <v>7043.7653925433096</v>
      </c>
      <c r="AJ174" s="19">
        <v>2.4835606538185E-2</v>
      </c>
      <c r="AK174" s="18">
        <v>5216.0733046350697</v>
      </c>
      <c r="AL174" s="19">
        <v>-1.33468655874404E-2</v>
      </c>
      <c r="AM174" s="18">
        <v>32170.3952061325</v>
      </c>
      <c r="AN174" s="19">
        <v>5.5158310760868898E-2</v>
      </c>
      <c r="AO174" s="18">
        <v>12051.853568012601</v>
      </c>
      <c r="AP174" s="19">
        <v>1.6311721137074499E-4</v>
      </c>
      <c r="AQ174" s="18">
        <v>7417.8514639935402</v>
      </c>
      <c r="AR174" s="19">
        <v>1.02697305481001E-2</v>
      </c>
      <c r="AS174" s="18">
        <v>13208.516597223101</v>
      </c>
      <c r="AT174" s="19">
        <v>5.3787898670686597E-2</v>
      </c>
      <c r="AU174" s="18">
        <v>1292.3704831513101</v>
      </c>
      <c r="AV174" s="19">
        <v>0.36871223289389499</v>
      </c>
      <c r="AW174" s="18">
        <v>2228.4178292849001</v>
      </c>
      <c r="AX174" s="19">
        <v>0.12911673417412201</v>
      </c>
      <c r="AY174" s="18">
        <v>558.94280808117298</v>
      </c>
      <c r="AZ174" s="19">
        <v>0.33739744550248002</v>
      </c>
      <c r="BA174" s="18">
        <v>4795.5791709880996</v>
      </c>
      <c r="BB174" s="19">
        <v>8.0463430709552405E-2</v>
      </c>
      <c r="BC174" s="18">
        <v>8935.6317582616193</v>
      </c>
      <c r="BD174" s="19">
        <v>4.5665779418565297E-2</v>
      </c>
      <c r="BE174" s="18">
        <v>-4139.8783481219898</v>
      </c>
      <c r="BF174" s="19">
        <v>8.8386072451816008E-3</v>
      </c>
      <c r="BG174" s="18"/>
      <c r="BH174" s="19"/>
    </row>
    <row r="175" spans="1:60" x14ac:dyDescent="0.15">
      <c r="A175" s="17">
        <v>2020</v>
      </c>
      <c r="B175" s="17">
        <v>4</v>
      </c>
      <c r="C175" s="18">
        <v>181305.25027095099</v>
      </c>
      <c r="D175" s="19">
        <v>9.2962754127206004E-3</v>
      </c>
      <c r="E175" s="18">
        <v>176483.79761054399</v>
      </c>
      <c r="F175" s="19">
        <v>9.4036994464821201E-3</v>
      </c>
      <c r="G175" s="18">
        <v>1210.6479993943101</v>
      </c>
      <c r="H175" s="19">
        <v>-1.98444180422962E-2</v>
      </c>
      <c r="I175" s="18">
        <v>187.82958454415899</v>
      </c>
      <c r="J175" s="19">
        <v>-9.7098216486657396E-3</v>
      </c>
      <c r="K175" s="18">
        <v>35563.6496992963</v>
      </c>
      <c r="L175" s="19">
        <v>4.6103659661524701E-2</v>
      </c>
      <c r="M175" s="18">
        <v>12996.052139350801</v>
      </c>
      <c r="N175" s="19">
        <v>6.2609123220620497E-2</v>
      </c>
      <c r="O175" s="18">
        <v>22577.477158413501</v>
      </c>
      <c r="P175" s="19">
        <v>3.6202404656476603E-2</v>
      </c>
      <c r="Q175" s="18">
        <v>2762.9278013276798</v>
      </c>
      <c r="R175" s="19">
        <v>1.40051829013055E-2</v>
      </c>
      <c r="S175" s="18">
        <v>572.281549070609</v>
      </c>
      <c r="T175" s="19">
        <v>-3.36896997841903E-2</v>
      </c>
      <c r="U175" s="18">
        <v>8567.2402493067693</v>
      </c>
      <c r="V175" s="19">
        <v>1.68250720325691E-3</v>
      </c>
      <c r="W175" s="18">
        <v>26268.242288253001</v>
      </c>
      <c r="X175" s="19">
        <v>-2.2107177531599499E-2</v>
      </c>
      <c r="Y175" s="18">
        <v>6304.7042082688204</v>
      </c>
      <c r="Z175" s="19">
        <v>8.1222335390487305E-3</v>
      </c>
      <c r="AA175" s="18">
        <v>5926.8890584134197</v>
      </c>
      <c r="AB175" s="19">
        <v>8.4720017679189592E-3</v>
      </c>
      <c r="AC175" s="18">
        <v>2009.8295706305</v>
      </c>
      <c r="AD175" s="19">
        <v>-0.21136884869898401</v>
      </c>
      <c r="AE175" s="18">
        <v>8574.7548349897606</v>
      </c>
      <c r="AF175" s="19">
        <v>4.5613195808334603E-2</v>
      </c>
      <c r="AG175" s="18">
        <v>15330.334765797999</v>
      </c>
      <c r="AH175" s="19">
        <v>1.27867782330198E-2</v>
      </c>
      <c r="AI175" s="18">
        <v>7327.6006709474104</v>
      </c>
      <c r="AJ175" s="19">
        <v>4.0295958565652601E-2</v>
      </c>
      <c r="AK175" s="18">
        <v>5064.1417250156801</v>
      </c>
      <c r="AL175" s="19">
        <v>-2.9127577536991401E-2</v>
      </c>
      <c r="AM175" s="18">
        <v>32493.4415387478</v>
      </c>
      <c r="AN175" s="19">
        <v>1.00417272012159E-2</v>
      </c>
      <c r="AO175" s="18">
        <v>12093.8604687554</v>
      </c>
      <c r="AP175" s="19">
        <v>3.4855137017515401E-3</v>
      </c>
      <c r="AQ175" s="18">
        <v>7451.9737879087397</v>
      </c>
      <c r="AR175" s="19">
        <v>4.6000279300317803E-3</v>
      </c>
      <c r="AS175" s="18">
        <v>13411.857469017001</v>
      </c>
      <c r="AT175" s="19">
        <v>1.53946789026054E-2</v>
      </c>
      <c r="AU175" s="18">
        <v>1272.3785512767599</v>
      </c>
      <c r="AV175" s="19">
        <v>-1.54691956642307E-2</v>
      </c>
      <c r="AW175" s="18">
        <v>2253.7658878429502</v>
      </c>
      <c r="AX175" s="19">
        <v>1.13749128305012E-2</v>
      </c>
      <c r="AY175" s="18">
        <v>555.15500604977797</v>
      </c>
      <c r="AZ175" s="19">
        <v>-6.7767255909392298E-3</v>
      </c>
      <c r="BA175" s="18">
        <v>4820.9391954885004</v>
      </c>
      <c r="BB175" s="19">
        <v>5.2882089099519601E-3</v>
      </c>
      <c r="BC175" s="18">
        <v>8973.5168096973703</v>
      </c>
      <c r="BD175" s="19">
        <v>4.2397731308385601E-3</v>
      </c>
      <c r="BE175" s="18">
        <v>-4152.5108201684197</v>
      </c>
      <c r="BF175" s="19">
        <v>3.0514114145796501E-3</v>
      </c>
      <c r="BG175" s="18"/>
      <c r="BH175" s="19"/>
    </row>
    <row r="176" spans="1:60" x14ac:dyDescent="0.15">
      <c r="A176" s="17">
        <v>2021</v>
      </c>
      <c r="B176" s="17">
        <v>1</v>
      </c>
      <c r="C176" s="18">
        <v>182341.343006521</v>
      </c>
      <c r="D176" s="19">
        <v>5.7146317275531501E-3</v>
      </c>
      <c r="E176" s="18">
        <v>177545.43155698999</v>
      </c>
      <c r="F176" s="19">
        <v>6.0154754193884096E-3</v>
      </c>
      <c r="G176" s="18">
        <v>1152.3424548331</v>
      </c>
      <c r="H176" s="19">
        <v>-4.8160608690867697E-2</v>
      </c>
      <c r="I176" s="18">
        <v>184.36652182272999</v>
      </c>
      <c r="J176" s="19">
        <v>-1.8437259124186499E-2</v>
      </c>
      <c r="K176" s="18">
        <v>38453.693774127401</v>
      </c>
      <c r="L176" s="19">
        <v>8.1263990036667802E-2</v>
      </c>
      <c r="M176" s="18">
        <v>14539.809268012101</v>
      </c>
      <c r="N176" s="19">
        <v>0.118786621668512</v>
      </c>
      <c r="O176" s="18">
        <v>23913.620997272501</v>
      </c>
      <c r="P176" s="19">
        <v>5.9180387139094598E-2</v>
      </c>
      <c r="Q176" s="18">
        <v>2559.3442787745398</v>
      </c>
      <c r="R176" s="19">
        <v>-7.3683982062546394E-2</v>
      </c>
      <c r="S176" s="18">
        <v>552.513152723183</v>
      </c>
      <c r="T176" s="19">
        <v>-3.4543130701190299E-2</v>
      </c>
      <c r="U176" s="18">
        <v>8564.5664536695895</v>
      </c>
      <c r="V176" s="19">
        <v>-3.1209532584286498E-4</v>
      </c>
      <c r="W176" s="18">
        <v>25108.763243530499</v>
      </c>
      <c r="X176" s="19">
        <v>-4.4139955464056101E-2</v>
      </c>
      <c r="Y176" s="18">
        <v>6241.6541944620303</v>
      </c>
      <c r="Z176" s="19">
        <v>-1.00004713502809E-2</v>
      </c>
      <c r="AA176" s="18">
        <v>5762.1307142594897</v>
      </c>
      <c r="AB176" s="19">
        <v>-2.7798452532201898E-2</v>
      </c>
      <c r="AC176" s="18">
        <v>1057.78009133404</v>
      </c>
      <c r="AD176" s="19">
        <v>-0.47369662244435701</v>
      </c>
      <c r="AE176" s="18">
        <v>8621.5637496072104</v>
      </c>
      <c r="AF176" s="19">
        <v>5.4589216272926703E-3</v>
      </c>
      <c r="AG176" s="18">
        <v>15639.975922793599</v>
      </c>
      <c r="AH176" s="19">
        <v>2.01979383833455E-2</v>
      </c>
      <c r="AI176" s="18">
        <v>7780.2063854005501</v>
      </c>
      <c r="AJ176" s="19">
        <v>6.1767246166625003E-2</v>
      </c>
      <c r="AK176" s="18">
        <v>4826.0414065063396</v>
      </c>
      <c r="AL176" s="19">
        <v>-4.7016914501657903E-2</v>
      </c>
      <c r="AM176" s="18">
        <v>32850.197396060299</v>
      </c>
      <c r="AN176" s="19">
        <v>1.09793189153922E-2</v>
      </c>
      <c r="AO176" s="18">
        <v>12157.4016579739</v>
      </c>
      <c r="AP176" s="19">
        <v>5.25400382967955E-3</v>
      </c>
      <c r="AQ176" s="18">
        <v>7450.1459596023396</v>
      </c>
      <c r="AR176" s="19">
        <v>-2.4528109711974299E-4</v>
      </c>
      <c r="AS176" s="18">
        <v>13516.8854433699</v>
      </c>
      <c r="AT176" s="19">
        <v>7.8309790120756305E-3</v>
      </c>
      <c r="AU176" s="18">
        <v>1144.29120530092</v>
      </c>
      <c r="AV176" s="19">
        <v>-0.100667640025303</v>
      </c>
      <c r="AW176" s="18">
        <v>2263.15286625412</v>
      </c>
      <c r="AX176" s="19">
        <v>4.16501929583979E-3</v>
      </c>
      <c r="AY176" s="18">
        <v>510.81153313499402</v>
      </c>
      <c r="AZ176" s="19">
        <v>-7.9875840858053701E-2</v>
      </c>
      <c r="BA176" s="18">
        <v>4795.9323314412904</v>
      </c>
      <c r="BB176" s="19">
        <v>-5.1871353346703E-3</v>
      </c>
      <c r="BC176" s="18">
        <v>8968.4740301455804</v>
      </c>
      <c r="BD176" s="19">
        <v>-5.6196245671980005E-4</v>
      </c>
      <c r="BE176" s="18">
        <v>-4172.0978395325401</v>
      </c>
      <c r="BF176" s="19">
        <v>4.7169098919588297E-3</v>
      </c>
      <c r="BG176" s="18"/>
      <c r="BH176" s="19"/>
    </row>
    <row r="177" spans="1:60" x14ac:dyDescent="0.15">
      <c r="A177" s="17">
        <v>2021</v>
      </c>
      <c r="B177" s="17">
        <v>2</v>
      </c>
      <c r="C177" s="18">
        <v>186934.35489314201</v>
      </c>
      <c r="D177" s="19">
        <v>2.5189086637670301E-2</v>
      </c>
      <c r="E177" s="18">
        <v>181953.03846632401</v>
      </c>
      <c r="F177" s="19">
        <v>2.4825234142500398E-2</v>
      </c>
      <c r="G177" s="18">
        <v>1141.6234525090199</v>
      </c>
      <c r="H177" s="19">
        <v>-9.3019243360534798E-3</v>
      </c>
      <c r="I177" s="18">
        <v>186.35074167153101</v>
      </c>
      <c r="J177" s="19">
        <v>1.07623652558146E-2</v>
      </c>
      <c r="K177" s="18">
        <v>40222.203555519001</v>
      </c>
      <c r="L177" s="19">
        <v>4.5990634652151002E-2</v>
      </c>
      <c r="M177" s="18">
        <v>15881.022592174901</v>
      </c>
      <c r="N177" s="19">
        <v>9.2244217199841896E-2</v>
      </c>
      <c r="O177" s="18">
        <v>24340.922532766799</v>
      </c>
      <c r="P177" s="19">
        <v>1.7868541763001299E-2</v>
      </c>
      <c r="Q177" s="18">
        <v>2323.2699615205302</v>
      </c>
      <c r="R177" s="19">
        <v>-9.2240156672880894E-2</v>
      </c>
      <c r="S177" s="18">
        <v>546.19619004602998</v>
      </c>
      <c r="T177" s="19">
        <v>-1.14331444346945E-2</v>
      </c>
      <c r="U177" s="18">
        <v>8647.04966367616</v>
      </c>
      <c r="V177" s="19">
        <v>9.6307513582582997E-3</v>
      </c>
      <c r="W177" s="18">
        <v>25055.4362864492</v>
      </c>
      <c r="X177" s="19">
        <v>-2.12383846086317E-3</v>
      </c>
      <c r="Y177" s="18">
        <v>6569.7156458415902</v>
      </c>
      <c r="Z177" s="19">
        <v>5.2560017129856598E-2</v>
      </c>
      <c r="AA177" s="18">
        <v>6067.6792624687796</v>
      </c>
      <c r="AB177" s="19">
        <v>5.3027007432016299E-2</v>
      </c>
      <c r="AC177" s="18">
        <v>1723.26461279091</v>
      </c>
      <c r="AD177" s="19">
        <v>0.62913315055644703</v>
      </c>
      <c r="AE177" s="18">
        <v>8624.5753413001094</v>
      </c>
      <c r="AF177" s="19">
        <v>3.49309218183658E-4</v>
      </c>
      <c r="AG177" s="18">
        <v>16056.478564878</v>
      </c>
      <c r="AH177" s="19">
        <v>2.6630644710734099E-2</v>
      </c>
      <c r="AI177" s="18">
        <v>8147.8957419098097</v>
      </c>
      <c r="AJ177" s="19">
        <v>4.7259589051419797E-2</v>
      </c>
      <c r="AK177" s="18">
        <v>4734.4210275324804</v>
      </c>
      <c r="AL177" s="19">
        <v>-1.8984582032457301E-2</v>
      </c>
      <c r="AM177" s="18">
        <v>33575.983674242299</v>
      </c>
      <c r="AN177" s="19">
        <v>2.2093817867562E-2</v>
      </c>
      <c r="AO177" s="18">
        <v>12154.533094869599</v>
      </c>
      <c r="AP177" s="19">
        <v>-2.35951989168148E-4</v>
      </c>
      <c r="AQ177" s="18">
        <v>7451.9755021061301</v>
      </c>
      <c r="AR177" s="19">
        <v>2.4557136379810301E-4</v>
      </c>
      <c r="AS177" s="18">
        <v>13869.268978644899</v>
      </c>
      <c r="AT177" s="19">
        <v>2.6069876581505301E-2</v>
      </c>
      <c r="AU177" s="18">
        <v>1349.9995865236599</v>
      </c>
      <c r="AV177" s="19">
        <v>0.17976925827079199</v>
      </c>
      <c r="AW177" s="18">
        <v>2388.9114631872299</v>
      </c>
      <c r="AX177" s="19">
        <v>5.5567875598813397E-2</v>
      </c>
      <c r="AY177" s="18">
        <v>557.17032938359205</v>
      </c>
      <c r="AZ177" s="19">
        <v>9.0755187072776994E-2</v>
      </c>
      <c r="BA177" s="18">
        <v>4981.0661343092297</v>
      </c>
      <c r="BB177" s="19">
        <v>3.8602255009780401E-2</v>
      </c>
      <c r="BC177" s="18">
        <v>9131.1174541061901</v>
      </c>
      <c r="BD177" s="19">
        <v>1.8135016438016301E-2</v>
      </c>
      <c r="BE177" s="18">
        <v>-4149.5994112318203</v>
      </c>
      <c r="BF177" s="19">
        <v>-5.3925936461815E-3</v>
      </c>
      <c r="BG177" s="18"/>
      <c r="BH177" s="19"/>
    </row>
    <row r="178" spans="1:60" x14ac:dyDescent="0.15">
      <c r="A178" s="17">
        <v>2021</v>
      </c>
      <c r="B178" s="17">
        <v>3</v>
      </c>
      <c r="C178" s="18">
        <v>190671.08052448501</v>
      </c>
      <c r="D178" s="19">
        <v>1.99895071907947E-2</v>
      </c>
      <c r="E178" s="18">
        <v>185567.031075962</v>
      </c>
      <c r="F178" s="19">
        <v>1.9862227309313401E-2</v>
      </c>
      <c r="G178" s="18">
        <v>1155.74029086768</v>
      </c>
      <c r="H178" s="19">
        <v>1.23655819505384E-2</v>
      </c>
      <c r="I178" s="18">
        <v>184.899770353496</v>
      </c>
      <c r="J178" s="19">
        <v>-7.7862384931774997E-3</v>
      </c>
      <c r="K178" s="18">
        <v>42200.287212698197</v>
      </c>
      <c r="L178" s="19">
        <v>4.9178898278130899E-2</v>
      </c>
      <c r="M178" s="18">
        <v>17026.509824683901</v>
      </c>
      <c r="N178" s="19">
        <v>7.2129311942005003E-2</v>
      </c>
      <c r="O178" s="18">
        <v>25173.515568252598</v>
      </c>
      <c r="P178" s="19">
        <v>3.42054839690231E-2</v>
      </c>
      <c r="Q178" s="18">
        <v>2378.8937246594</v>
      </c>
      <c r="R178" s="19">
        <v>2.3942014514087801E-2</v>
      </c>
      <c r="S178" s="18">
        <v>539.87577101952502</v>
      </c>
      <c r="T178" s="19">
        <v>-1.1571701051177601E-2</v>
      </c>
      <c r="U178" s="18">
        <v>8693.2933656592904</v>
      </c>
      <c r="V178" s="19">
        <v>5.3479167787584504E-3</v>
      </c>
      <c r="W178" s="18">
        <v>23408.5201724615</v>
      </c>
      <c r="X178" s="19">
        <v>-6.5730889502745096E-2</v>
      </c>
      <c r="Y178" s="18">
        <v>6314.3004504400096</v>
      </c>
      <c r="Z178" s="19">
        <v>-3.8877663687507898E-2</v>
      </c>
      <c r="AA178" s="18">
        <v>6544.7427748677201</v>
      </c>
      <c r="AB178" s="19">
        <v>7.8623719508343903E-2</v>
      </c>
      <c r="AC178" s="18">
        <v>2703.2481879828802</v>
      </c>
      <c r="AD178" s="19">
        <v>0.56867852326221502</v>
      </c>
      <c r="AE178" s="18">
        <v>8702.2192531621295</v>
      </c>
      <c r="AF178" s="19">
        <v>9.0026359315578102E-3</v>
      </c>
      <c r="AG178" s="18">
        <v>16435.3942681689</v>
      </c>
      <c r="AH178" s="19">
        <v>2.3598929351782899E-2</v>
      </c>
      <c r="AI178" s="18">
        <v>8306.8659872708104</v>
      </c>
      <c r="AJ178" s="19">
        <v>1.95105890399789E-2</v>
      </c>
      <c r="AK178" s="18">
        <v>4786.0799178694897</v>
      </c>
      <c r="AL178" s="19">
        <v>1.0911342704120801E-2</v>
      </c>
      <c r="AM178" s="18">
        <v>34359.4569765458</v>
      </c>
      <c r="AN178" s="19">
        <v>2.3334336527704599E-2</v>
      </c>
      <c r="AO178" s="18">
        <v>12201.706821104201</v>
      </c>
      <c r="AP178" s="19">
        <v>3.8811631731525699E-3</v>
      </c>
      <c r="AQ178" s="18">
        <v>7444.1979451635798</v>
      </c>
      <c r="AR178" s="19">
        <v>-1.0436906214136301E-3</v>
      </c>
      <c r="AS178" s="18">
        <v>14007.955612998599</v>
      </c>
      <c r="AT178" s="19">
        <v>9.9995633920788602E-3</v>
      </c>
      <c r="AU178" s="18">
        <v>1515.08723837409</v>
      </c>
      <c r="AV178" s="19">
        <v>0.122287186972812</v>
      </c>
      <c r="AW178" s="18">
        <v>2463.7059992929399</v>
      </c>
      <c r="AX178" s="19">
        <v>3.13090448341342E-2</v>
      </c>
      <c r="AY178" s="18">
        <v>590.25094504710705</v>
      </c>
      <c r="AZ178" s="19">
        <v>5.9372536402131401E-2</v>
      </c>
      <c r="BA178" s="18">
        <v>5103.5434481940201</v>
      </c>
      <c r="BB178" s="19">
        <v>2.45885741289746E-2</v>
      </c>
      <c r="BC178" s="18">
        <v>9269.1681009288804</v>
      </c>
      <c r="BD178" s="19">
        <v>1.5118702340271699E-2</v>
      </c>
      <c r="BE178" s="18">
        <v>-4165.1659118986499</v>
      </c>
      <c r="BF178" s="19">
        <v>3.7513261219113102E-3</v>
      </c>
      <c r="BG178" s="18"/>
      <c r="BH178" s="19"/>
    </row>
    <row r="179" spans="1:60" x14ac:dyDescent="0.15">
      <c r="A179" s="17">
        <v>2021</v>
      </c>
      <c r="B179" s="17">
        <v>4</v>
      </c>
      <c r="C179" s="18">
        <v>192667.87157078099</v>
      </c>
      <c r="D179" s="19">
        <v>1.0472437879955899E-2</v>
      </c>
      <c r="E179" s="18">
        <v>187544.47433465399</v>
      </c>
      <c r="F179" s="19">
        <v>1.0656220812639901E-2</v>
      </c>
      <c r="G179" s="18">
        <v>1188.74378986171</v>
      </c>
      <c r="H179" s="19">
        <v>2.8556155093676601E-2</v>
      </c>
      <c r="I179" s="18">
        <v>177.605305040888</v>
      </c>
      <c r="J179" s="19">
        <v>-3.9450916021483401E-2</v>
      </c>
      <c r="K179" s="18">
        <v>43636.589640573096</v>
      </c>
      <c r="L179" s="19">
        <v>3.4035370911949601E-2</v>
      </c>
      <c r="M179" s="18">
        <v>18173.156935376599</v>
      </c>
      <c r="N179" s="19">
        <v>6.7344812442440699E-2</v>
      </c>
      <c r="O179" s="18">
        <v>25463.176476931701</v>
      </c>
      <c r="P179" s="19">
        <v>1.15065735611606E-2</v>
      </c>
      <c r="Q179" s="18">
        <v>2316.2000402693998</v>
      </c>
      <c r="R179" s="19">
        <v>-2.6354134167543002E-2</v>
      </c>
      <c r="S179" s="18">
        <v>552.17035170325096</v>
      </c>
      <c r="T179" s="19">
        <v>2.2772981014702601E-2</v>
      </c>
      <c r="U179" s="18">
        <v>8551.6751158962197</v>
      </c>
      <c r="V179" s="19">
        <v>-1.62905177366378E-2</v>
      </c>
      <c r="W179" s="18">
        <v>23064.8374358857</v>
      </c>
      <c r="X179" s="19">
        <v>-1.4681950590798999E-2</v>
      </c>
      <c r="Y179" s="18">
        <v>6569.3705251400697</v>
      </c>
      <c r="Z179" s="19">
        <v>4.0395618913300999E-2</v>
      </c>
      <c r="AA179" s="18">
        <v>6677.9342420969297</v>
      </c>
      <c r="AB179" s="19">
        <v>2.0350909395656602E-2</v>
      </c>
      <c r="AC179" s="18">
        <v>2795.31533585543</v>
      </c>
      <c r="AD179" s="19">
        <v>3.4057970807798203E-2</v>
      </c>
      <c r="AE179" s="18">
        <v>8836.4783289286697</v>
      </c>
      <c r="AF179" s="19">
        <v>1.5428142162444499E-2</v>
      </c>
      <c r="AG179" s="18">
        <v>16428.418024897099</v>
      </c>
      <c r="AH179" s="19">
        <v>-4.2446461326461899E-4</v>
      </c>
      <c r="AI179" s="18">
        <v>8002.1796480802996</v>
      </c>
      <c r="AJ179" s="19">
        <v>-3.6678855739023998E-2</v>
      </c>
      <c r="AK179" s="18">
        <v>4981.6100938332902</v>
      </c>
      <c r="AL179" s="19">
        <v>4.0853930423052201E-2</v>
      </c>
      <c r="AM179" s="18">
        <v>34740.805994919501</v>
      </c>
      <c r="AN179" s="19">
        <v>1.1098808070046E-2</v>
      </c>
      <c r="AO179" s="18">
        <v>12247.2391655221</v>
      </c>
      <c r="AP179" s="19">
        <v>3.7316373098827999E-3</v>
      </c>
      <c r="AQ179" s="18">
        <v>7462.2287564610897</v>
      </c>
      <c r="AR179" s="19">
        <v>2.42212947994358E-3</v>
      </c>
      <c r="AS179" s="18">
        <v>14189.0257305093</v>
      </c>
      <c r="AT179" s="19">
        <v>1.2926234385169299E-2</v>
      </c>
      <c r="AU179" s="18">
        <v>1588.1343167525799</v>
      </c>
      <c r="AV179" s="19">
        <v>4.8213117059102903E-2</v>
      </c>
      <c r="AW179" s="18">
        <v>2495.73185657673</v>
      </c>
      <c r="AX179" s="19">
        <v>1.29990580422266E-2</v>
      </c>
      <c r="AY179" s="18">
        <v>592.07379218677602</v>
      </c>
      <c r="AZ179" s="19">
        <v>3.08825789262124E-3</v>
      </c>
      <c r="BA179" s="18">
        <v>5123.4946189314296</v>
      </c>
      <c r="BB179" s="19">
        <v>3.9092781201792697E-3</v>
      </c>
      <c r="BC179" s="18">
        <v>9334.6762197143307</v>
      </c>
      <c r="BD179" s="19">
        <v>7.0673137084318301E-3</v>
      </c>
      <c r="BE179" s="18">
        <v>-4210.7196178812901</v>
      </c>
      <c r="BF179" s="19">
        <v>1.0936828675301999E-2</v>
      </c>
      <c r="BG179" s="18"/>
      <c r="BH179" s="19"/>
    </row>
    <row r="180" spans="1:60" x14ac:dyDescent="0.15">
      <c r="A180" s="17">
        <v>2022</v>
      </c>
      <c r="B180" s="17">
        <v>1</v>
      </c>
      <c r="C180" s="18">
        <v>193159.75799300501</v>
      </c>
      <c r="D180" s="19">
        <v>2.5530277477696702E-3</v>
      </c>
      <c r="E180" s="18">
        <v>188008.001065163</v>
      </c>
      <c r="F180" s="19">
        <v>2.4715563183272901E-3</v>
      </c>
      <c r="G180" s="18">
        <v>1247.73239755589</v>
      </c>
      <c r="H180" s="19">
        <v>4.9622642151549101E-2</v>
      </c>
      <c r="I180" s="18">
        <v>167.72554207622599</v>
      </c>
      <c r="J180" s="19">
        <v>-5.56276343343916E-2</v>
      </c>
      <c r="K180" s="18">
        <v>43669.233600476</v>
      </c>
      <c r="L180" s="19">
        <v>7.4808687323457701E-4</v>
      </c>
      <c r="M180" s="18">
        <v>17568.583604691401</v>
      </c>
      <c r="N180" s="19">
        <v>-3.3267380721743199E-2</v>
      </c>
      <c r="O180" s="18">
        <v>26103.958716614401</v>
      </c>
      <c r="P180" s="19">
        <v>2.5165055124333899E-2</v>
      </c>
      <c r="Q180" s="18">
        <v>2709.8634179032201</v>
      </c>
      <c r="R180" s="19">
        <v>0.16996087159554399</v>
      </c>
      <c r="S180" s="18">
        <v>564.12869195108306</v>
      </c>
      <c r="T180" s="19">
        <v>2.1656976349680099E-2</v>
      </c>
      <c r="U180" s="18">
        <v>8406.6138089935703</v>
      </c>
      <c r="V180" s="19">
        <v>-1.6962911352069801E-2</v>
      </c>
      <c r="W180" s="18">
        <v>22494.3810279465</v>
      </c>
      <c r="X180" s="19">
        <v>-2.47327304831403E-2</v>
      </c>
      <c r="Y180" s="18">
        <v>6425.8453002659298</v>
      </c>
      <c r="Z180" s="19">
        <v>-2.1847637353516101E-2</v>
      </c>
      <c r="AA180" s="18">
        <v>6824.5955652496395</v>
      </c>
      <c r="AB180" s="19">
        <v>2.19620795646913E-2</v>
      </c>
      <c r="AC180" s="18">
        <v>2945.3433286786899</v>
      </c>
      <c r="AD180" s="19">
        <v>5.3671223027630797E-2</v>
      </c>
      <c r="AE180" s="18">
        <v>8998.3244810415399</v>
      </c>
      <c r="AF180" s="19">
        <v>1.8315684833743601E-2</v>
      </c>
      <c r="AG180" s="18">
        <v>16800.274851308601</v>
      </c>
      <c r="AH180" s="19">
        <v>2.263497470347E-2</v>
      </c>
      <c r="AI180" s="18">
        <v>7964.5782980682898</v>
      </c>
      <c r="AJ180" s="19">
        <v>-4.6988885110855697E-3</v>
      </c>
      <c r="AK180" s="18">
        <v>5325.4119293005697</v>
      </c>
      <c r="AL180" s="19">
        <v>6.9014200025984102E-2</v>
      </c>
      <c r="AM180" s="18">
        <v>34727.071617104499</v>
      </c>
      <c r="AN180" s="19">
        <v>-3.9533849090944701E-4</v>
      </c>
      <c r="AO180" s="18">
        <v>12318.5219528856</v>
      </c>
      <c r="AP180" s="19">
        <v>5.8203147991255904E-3</v>
      </c>
      <c r="AQ180" s="18">
        <v>7507.9241026115196</v>
      </c>
      <c r="AR180" s="19">
        <v>6.1235520434641498E-3</v>
      </c>
      <c r="AS180" s="18">
        <v>14382.6168233341</v>
      </c>
      <c r="AT180" s="19">
        <v>1.3643719907319401E-2</v>
      </c>
      <c r="AU180" s="18">
        <v>1691.5033009434201</v>
      </c>
      <c r="AV180" s="19">
        <v>6.5088313438259604E-2</v>
      </c>
      <c r="AW180" s="18">
        <v>2520.2480876127202</v>
      </c>
      <c r="AX180" s="19">
        <v>9.8232632529757797E-3</v>
      </c>
      <c r="AY180" s="18">
        <v>589.72659022865002</v>
      </c>
      <c r="AZ180" s="19">
        <v>-3.9643740173945802E-3</v>
      </c>
      <c r="BA180" s="18">
        <v>5151.32228310558</v>
      </c>
      <c r="BB180" s="19">
        <v>5.4313835075234804E-3</v>
      </c>
      <c r="BC180" s="18">
        <v>9424.6539197014499</v>
      </c>
      <c r="BD180" s="19">
        <v>9.6390809782009902E-3</v>
      </c>
      <c r="BE180" s="18">
        <v>-4272.09858735342</v>
      </c>
      <c r="BF180" s="19">
        <v>1.45768360380676E-2</v>
      </c>
      <c r="BG180" s="18"/>
      <c r="BH180" s="19"/>
    </row>
    <row r="181" spans="1:60" x14ac:dyDescent="0.15">
      <c r="A181" s="17">
        <v>2022</v>
      </c>
      <c r="B181" s="17">
        <v>2</v>
      </c>
      <c r="C181" s="18">
        <v>194326.933692158</v>
      </c>
      <c r="D181" s="19">
        <v>6.0425406993682698E-3</v>
      </c>
      <c r="E181" s="18">
        <v>189127.29153019801</v>
      </c>
      <c r="F181" s="19">
        <v>5.9534193156318702E-3</v>
      </c>
      <c r="G181" s="18">
        <v>1287.6961534423499</v>
      </c>
      <c r="H181" s="19">
        <v>3.2029108136283103E-2</v>
      </c>
      <c r="I181" s="18">
        <v>165.27732242730099</v>
      </c>
      <c r="J181" s="19">
        <v>-1.45965821223133E-2</v>
      </c>
      <c r="K181" s="18">
        <v>43828.701993670998</v>
      </c>
      <c r="L181" s="19">
        <v>3.65173326955848E-3</v>
      </c>
      <c r="M181" s="18">
        <v>17206.557581261499</v>
      </c>
      <c r="N181" s="19">
        <v>-2.0606443386433401E-2</v>
      </c>
      <c r="O181" s="18">
        <v>26615.272917189701</v>
      </c>
      <c r="P181" s="19">
        <v>1.9587611447222202E-2</v>
      </c>
      <c r="Q181" s="18">
        <v>2852.1513412459699</v>
      </c>
      <c r="R181" s="19">
        <v>5.2507415098004703E-2</v>
      </c>
      <c r="S181" s="18">
        <v>571.503933462639</v>
      </c>
      <c r="T181" s="19">
        <v>1.30736862293748E-2</v>
      </c>
      <c r="U181" s="18">
        <v>8283.4713362700295</v>
      </c>
      <c r="V181" s="19">
        <v>-1.46482847340739E-2</v>
      </c>
      <c r="W181" s="18">
        <v>22200.6769090733</v>
      </c>
      <c r="X181" s="19">
        <v>-1.3056777090614599E-2</v>
      </c>
      <c r="Y181" s="18">
        <v>6399.6492425060096</v>
      </c>
      <c r="Z181" s="19">
        <v>-4.0766710893015397E-3</v>
      </c>
      <c r="AA181" s="18">
        <v>6915.1805537877699</v>
      </c>
      <c r="AB181" s="19">
        <v>1.32733123409374E-2</v>
      </c>
      <c r="AC181" s="18">
        <v>3356.8744682627398</v>
      </c>
      <c r="AD181" s="19">
        <v>0.13972263796108</v>
      </c>
      <c r="AE181" s="18">
        <v>9251.4807017572093</v>
      </c>
      <c r="AF181" s="19">
        <v>2.8133706586047601E-2</v>
      </c>
      <c r="AG181" s="18">
        <v>16891.597880020701</v>
      </c>
      <c r="AH181" s="19">
        <v>5.4358056353447396E-3</v>
      </c>
      <c r="AI181" s="18">
        <v>7776.0680173027804</v>
      </c>
      <c r="AJ181" s="19">
        <v>-2.36685827812411E-2</v>
      </c>
      <c r="AK181" s="18">
        <v>5584.2947416546003</v>
      </c>
      <c r="AL181" s="19">
        <v>4.8612730018058797E-2</v>
      </c>
      <c r="AM181" s="18">
        <v>34789.303308521499</v>
      </c>
      <c r="AN181" s="19">
        <v>1.7920224343470599E-3</v>
      </c>
      <c r="AO181" s="18">
        <v>12347.205963308401</v>
      </c>
      <c r="AP181" s="19">
        <v>2.3285269557897798E-3</v>
      </c>
      <c r="AQ181" s="18">
        <v>7578.1575858441602</v>
      </c>
      <c r="AR181" s="19">
        <v>9.3545808765189697E-3</v>
      </c>
      <c r="AS181" s="18">
        <v>14506.3581841865</v>
      </c>
      <c r="AT181" s="19">
        <v>8.6035359470655309E-3</v>
      </c>
      <c r="AU181" s="18">
        <v>1774.4200921602901</v>
      </c>
      <c r="AV181" s="19">
        <v>4.9019585814951097E-2</v>
      </c>
      <c r="AW181" s="18">
        <v>2563.03133111033</v>
      </c>
      <c r="AX181" s="19">
        <v>1.6975806353309902E-2</v>
      </c>
      <c r="AY181" s="18">
        <v>600.05991979291196</v>
      </c>
      <c r="AZ181" s="19">
        <v>1.75222378225393E-2</v>
      </c>
      <c r="BA181" s="18">
        <v>5199.1009931899098</v>
      </c>
      <c r="BB181" s="19">
        <v>9.2750380307256002E-3</v>
      </c>
      <c r="BC181" s="18">
        <v>9499.4585352187605</v>
      </c>
      <c r="BD181" s="19">
        <v>7.9371206788765303E-3</v>
      </c>
      <c r="BE181" s="18">
        <v>-4298.7556579165303</v>
      </c>
      <c r="BF181" s="19">
        <v>6.23980697496496E-3</v>
      </c>
      <c r="BG181" s="18"/>
      <c r="BH181" s="19"/>
    </row>
    <row r="182" spans="1:60" x14ac:dyDescent="0.15">
      <c r="A182" s="17">
        <v>2022</v>
      </c>
      <c r="B182" s="17">
        <v>3</v>
      </c>
      <c r="C182" s="18">
        <v>195366.38302154999</v>
      </c>
      <c r="D182" s="19">
        <v>5.3489720114585602E-3</v>
      </c>
      <c r="E182" s="18">
        <v>190116.75238025599</v>
      </c>
      <c r="F182" s="19">
        <v>5.2317190292969799E-3</v>
      </c>
      <c r="G182" s="18">
        <v>1308.4097768077399</v>
      </c>
      <c r="H182" s="19">
        <v>1.6085800450684098E-2</v>
      </c>
      <c r="I182" s="18">
        <v>158.486935767646</v>
      </c>
      <c r="J182" s="19">
        <v>-4.1084805585723798E-2</v>
      </c>
      <c r="K182" s="18">
        <v>43740.077776814003</v>
      </c>
      <c r="L182" s="19">
        <v>-2.0220588980658402E-3</v>
      </c>
      <c r="M182" s="18">
        <v>17280.603511040601</v>
      </c>
      <c r="N182" s="19">
        <v>4.3033552428695101E-3</v>
      </c>
      <c r="O182" s="18">
        <v>26455.219581358</v>
      </c>
      <c r="P182" s="19">
        <v>-6.0135898786263199E-3</v>
      </c>
      <c r="Q182" s="18">
        <v>2818.30281295441</v>
      </c>
      <c r="R182" s="19">
        <v>-1.18677181684088E-2</v>
      </c>
      <c r="S182" s="18">
        <v>602.56265191498301</v>
      </c>
      <c r="T182" s="19">
        <v>5.4345590001742397E-2</v>
      </c>
      <c r="U182" s="18">
        <v>8121.6868847361902</v>
      </c>
      <c r="V182" s="19">
        <v>-1.9530996724218101E-2</v>
      </c>
      <c r="W182" s="18">
        <v>22485.069903398798</v>
      </c>
      <c r="X182" s="19">
        <v>1.28101046418656E-2</v>
      </c>
      <c r="Y182" s="18">
        <v>6418.0256578713597</v>
      </c>
      <c r="Z182" s="19">
        <v>2.8714722743390401E-3</v>
      </c>
      <c r="AA182" s="18">
        <v>6875.9967943449201</v>
      </c>
      <c r="AB182" s="19">
        <v>-5.6663393150869802E-3</v>
      </c>
      <c r="AC182" s="18">
        <v>3545.2453532340101</v>
      </c>
      <c r="AD182" s="19">
        <v>5.6114962520106698E-2</v>
      </c>
      <c r="AE182" s="18">
        <v>9490.9900256666806</v>
      </c>
      <c r="AF182" s="19">
        <v>2.5888755717122802E-2</v>
      </c>
      <c r="AG182" s="18">
        <v>16889.534118126099</v>
      </c>
      <c r="AH182" s="19">
        <v>-1.2217683071236201E-4</v>
      </c>
      <c r="AI182" s="18">
        <v>7569.9859370204204</v>
      </c>
      <c r="AJ182" s="19">
        <v>-2.6502093323232601E-2</v>
      </c>
      <c r="AK182" s="18">
        <v>5764.3358863235699</v>
      </c>
      <c r="AL182" s="19">
        <v>3.2240623569883102E-2</v>
      </c>
      <c r="AM182" s="18">
        <v>35035.918457251901</v>
      </c>
      <c r="AN182" s="19">
        <v>7.0888211397417402E-3</v>
      </c>
      <c r="AO182" s="18">
        <v>12385.993370910501</v>
      </c>
      <c r="AP182" s="19">
        <v>3.1413914789606401E-3</v>
      </c>
      <c r="AQ182" s="18">
        <v>7669.7357848940201</v>
      </c>
      <c r="AR182" s="19">
        <v>1.2084493890826E-2</v>
      </c>
      <c r="AS182" s="18">
        <v>14627.486112938799</v>
      </c>
      <c r="AT182" s="19">
        <v>8.3499888265767801E-3</v>
      </c>
      <c r="AU182" s="18">
        <v>1767.76129210164</v>
      </c>
      <c r="AV182" s="19">
        <v>-3.7526626800898901E-3</v>
      </c>
      <c r="AW182" s="18">
        <v>2554.4434289200099</v>
      </c>
      <c r="AX182" s="19">
        <v>-3.3506817049344701E-3</v>
      </c>
      <c r="AY182" s="18">
        <v>607.10246912569301</v>
      </c>
      <c r="AZ182" s="19">
        <v>1.1736410149191899E-2</v>
      </c>
      <c r="BA182" s="18">
        <v>5248.8198024918402</v>
      </c>
      <c r="BB182" s="19">
        <v>9.5629627828079898E-3</v>
      </c>
      <c r="BC182" s="18">
        <v>9539.5954562703901</v>
      </c>
      <c r="BD182" s="19">
        <v>4.2251798776546902E-3</v>
      </c>
      <c r="BE182" s="18">
        <v>-4287.7212498381105</v>
      </c>
      <c r="BF182" s="19">
        <v>-2.56688422336715E-3</v>
      </c>
      <c r="BG182" s="18"/>
      <c r="BH182" s="19"/>
    </row>
    <row r="183" spans="1:60" x14ac:dyDescent="0.15">
      <c r="A183" s="17">
        <v>2022</v>
      </c>
      <c r="B183" s="17">
        <v>4</v>
      </c>
      <c r="C183" s="18">
        <v>195740.89739897699</v>
      </c>
      <c r="D183" s="19">
        <v>1.91698475262325E-3</v>
      </c>
      <c r="E183" s="18">
        <v>190553.59244172601</v>
      </c>
      <c r="F183" s="19">
        <v>2.2977462848534601E-3</v>
      </c>
      <c r="G183" s="18">
        <v>1312.6168179455799</v>
      </c>
      <c r="H183" s="19">
        <v>3.2153849752680798E-3</v>
      </c>
      <c r="I183" s="18">
        <v>155.00507989072901</v>
      </c>
      <c r="J183" s="19">
        <v>-2.1969355770888901E-2</v>
      </c>
      <c r="K183" s="18">
        <v>43369.281507538501</v>
      </c>
      <c r="L183" s="19">
        <v>-8.47726588799169E-3</v>
      </c>
      <c r="M183" s="18">
        <v>17497.657034581</v>
      </c>
      <c r="N183" s="19">
        <v>1.2560529115877E-2</v>
      </c>
      <c r="O183" s="18">
        <v>25876.100191431899</v>
      </c>
      <c r="P183" s="19">
        <v>-2.1890553134333E-2</v>
      </c>
      <c r="Q183" s="18">
        <v>2895.7289682876999</v>
      </c>
      <c r="R183" s="19">
        <v>2.7472617554577399E-2</v>
      </c>
      <c r="S183" s="18">
        <v>619.64113256798998</v>
      </c>
      <c r="T183" s="19">
        <v>2.8343078680251401E-2</v>
      </c>
      <c r="U183" s="18">
        <v>8134.5595542497103</v>
      </c>
      <c r="V183" s="19">
        <v>1.58497485758913E-3</v>
      </c>
      <c r="W183" s="18">
        <v>22633.3532921759</v>
      </c>
      <c r="X183" s="19">
        <v>6.5947488450850402E-3</v>
      </c>
      <c r="Y183" s="18">
        <v>6374.2030955083001</v>
      </c>
      <c r="Z183" s="19">
        <v>-6.8280441212190696E-3</v>
      </c>
      <c r="AA183" s="18">
        <v>7046.8135627514903</v>
      </c>
      <c r="AB183" s="19">
        <v>2.4842473537372501E-2</v>
      </c>
      <c r="AC183" s="18">
        <v>3550.4687416320598</v>
      </c>
      <c r="AD183" s="19">
        <v>1.4733503263155701E-3</v>
      </c>
      <c r="AE183" s="18">
        <v>9467.6058163369999</v>
      </c>
      <c r="AF183" s="19">
        <v>-2.4638324628346599E-3</v>
      </c>
      <c r="AG183" s="18">
        <v>16959.193902970299</v>
      </c>
      <c r="AH183" s="19">
        <v>4.1244349522622202E-3</v>
      </c>
      <c r="AI183" s="18">
        <v>7458.7660129639598</v>
      </c>
      <c r="AJ183" s="19">
        <v>-1.4692223338559501E-2</v>
      </c>
      <c r="AK183" s="18">
        <v>5869.5257334145599</v>
      </c>
      <c r="AL183" s="19">
        <v>1.82483896090384E-2</v>
      </c>
      <c r="AM183" s="18">
        <v>35066.007455762097</v>
      </c>
      <c r="AN183" s="19">
        <v>8.58804330959417E-4</v>
      </c>
      <c r="AO183" s="18">
        <v>12390.5554419741</v>
      </c>
      <c r="AP183" s="19">
        <v>3.6832500446037897E-4</v>
      </c>
      <c r="AQ183" s="18">
        <v>7745.1438539540304</v>
      </c>
      <c r="AR183" s="19">
        <v>9.8318991911741094E-3</v>
      </c>
      <c r="AS183" s="18">
        <v>14692.7311365081</v>
      </c>
      <c r="AT183" s="19">
        <v>4.4604399597809596E-3</v>
      </c>
      <c r="AU183" s="18">
        <v>1868.87562744711</v>
      </c>
      <c r="AV183" s="19">
        <v>5.7199088925211403E-2</v>
      </c>
      <c r="AW183" s="18">
        <v>2564.49289818754</v>
      </c>
      <c r="AX183" s="19">
        <v>3.93411306500568E-3</v>
      </c>
      <c r="AY183" s="18">
        <v>614.864559214834</v>
      </c>
      <c r="AZ183" s="19">
        <v>1.27854694781917E-2</v>
      </c>
      <c r="BA183" s="18">
        <v>5188.9647104952501</v>
      </c>
      <c r="BB183" s="19">
        <v>-1.1403533413012401E-2</v>
      </c>
      <c r="BC183" s="18">
        <v>9520.3610456885308</v>
      </c>
      <c r="BD183" s="19">
        <v>-2.01627109556446E-3</v>
      </c>
      <c r="BE183" s="18">
        <v>-4330.9149671958503</v>
      </c>
      <c r="BF183" s="19">
        <v>1.00738165661705E-2</v>
      </c>
      <c r="BG183" s="18"/>
      <c r="BH183" s="19"/>
    </row>
    <row r="184" spans="1:60" x14ac:dyDescent="0.15">
      <c r="A184" s="17">
        <v>2023</v>
      </c>
      <c r="B184" s="17">
        <v>1</v>
      </c>
      <c r="C184" s="18">
        <v>197295.071371172</v>
      </c>
      <c r="D184" s="19">
        <v>7.93995528193925E-3</v>
      </c>
      <c r="E184" s="18">
        <v>192122.87107375299</v>
      </c>
      <c r="F184" s="19">
        <v>8.2353662920679992E-3</v>
      </c>
      <c r="G184" s="18">
        <v>1318.0171870609399</v>
      </c>
      <c r="H184" s="19">
        <v>4.11420076410018E-3</v>
      </c>
      <c r="I184" s="18">
        <v>160.53534908668999</v>
      </c>
      <c r="J184" s="19">
        <v>3.5677986810881197E-2</v>
      </c>
      <c r="K184" s="18">
        <v>43559.736499968501</v>
      </c>
      <c r="L184" s="19">
        <v>4.3914721620865703E-3</v>
      </c>
      <c r="M184" s="18">
        <v>17396.750321505999</v>
      </c>
      <c r="N184" s="19">
        <v>-5.7668699801063398E-3</v>
      </c>
      <c r="O184" s="18">
        <v>26165.635495080602</v>
      </c>
      <c r="P184" s="19">
        <v>1.1189294426390901E-2</v>
      </c>
      <c r="Q184" s="18">
        <v>2592.0365761733301</v>
      </c>
      <c r="R184" s="19">
        <v>-0.104875972661884</v>
      </c>
      <c r="S184" s="18">
        <v>639.08903674964995</v>
      </c>
      <c r="T184" s="19">
        <v>3.1385754042928302E-2</v>
      </c>
      <c r="U184" s="18">
        <v>8147.9946639131704</v>
      </c>
      <c r="V184" s="19">
        <v>1.6516087409363901E-3</v>
      </c>
      <c r="W184" s="18">
        <v>23452.2341844568</v>
      </c>
      <c r="X184" s="19">
        <v>3.6180272614046799E-2</v>
      </c>
      <c r="Y184" s="18">
        <v>6297.57590479802</v>
      </c>
      <c r="Z184" s="19">
        <v>-1.2021454221355799E-2</v>
      </c>
      <c r="AA184" s="18">
        <v>7287.7043202018704</v>
      </c>
      <c r="AB184" s="19">
        <v>3.4184352304095902E-2</v>
      </c>
      <c r="AC184" s="18">
        <v>3599.8759556926202</v>
      </c>
      <c r="AD184" s="19">
        <v>1.39156876615254E-2</v>
      </c>
      <c r="AE184" s="18">
        <v>9661.9248679528791</v>
      </c>
      <c r="AF184" s="19">
        <v>2.0524624217092901E-2</v>
      </c>
      <c r="AG184" s="18">
        <v>16705.329519743798</v>
      </c>
      <c r="AH184" s="19">
        <v>-1.4969130294689201E-2</v>
      </c>
      <c r="AI184" s="18">
        <v>7096.91955979666</v>
      </c>
      <c r="AJ184" s="19">
        <v>-4.85129111891138E-2</v>
      </c>
      <c r="AK184" s="18">
        <v>5959.7826671836201</v>
      </c>
      <c r="AL184" s="19">
        <v>1.5377210675682399E-2</v>
      </c>
      <c r="AM184" s="18">
        <v>35208.4894329128</v>
      </c>
      <c r="AN184" s="19">
        <v>4.0632506375428701E-3</v>
      </c>
      <c r="AO184" s="18">
        <v>12360.3535398282</v>
      </c>
      <c r="AP184" s="19">
        <v>-2.4374938062567998E-3</v>
      </c>
      <c r="AQ184" s="18">
        <v>7783.7253955816996</v>
      </c>
      <c r="AR184" s="19">
        <v>4.9813847689821299E-3</v>
      </c>
      <c r="AS184" s="18">
        <v>14778.232331302401</v>
      </c>
      <c r="AT184" s="19">
        <v>5.8192853323137898E-3</v>
      </c>
      <c r="AU184" s="18">
        <v>1929.6097371135299</v>
      </c>
      <c r="AV184" s="19">
        <v>3.2497673346716598E-2</v>
      </c>
      <c r="AW184" s="18">
        <v>2580.4573936514098</v>
      </c>
      <c r="AX184" s="19">
        <v>6.2252055660432203E-3</v>
      </c>
      <c r="AY184" s="18">
        <v>624.94282741013001</v>
      </c>
      <c r="AZ184" s="19">
        <v>1.6391037740352402E-2</v>
      </c>
      <c r="BA184" s="18">
        <v>5170.4257038016804</v>
      </c>
      <c r="BB184" s="19">
        <v>-3.5727756359701401E-3</v>
      </c>
      <c r="BC184" s="18">
        <v>9542.7251954468593</v>
      </c>
      <c r="BD184" s="19">
        <v>2.3490863057611402E-3</v>
      </c>
      <c r="BE184" s="18">
        <v>-4372.3808083860404</v>
      </c>
      <c r="BF184" s="19">
        <v>9.5743835896739994E-3</v>
      </c>
      <c r="BG184" s="18"/>
      <c r="BH184" s="19"/>
    </row>
    <row r="185" spans="1:60" x14ac:dyDescent="0.15">
      <c r="A185" s="17">
        <v>2023</v>
      </c>
      <c r="B185" s="17">
        <v>2</v>
      </c>
      <c r="C185" s="18">
        <v>196648.261419455</v>
      </c>
      <c r="D185" s="19">
        <v>-3.2783887971547E-3</v>
      </c>
      <c r="E185" s="18">
        <v>191549.68840401</v>
      </c>
      <c r="F185" s="19">
        <v>-2.9834171566303102E-3</v>
      </c>
      <c r="G185" s="18">
        <v>1308.2882814582499</v>
      </c>
      <c r="H185" s="19">
        <v>-7.3814709688163598E-3</v>
      </c>
      <c r="I185" s="18">
        <v>160.334138579674</v>
      </c>
      <c r="J185" s="19">
        <v>-1.25337197172048E-3</v>
      </c>
      <c r="K185" s="18">
        <v>42221.056298728799</v>
      </c>
      <c r="L185" s="19">
        <v>-3.0732054617473199E-2</v>
      </c>
      <c r="M185" s="18">
        <v>17328.228784462</v>
      </c>
      <c r="N185" s="19">
        <v>-3.9387549845616397E-3</v>
      </c>
      <c r="O185" s="18">
        <v>24931.407015377099</v>
      </c>
      <c r="P185" s="19">
        <v>-4.7169826237761198E-2</v>
      </c>
      <c r="Q185" s="18">
        <v>2398.06203638632</v>
      </c>
      <c r="R185" s="19">
        <v>-7.4834800392123396E-2</v>
      </c>
      <c r="S185" s="18">
        <v>662.42790746445496</v>
      </c>
      <c r="T185" s="19">
        <v>3.6518965860381898E-2</v>
      </c>
      <c r="U185" s="18">
        <v>8083.0061881322799</v>
      </c>
      <c r="V185" s="19">
        <v>-7.9760086329856393E-3</v>
      </c>
      <c r="W185" s="18">
        <v>24020.051440281601</v>
      </c>
      <c r="X185" s="19">
        <v>2.4211648722199702E-2</v>
      </c>
      <c r="Y185" s="18">
        <v>6348.7803407689798</v>
      </c>
      <c r="Z185" s="19">
        <v>8.1308168007854197E-3</v>
      </c>
      <c r="AA185" s="18">
        <v>7218.7278785306298</v>
      </c>
      <c r="AB185" s="19">
        <v>-9.4647695132237305E-3</v>
      </c>
      <c r="AC185" s="18">
        <v>3616.3336670427102</v>
      </c>
      <c r="AD185" s="19">
        <v>4.57174401358529E-3</v>
      </c>
      <c r="AE185" s="18">
        <v>9697.6598165416399</v>
      </c>
      <c r="AF185" s="19">
        <v>3.6985330642851401E-3</v>
      </c>
      <c r="AG185" s="18">
        <v>16591.291393858701</v>
      </c>
      <c r="AH185" s="19">
        <v>-6.8264517470517597E-3</v>
      </c>
      <c r="AI185" s="18">
        <v>6872.77339643307</v>
      </c>
      <c r="AJ185" s="19">
        <v>-3.1583585170297399E-2</v>
      </c>
      <c r="AK185" s="18">
        <v>6024.3259590847701</v>
      </c>
      <c r="AL185" s="19">
        <v>1.0829806304271499E-2</v>
      </c>
      <c r="AM185" s="18">
        <v>35396.098755208201</v>
      </c>
      <c r="AN185" s="19">
        <v>5.3285251743855301E-3</v>
      </c>
      <c r="AO185" s="18">
        <v>12304.4084794761</v>
      </c>
      <c r="AP185" s="19">
        <v>-4.5261699167337098E-3</v>
      </c>
      <c r="AQ185" s="18">
        <v>7758.9257886310897</v>
      </c>
      <c r="AR185" s="19">
        <v>-3.1860845148366001E-3</v>
      </c>
      <c r="AS185" s="18">
        <v>14837.9089051096</v>
      </c>
      <c r="AT185" s="19">
        <v>4.0381401827598298E-3</v>
      </c>
      <c r="AU185" s="18">
        <v>1955.76784909086</v>
      </c>
      <c r="AV185" s="19">
        <v>1.3556167070583901E-2</v>
      </c>
      <c r="AW185" s="18">
        <v>2596.76829040859</v>
      </c>
      <c r="AX185" s="19">
        <v>6.3209324041972898E-3</v>
      </c>
      <c r="AY185" s="18">
        <v>630.69741759647604</v>
      </c>
      <c r="AZ185" s="19">
        <v>9.2081866275579606E-3</v>
      </c>
      <c r="BA185" s="18">
        <v>5096.0519940056301</v>
      </c>
      <c r="BB185" s="19">
        <v>-1.43844460894912E-2</v>
      </c>
      <c r="BC185" s="18">
        <v>9499.9934255866392</v>
      </c>
      <c r="BD185" s="19">
        <v>-4.4779419908909102E-3</v>
      </c>
      <c r="BE185" s="18">
        <v>-4405.6730139486699</v>
      </c>
      <c r="BF185" s="19">
        <v>7.6142054001277996E-3</v>
      </c>
      <c r="BG185" s="18"/>
      <c r="BH185" s="19"/>
    </row>
    <row r="186" spans="1:60" x14ac:dyDescent="0.15">
      <c r="A186" s="17">
        <v>2023</v>
      </c>
      <c r="B186" s="17">
        <v>3</v>
      </c>
      <c r="C186" s="18">
        <v>197321.10640183001</v>
      </c>
      <c r="D186" s="19">
        <v>3.42156588376796E-3</v>
      </c>
      <c r="E186" s="18">
        <v>192242.88706696799</v>
      </c>
      <c r="F186" s="19">
        <v>3.6188973667026199E-3</v>
      </c>
      <c r="G186" s="18">
        <v>1290.6428419643801</v>
      </c>
      <c r="H186" s="19">
        <v>-1.34874245561587E-2</v>
      </c>
      <c r="I186" s="18">
        <v>162.214459526627</v>
      </c>
      <c r="J186" s="19">
        <v>1.1727514574310101E-2</v>
      </c>
      <c r="K186" s="18">
        <v>42519.8256590936</v>
      </c>
      <c r="L186" s="19">
        <v>7.0763118348089503E-3</v>
      </c>
      <c r="M186" s="18">
        <v>17987.978148470102</v>
      </c>
      <c r="N186" s="19">
        <v>3.8073675746921297E-2</v>
      </c>
      <c r="O186" s="18">
        <v>24612.198002427998</v>
      </c>
      <c r="P186" s="19">
        <v>-1.2803489700847199E-2</v>
      </c>
      <c r="Q186" s="18">
        <v>2422.2673627736199</v>
      </c>
      <c r="R186" s="19">
        <v>1.00937031736608E-2</v>
      </c>
      <c r="S186" s="18">
        <v>686.25172742903999</v>
      </c>
      <c r="T186" s="19">
        <v>3.5964396572261102E-2</v>
      </c>
      <c r="U186" s="18">
        <v>8060.4953937647997</v>
      </c>
      <c r="V186" s="19">
        <v>-2.7849532517415501E-3</v>
      </c>
      <c r="W186" s="18">
        <v>24140.228278223502</v>
      </c>
      <c r="X186" s="19">
        <v>5.0031882005201504E-3</v>
      </c>
      <c r="Y186" s="18">
        <v>6306.2918215625896</v>
      </c>
      <c r="Z186" s="19">
        <v>-6.6923908098606199E-3</v>
      </c>
      <c r="AA186" s="18">
        <v>7140.7920962210901</v>
      </c>
      <c r="AB186" s="19">
        <v>-1.0796331932851001E-2</v>
      </c>
      <c r="AC186" s="18">
        <v>3626.1120161279</v>
      </c>
      <c r="AD186" s="19">
        <v>2.7039399528592202E-3</v>
      </c>
      <c r="AE186" s="18">
        <v>9788.9202074852892</v>
      </c>
      <c r="AF186" s="19">
        <v>9.4105580800008005E-3</v>
      </c>
      <c r="AG186" s="18">
        <v>16496.551770974402</v>
      </c>
      <c r="AH186" s="19">
        <v>-5.7102018544129603E-3</v>
      </c>
      <c r="AI186" s="18">
        <v>6758.7524493477804</v>
      </c>
      <c r="AJ186" s="19">
        <v>-1.65902381045284E-2</v>
      </c>
      <c r="AK186" s="18">
        <v>6087.5316232901296</v>
      </c>
      <c r="AL186" s="19">
        <v>1.04917404261704E-2</v>
      </c>
      <c r="AM186" s="18">
        <v>35523.329579294099</v>
      </c>
      <c r="AN186" s="19">
        <v>3.59448720509636E-3</v>
      </c>
      <c r="AO186" s="18">
        <v>12356.297443113601</v>
      </c>
      <c r="AP186" s="19">
        <v>4.2171034653228903E-3</v>
      </c>
      <c r="AQ186" s="18">
        <v>7769.3081535285501</v>
      </c>
      <c r="AR186" s="19">
        <v>1.33811885566315E-3</v>
      </c>
      <c r="AS186" s="18">
        <v>14982.0816744408</v>
      </c>
      <c r="AT186" s="19">
        <v>9.7165153292939604E-3</v>
      </c>
      <c r="AU186" s="18">
        <v>1964.6080359683999</v>
      </c>
      <c r="AV186" s="19">
        <v>4.5200594138263802E-3</v>
      </c>
      <c r="AW186" s="18">
        <v>2596.2943585896901</v>
      </c>
      <c r="AX186" s="19">
        <v>-1.8250832030375399E-4</v>
      </c>
      <c r="AY186" s="18">
        <v>631.677090151215</v>
      </c>
      <c r="AZ186" s="19">
        <v>1.55331626134259E-3</v>
      </c>
      <c r="BA186" s="18">
        <v>5075.2233499696804</v>
      </c>
      <c r="BB186" s="19">
        <v>-4.0872118378005896E-3</v>
      </c>
      <c r="BC186" s="18">
        <v>9512.6688829219001</v>
      </c>
      <c r="BD186" s="19">
        <v>1.33425959023592E-3</v>
      </c>
      <c r="BE186" s="18">
        <v>-4440.0697617713504</v>
      </c>
      <c r="BF186" s="19">
        <v>7.8073764697861297E-3</v>
      </c>
      <c r="BG186" s="18"/>
      <c r="BH186" s="19"/>
    </row>
    <row r="187" spans="1:60" x14ac:dyDescent="0.15">
      <c r="A187" s="17">
        <v>2023</v>
      </c>
      <c r="B187" s="17">
        <v>4</v>
      </c>
      <c r="C187" s="18">
        <v>198443.80637467999</v>
      </c>
      <c r="D187" s="19">
        <v>5.68971050954881E-3</v>
      </c>
      <c r="E187" s="18">
        <v>193366.10768393401</v>
      </c>
      <c r="F187" s="19">
        <v>5.8427161290717199E-3</v>
      </c>
      <c r="G187" s="18">
        <v>1264.54664996883</v>
      </c>
      <c r="H187" s="19">
        <v>-2.0219530258138399E-2</v>
      </c>
      <c r="I187" s="18">
        <v>166.43216180560401</v>
      </c>
      <c r="J187" s="19">
        <v>2.6000778791764899E-2</v>
      </c>
      <c r="K187" s="18">
        <v>42626.650839781702</v>
      </c>
      <c r="L187" s="19">
        <v>2.5123616814561899E-3</v>
      </c>
      <c r="M187" s="18">
        <v>18014.276883439899</v>
      </c>
      <c r="N187" s="19">
        <v>1.4620172846933101E-3</v>
      </c>
      <c r="O187" s="18">
        <v>24691.466622369298</v>
      </c>
      <c r="P187" s="19">
        <v>3.2207046251369101E-3</v>
      </c>
      <c r="Q187" s="18">
        <v>2427.3783369569201</v>
      </c>
      <c r="R187" s="19">
        <v>2.1099958913877201E-3</v>
      </c>
      <c r="S187" s="18">
        <v>696.34735172422404</v>
      </c>
      <c r="T187" s="19">
        <v>1.47112552022368E-2</v>
      </c>
      <c r="U187" s="18">
        <v>8068.9568408094301</v>
      </c>
      <c r="V187" s="19">
        <v>1.0497428050360001E-3</v>
      </c>
      <c r="W187" s="18">
        <v>24281.681458978201</v>
      </c>
      <c r="X187" s="19">
        <v>5.8596455312833803E-3</v>
      </c>
      <c r="Y187" s="18">
        <v>6346.8581932426496</v>
      </c>
      <c r="Z187" s="19">
        <v>6.4326822842797303E-3</v>
      </c>
      <c r="AA187" s="18">
        <v>7190.6661106343799</v>
      </c>
      <c r="AB187" s="19">
        <v>6.9843812480805401E-3</v>
      </c>
      <c r="AC187" s="18">
        <v>3583.5912501586699</v>
      </c>
      <c r="AD187" s="19">
        <v>-1.17262692879065E-2</v>
      </c>
      <c r="AE187" s="18">
        <v>10037.1630610843</v>
      </c>
      <c r="AF187" s="19">
        <v>2.53595747372777E-2</v>
      </c>
      <c r="AG187" s="18">
        <v>16374.350364993001</v>
      </c>
      <c r="AH187" s="19">
        <v>-7.4076939034232198E-3</v>
      </c>
      <c r="AI187" s="18">
        <v>6643.1013435717496</v>
      </c>
      <c r="AJ187" s="19">
        <v>-1.7111309615607501E-2</v>
      </c>
      <c r="AK187" s="18">
        <v>6150.3901596600899</v>
      </c>
      <c r="AL187" s="19">
        <v>1.0325783956418101E-2</v>
      </c>
      <c r="AM187" s="18">
        <v>35822.552161071901</v>
      </c>
      <c r="AN187" s="19">
        <v>8.42326958991646E-3</v>
      </c>
      <c r="AO187" s="18">
        <v>12437.9993399635</v>
      </c>
      <c r="AP187" s="19">
        <v>6.61216656737529E-3</v>
      </c>
      <c r="AQ187" s="18">
        <v>7858.6454367305196</v>
      </c>
      <c r="AR187" s="19">
        <v>1.1498743702344799E-2</v>
      </c>
      <c r="AS187" s="18">
        <v>15221.8859704839</v>
      </c>
      <c r="AT187" s="19">
        <v>1.60060732049143E-2</v>
      </c>
      <c r="AU187" s="18">
        <v>1976.9117234400201</v>
      </c>
      <c r="AV187" s="19">
        <v>6.2626677924344501E-3</v>
      </c>
      <c r="AW187" s="18">
        <v>2610.0521821509201</v>
      </c>
      <c r="AX187" s="19">
        <v>5.2990230155174302E-3</v>
      </c>
      <c r="AY187" s="18">
        <v>628.03931590762897</v>
      </c>
      <c r="AZ187" s="19">
        <v>-5.7589143255393199E-3</v>
      </c>
      <c r="BA187" s="18">
        <v>5074.5014427637398</v>
      </c>
      <c r="BB187" s="19">
        <v>-1.4224146528263299E-4</v>
      </c>
      <c r="BC187" s="18">
        <v>9535.01963770357</v>
      </c>
      <c r="BD187" s="19">
        <v>2.34957771123501E-3</v>
      </c>
      <c r="BE187" s="18">
        <v>-4463.5561337053396</v>
      </c>
      <c r="BF187" s="19">
        <v>5.2896402971423003E-3</v>
      </c>
      <c r="BG187" s="18"/>
      <c r="BH187" s="19"/>
    </row>
    <row r="188" spans="1:60" x14ac:dyDescent="0.15">
      <c r="A188" s="17">
        <v>2024</v>
      </c>
      <c r="B188" s="17">
        <v>1</v>
      </c>
      <c r="C188" s="18">
        <v>198212.99749485301</v>
      </c>
      <c r="D188" s="19">
        <v>-1.16309439958628E-3</v>
      </c>
      <c r="E188" s="18">
        <v>193208.075439576</v>
      </c>
      <c r="F188" s="19">
        <v>-8.1726961488226601E-4</v>
      </c>
      <c r="G188" s="18">
        <v>1225.92419864457</v>
      </c>
      <c r="H188" s="19">
        <v>-3.0542527889505199E-2</v>
      </c>
      <c r="I188" s="18">
        <v>177.11892429640699</v>
      </c>
      <c r="J188" s="19">
        <v>6.4210921584286096E-2</v>
      </c>
      <c r="K188" s="18">
        <v>42637.721751156998</v>
      </c>
      <c r="L188" s="19">
        <v>2.5971806738778202E-4</v>
      </c>
      <c r="M188" s="18">
        <v>18499.7627286965</v>
      </c>
      <c r="N188" s="19">
        <v>2.6950060132746801E-2</v>
      </c>
      <c r="O188" s="18">
        <v>24357.714121781399</v>
      </c>
      <c r="P188" s="19">
        <v>-1.35169168236244E-2</v>
      </c>
      <c r="Q188" s="18">
        <v>2260.1578534980499</v>
      </c>
      <c r="R188" s="19">
        <v>-6.88893366612571E-2</v>
      </c>
      <c r="S188" s="18">
        <v>713.45951631970502</v>
      </c>
      <c r="T188" s="19">
        <v>2.4574179183864699E-2</v>
      </c>
      <c r="U188" s="18">
        <v>8106.1765224997898</v>
      </c>
      <c r="V188" s="19">
        <v>4.6127005540696998E-3</v>
      </c>
      <c r="W188" s="18">
        <v>23891.177633841002</v>
      </c>
      <c r="X188" s="19">
        <v>-1.6082239848049799E-2</v>
      </c>
      <c r="Y188" s="18">
        <v>6452.99298802458</v>
      </c>
      <c r="Z188" s="19">
        <v>1.6722414705110201E-2</v>
      </c>
      <c r="AA188" s="18">
        <v>7250.6366825654104</v>
      </c>
      <c r="AB188" s="19">
        <v>8.3400579318149096E-3</v>
      </c>
      <c r="AC188" s="18">
        <v>3574.2396682799199</v>
      </c>
      <c r="AD188" s="19">
        <v>-2.60955595265788E-3</v>
      </c>
      <c r="AE188" s="18">
        <v>10180.584442780801</v>
      </c>
      <c r="AF188" s="19">
        <v>1.4289035738854801E-2</v>
      </c>
      <c r="AG188" s="18">
        <v>16373.193120732099</v>
      </c>
      <c r="AH188" s="19">
        <v>-7.0674209061483099E-5</v>
      </c>
      <c r="AI188" s="18">
        <v>6597.0685174548698</v>
      </c>
      <c r="AJ188" s="19">
        <v>-6.9294180136842999E-3</v>
      </c>
      <c r="AK188" s="18">
        <v>6213.8814889209898</v>
      </c>
      <c r="AL188" s="19">
        <v>1.03231384697093E-2</v>
      </c>
      <c r="AM188" s="18">
        <v>36043.605910577498</v>
      </c>
      <c r="AN188" s="19">
        <v>6.1707984543277698E-3</v>
      </c>
      <c r="AO188" s="18">
        <v>12471.6568694982</v>
      </c>
      <c r="AP188" s="19">
        <v>2.7060243866152702E-3</v>
      </c>
      <c r="AQ188" s="18">
        <v>7863.6918599471401</v>
      </c>
      <c r="AR188" s="19">
        <v>6.4214924279948295E-4</v>
      </c>
      <c r="AS188" s="18">
        <v>15364.322275120399</v>
      </c>
      <c r="AT188" s="19">
        <v>9.3573362008287902E-3</v>
      </c>
      <c r="AU188" s="18">
        <v>1974.3935199949699</v>
      </c>
      <c r="AV188" s="19">
        <v>-1.2738067234832099E-3</v>
      </c>
      <c r="AW188" s="18">
        <v>2612.7831954780299</v>
      </c>
      <c r="AX188" s="19">
        <v>1.04634433969997E-3</v>
      </c>
      <c r="AY188" s="18">
        <v>619.55612161886597</v>
      </c>
      <c r="AZ188" s="19">
        <v>-1.3507425528771299E-2</v>
      </c>
      <c r="BA188" s="18">
        <v>4996.5604831989904</v>
      </c>
      <c r="BB188" s="19">
        <v>-1.5359333413117999E-2</v>
      </c>
      <c r="BC188" s="18">
        <v>9497.7715454405898</v>
      </c>
      <c r="BD188" s="19">
        <v>-3.9064515520973496E-3</v>
      </c>
      <c r="BE188" s="18">
        <v>-4502.1924780408899</v>
      </c>
      <c r="BF188" s="19">
        <v>8.6559557398191399E-3</v>
      </c>
      <c r="BG188" s="18"/>
      <c r="BH188" s="19"/>
    </row>
    <row r="189" spans="1:60" x14ac:dyDescent="0.15">
      <c r="A189" s="17">
        <v>2024</v>
      </c>
      <c r="B189" s="17">
        <v>2</v>
      </c>
      <c r="C189" s="18">
        <v>199648.89534244899</v>
      </c>
      <c r="D189" s="19">
        <v>7.2442164022732403E-3</v>
      </c>
      <c r="E189" s="18">
        <v>194620.89724097401</v>
      </c>
      <c r="F189" s="19">
        <v>7.3124365955419303E-3</v>
      </c>
      <c r="G189" s="18">
        <v>1208.0772256580999</v>
      </c>
      <c r="H189" s="19">
        <v>-1.45579743072297E-2</v>
      </c>
      <c r="I189" s="18">
        <v>177.16274286054599</v>
      </c>
      <c r="J189" s="19">
        <v>2.4739628649683698E-4</v>
      </c>
      <c r="K189" s="18">
        <v>43567.131048839197</v>
      </c>
      <c r="L189" s="19">
        <v>2.17978179769165E-2</v>
      </c>
      <c r="M189" s="18">
        <v>19349.186754994102</v>
      </c>
      <c r="N189" s="19">
        <v>4.5915401119168697E-2</v>
      </c>
      <c r="O189" s="18">
        <v>24530.848559550599</v>
      </c>
      <c r="P189" s="19">
        <v>7.1079920268191099E-3</v>
      </c>
      <c r="Q189" s="18">
        <v>2113.8366312482999</v>
      </c>
      <c r="R189" s="19">
        <v>-6.4739381819410594E-2</v>
      </c>
      <c r="S189" s="18">
        <v>724.12059032425202</v>
      </c>
      <c r="T189" s="19">
        <v>1.49427875873611E-2</v>
      </c>
      <c r="U189" s="18">
        <v>8181.0025034857799</v>
      </c>
      <c r="V189" s="19">
        <v>9.2307366831074801E-3</v>
      </c>
      <c r="W189" s="18">
        <v>23570.7616200552</v>
      </c>
      <c r="X189" s="19">
        <v>-1.34114784418106E-2</v>
      </c>
      <c r="Y189" s="18">
        <v>6463.1385294844304</v>
      </c>
      <c r="Z189" s="19">
        <v>1.5722226071956901E-3</v>
      </c>
      <c r="AA189" s="18">
        <v>7285.9479131752196</v>
      </c>
      <c r="AB189" s="19">
        <v>4.8700868841924398E-3</v>
      </c>
      <c r="AC189" s="18">
        <v>3566.62397380113</v>
      </c>
      <c r="AD189" s="19">
        <v>-2.13071735126913E-3</v>
      </c>
      <c r="AE189" s="18">
        <v>10350.3207471075</v>
      </c>
      <c r="AF189" s="19">
        <v>1.6672550115431499E-2</v>
      </c>
      <c r="AG189" s="18">
        <v>16586.0093949568</v>
      </c>
      <c r="AH189" s="19">
        <v>1.29978479246815E-2</v>
      </c>
      <c r="AI189" s="18">
        <v>6698.6837892203203</v>
      </c>
      <c r="AJ189" s="19">
        <v>1.54030947983319E-2</v>
      </c>
      <c r="AK189" s="18">
        <v>6303.2952677498197</v>
      </c>
      <c r="AL189" s="19">
        <v>1.43893601749956E-2</v>
      </c>
      <c r="AM189" s="18">
        <v>36390.125912028998</v>
      </c>
      <c r="AN189" s="19">
        <v>9.6139105036023905E-3</v>
      </c>
      <c r="AO189" s="18">
        <v>12495.2016527043</v>
      </c>
      <c r="AP189" s="19">
        <v>1.88786329294266E-3</v>
      </c>
      <c r="AQ189" s="18">
        <v>7886.6153884323603</v>
      </c>
      <c r="AR189" s="19">
        <v>2.9151102171203198E-3</v>
      </c>
      <c r="AS189" s="18">
        <v>15682.2196386902</v>
      </c>
      <c r="AT189" s="19">
        <v>2.06906206389963E-2</v>
      </c>
      <c r="AU189" s="18">
        <v>2006.9405753767901</v>
      </c>
      <c r="AV189" s="19">
        <v>1.6484583773299401E-2</v>
      </c>
      <c r="AW189" s="18">
        <v>2614.5242952962399</v>
      </c>
      <c r="AX189" s="19">
        <v>6.6637745573983097E-4</v>
      </c>
      <c r="AY189" s="18">
        <v>611.38039720251595</v>
      </c>
      <c r="AZ189" s="19">
        <v>-1.31960998060791E-2</v>
      </c>
      <c r="BA189" s="18">
        <v>5018.5771610108304</v>
      </c>
      <c r="BB189" s="19">
        <v>4.4063667168394698E-3</v>
      </c>
      <c r="BC189" s="18">
        <v>9565.3803472548407</v>
      </c>
      <c r="BD189" s="19">
        <v>7.11838576983914E-3</v>
      </c>
      <c r="BE189" s="18">
        <v>-4547.6646175518699</v>
      </c>
      <c r="BF189" s="19">
        <v>1.0099998996660101E-2</v>
      </c>
      <c r="BG189" s="18"/>
      <c r="BH189" s="19"/>
    </row>
    <row r="190" spans="1:60" x14ac:dyDescent="0.15">
      <c r="A190" s="17">
        <v>2024</v>
      </c>
      <c r="B190" s="17">
        <v>3</v>
      </c>
      <c r="C190" s="18">
        <v>200302.83079784401</v>
      </c>
      <c r="D190" s="19">
        <v>3.2754273659929599E-3</v>
      </c>
      <c r="E190" s="18">
        <v>195286.61628921199</v>
      </c>
      <c r="F190" s="19">
        <v>3.4205938708311602E-3</v>
      </c>
      <c r="G190" s="18">
        <v>1214.14156809015</v>
      </c>
      <c r="H190" s="19">
        <v>5.0198301095800701E-3</v>
      </c>
      <c r="I190" s="18">
        <v>181.55102951959</v>
      </c>
      <c r="J190" s="19">
        <v>2.4769805367589302E-2</v>
      </c>
      <c r="K190" s="18">
        <v>43263.028368089901</v>
      </c>
      <c r="L190" s="19">
        <v>-6.9800942460132003E-3</v>
      </c>
      <c r="M190" s="18">
        <v>19899.152367710001</v>
      </c>
      <c r="N190" s="19">
        <v>2.84231900637348E-2</v>
      </c>
      <c r="O190" s="18">
        <v>23810.257798750001</v>
      </c>
      <c r="P190" s="19">
        <v>-2.9374881144092299E-2</v>
      </c>
      <c r="Q190" s="18">
        <v>2357.8199659624202</v>
      </c>
      <c r="R190" s="19">
        <v>0.115422039294511</v>
      </c>
      <c r="S190" s="18">
        <v>728.51589045070398</v>
      </c>
      <c r="T190" s="19">
        <v>6.0698455273639996E-3</v>
      </c>
      <c r="U190" s="18">
        <v>8307.6972282798306</v>
      </c>
      <c r="V190" s="19">
        <v>1.54864547150633E-2</v>
      </c>
      <c r="W190" s="18">
        <v>23616.852743062798</v>
      </c>
      <c r="X190" s="19">
        <v>1.9554363049645298E-3</v>
      </c>
      <c r="Y190" s="18">
        <v>6573.7707383471597</v>
      </c>
      <c r="Z190" s="19">
        <v>1.7117412594210801E-2</v>
      </c>
      <c r="AA190" s="18">
        <v>7361.34401739024</v>
      </c>
      <c r="AB190" s="19">
        <v>1.0348153063060901E-2</v>
      </c>
      <c r="AC190" s="18">
        <v>3479.11063398239</v>
      </c>
      <c r="AD190" s="19">
        <v>-2.4536744120371198E-2</v>
      </c>
      <c r="AE190" s="18">
        <v>10382.54784895</v>
      </c>
      <c r="AF190" s="19">
        <v>3.1136331549497199E-3</v>
      </c>
      <c r="AG190" s="18">
        <v>16630.8838376163</v>
      </c>
      <c r="AH190" s="19">
        <v>2.7055599445866599E-3</v>
      </c>
      <c r="AI190" s="18">
        <v>6613.4197212280096</v>
      </c>
      <c r="AJ190" s="19">
        <v>-1.27284807993949E-2</v>
      </c>
      <c r="AK190" s="18">
        <v>6420.42071950022</v>
      </c>
      <c r="AL190" s="19">
        <v>1.8581622274569401E-2</v>
      </c>
      <c r="AM190" s="18">
        <v>36544.224768384098</v>
      </c>
      <c r="AN190" s="19">
        <v>4.2346337775156498E-3</v>
      </c>
      <c r="AO190" s="18">
        <v>12542.4566821316</v>
      </c>
      <c r="AP190" s="19">
        <v>3.78185408613363E-3</v>
      </c>
      <c r="AQ190" s="18">
        <v>7932.4141948555698</v>
      </c>
      <c r="AR190" s="19">
        <v>5.8071560698127501E-3</v>
      </c>
      <c r="AS190" s="18">
        <v>15843.8695214485</v>
      </c>
      <c r="AT190" s="19">
        <v>1.03078445834022E-2</v>
      </c>
      <c r="AU190" s="18">
        <v>1945.12332836375</v>
      </c>
      <c r="AV190" s="19">
        <v>-3.0801732632983501E-2</v>
      </c>
      <c r="AW190" s="18">
        <v>2633.6892387356902</v>
      </c>
      <c r="AX190" s="19">
        <v>7.3301837255581601E-3</v>
      </c>
      <c r="AY190" s="18">
        <v>604.15201959841897</v>
      </c>
      <c r="AZ190" s="19">
        <v>-1.1823044437100199E-2</v>
      </c>
      <c r="BA190" s="18">
        <v>5004.9829311050598</v>
      </c>
      <c r="BB190" s="19">
        <v>-2.7087816864480598E-3</v>
      </c>
      <c r="BC190" s="18">
        <v>9604.9388338511108</v>
      </c>
      <c r="BD190" s="19">
        <v>4.1355895071777402E-3</v>
      </c>
      <c r="BE190" s="18">
        <v>-4600.4990466604604</v>
      </c>
      <c r="BF190" s="19">
        <v>1.16179255841948E-2</v>
      </c>
      <c r="BG190" s="18"/>
      <c r="BH190" s="19"/>
    </row>
    <row r="191" spans="1:60" x14ac:dyDescent="0.15">
      <c r="A191" s="17">
        <v>2024</v>
      </c>
      <c r="B191" s="17">
        <v>4</v>
      </c>
      <c r="C191" s="18">
        <v>201619.04833220999</v>
      </c>
      <c r="D191" s="19">
        <v>6.57113795707565E-3</v>
      </c>
      <c r="E191" s="18">
        <v>196583.83841157399</v>
      </c>
      <c r="F191" s="19">
        <v>6.6426575820266497E-3</v>
      </c>
      <c r="G191" s="18">
        <v>1239.1801617997701</v>
      </c>
      <c r="H191" s="19">
        <v>2.0622466413863699E-2</v>
      </c>
      <c r="I191" s="18">
        <v>184.84339441627799</v>
      </c>
      <c r="J191" s="19">
        <v>1.81346528598589E-2</v>
      </c>
      <c r="K191" s="18">
        <v>44374.189511240198</v>
      </c>
      <c r="L191" s="19">
        <v>2.5683850277340398E-2</v>
      </c>
      <c r="M191" s="18">
        <v>20926.572657337401</v>
      </c>
      <c r="N191" s="19">
        <v>5.16313594992426E-2</v>
      </c>
      <c r="O191" s="18">
        <v>24007.717625280799</v>
      </c>
      <c r="P191" s="19">
        <v>8.2930570596830792E-3</v>
      </c>
      <c r="Q191" s="18">
        <v>2118.7955425577702</v>
      </c>
      <c r="R191" s="19">
        <v>-0.101375179977781</v>
      </c>
      <c r="S191" s="18">
        <v>735.329738159013</v>
      </c>
      <c r="T191" s="19">
        <v>9.3530529637371202E-3</v>
      </c>
      <c r="U191" s="18">
        <v>8286.2419408116693</v>
      </c>
      <c r="V191" s="19">
        <v>-2.5825793693011702E-3</v>
      </c>
      <c r="W191" s="18">
        <v>23715.403762325099</v>
      </c>
      <c r="X191" s="19">
        <v>4.1729107741199601E-3</v>
      </c>
      <c r="Y191" s="18">
        <v>6625.0301176901403</v>
      </c>
      <c r="Z191" s="19">
        <v>7.7975611537484104E-3</v>
      </c>
      <c r="AA191" s="18">
        <v>7360.8256086936199</v>
      </c>
      <c r="AB191" s="19">
        <v>-7.0423104177819203E-5</v>
      </c>
      <c r="AC191" s="18">
        <v>3550.7708026453602</v>
      </c>
      <c r="AD191" s="19">
        <v>2.0597266428676202E-2</v>
      </c>
      <c r="AE191" s="18">
        <v>10371.644466323</v>
      </c>
      <c r="AF191" s="19">
        <v>-1.0501644476480501E-3</v>
      </c>
      <c r="AG191" s="18">
        <v>16926.762775818701</v>
      </c>
      <c r="AH191" s="19">
        <v>1.7790932886750498E-2</v>
      </c>
      <c r="AI191" s="18">
        <v>6795.53858334707</v>
      </c>
      <c r="AJ191" s="19">
        <v>2.7537774675707699E-2</v>
      </c>
      <c r="AK191" s="18">
        <v>6567.8916137482702</v>
      </c>
      <c r="AL191" s="19">
        <v>2.2969039053803299E-2</v>
      </c>
      <c r="AM191" s="18">
        <v>36453.902574350497</v>
      </c>
      <c r="AN191" s="19">
        <v>-2.4715859922073099E-3</v>
      </c>
      <c r="AO191" s="18">
        <v>12578.6440460021</v>
      </c>
      <c r="AP191" s="19">
        <v>2.8851894638835E-3</v>
      </c>
      <c r="AQ191" s="18">
        <v>8030.7616577331801</v>
      </c>
      <c r="AR191" s="19">
        <v>1.2398175443408601E-2</v>
      </c>
      <c r="AS191" s="18">
        <v>16047.521637907699</v>
      </c>
      <c r="AT191" s="19">
        <v>1.2853685533291E-2</v>
      </c>
      <c r="AU191" s="18">
        <v>1819.29215445511</v>
      </c>
      <c r="AV191" s="19">
        <v>-6.4690589061252399E-2</v>
      </c>
      <c r="AW191" s="18">
        <v>2626.6420926753099</v>
      </c>
      <c r="AX191" s="19">
        <v>-2.6757697744808099E-3</v>
      </c>
      <c r="AY191" s="18">
        <v>596.85384334805894</v>
      </c>
      <c r="AZ191" s="19">
        <v>-1.20800328619458E-2</v>
      </c>
      <c r="BA191" s="18">
        <v>5023.8362411785802</v>
      </c>
      <c r="BB191" s="19">
        <v>3.7669079661291102E-3</v>
      </c>
      <c r="BC191" s="18">
        <v>9672.3853477578396</v>
      </c>
      <c r="BD191" s="19">
        <v>7.0220659468467296E-3</v>
      </c>
      <c r="BE191" s="18">
        <v>-4648.94340847288</v>
      </c>
      <c r="BF191" s="19">
        <v>1.0530240593698E-2</v>
      </c>
      <c r="BG191" s="18"/>
      <c r="BH191" s="19"/>
    </row>
    <row r="192" spans="1:60" x14ac:dyDescent="0.15">
      <c r="A192" s="17">
        <v>2025</v>
      </c>
      <c r="B192" s="17">
        <v>1</v>
      </c>
      <c r="C192" s="18">
        <v>203645.25437554999</v>
      </c>
      <c r="D192" s="19">
        <v>1.0049675663589899E-2</v>
      </c>
      <c r="E192" s="18">
        <v>198572.80301688699</v>
      </c>
      <c r="F192" s="19">
        <v>1.0117640500783899E-2</v>
      </c>
      <c r="G192" s="18">
        <v>1286.08708711329</v>
      </c>
      <c r="H192" s="19">
        <v>3.78531925861334E-2</v>
      </c>
      <c r="I192" s="18">
        <v>185.741502081493</v>
      </c>
      <c r="J192" s="19">
        <v>4.8587490402420804E-3</v>
      </c>
      <c r="K192" s="18">
        <v>45325.025083163397</v>
      </c>
      <c r="L192" s="19">
        <v>2.14276718605164E-2</v>
      </c>
      <c r="M192" s="18">
        <v>22251.023854443902</v>
      </c>
      <c r="N192" s="19">
        <v>6.3290402054544795E-2</v>
      </c>
      <c r="O192" s="18">
        <v>23880.039791644202</v>
      </c>
      <c r="P192" s="19">
        <v>-5.3181995735481803E-3</v>
      </c>
      <c r="Q192" s="18">
        <v>2055.7976864469401</v>
      </c>
      <c r="R192" s="19">
        <v>-2.97328623009963E-2</v>
      </c>
      <c r="S192" s="18">
        <v>737.29200705249298</v>
      </c>
      <c r="T192" s="19">
        <v>2.6685564198623002E-3</v>
      </c>
      <c r="U192" s="18">
        <v>8349.0770087823894</v>
      </c>
      <c r="V192" s="19">
        <v>7.5830597778272502E-3</v>
      </c>
      <c r="W192" s="18">
        <v>24419.716776228801</v>
      </c>
      <c r="X192" s="19">
        <v>2.9698546183837E-2</v>
      </c>
      <c r="Y192" s="18">
        <v>6656.13610179232</v>
      </c>
      <c r="Z192" s="19">
        <v>4.6952215385591698E-3</v>
      </c>
      <c r="AA192" s="18">
        <v>7324.60666666005</v>
      </c>
      <c r="AB192" s="19">
        <v>-4.92049994918919E-3</v>
      </c>
      <c r="AC192" s="18">
        <v>3498.9826576422201</v>
      </c>
      <c r="AD192" s="19">
        <v>-1.4585043046022501E-2</v>
      </c>
      <c r="AE192" s="18">
        <v>10310.219704445901</v>
      </c>
      <c r="AF192" s="19">
        <v>-5.9223744196584801E-3</v>
      </c>
      <c r="AG192" s="18">
        <v>17381.537793858999</v>
      </c>
      <c r="AH192" s="19">
        <v>2.6867217557395399E-2</v>
      </c>
      <c r="AI192" s="18">
        <v>6994.4570407218198</v>
      </c>
      <c r="AJ192" s="19">
        <v>2.92719193534141E-2</v>
      </c>
      <c r="AK192" s="18">
        <v>6749.2665335556503</v>
      </c>
      <c r="AL192" s="19">
        <v>2.7615394783267799E-2</v>
      </c>
      <c r="AM192" s="18">
        <v>36329.2112563095</v>
      </c>
      <c r="AN192" s="19">
        <v>-3.4205204171674501E-3</v>
      </c>
      <c r="AO192" s="18">
        <v>12491.523349474401</v>
      </c>
      <c r="AP192" s="19">
        <v>-6.9260801250997702E-3</v>
      </c>
      <c r="AQ192" s="18">
        <v>8034.3070636796501</v>
      </c>
      <c r="AR192" s="19">
        <v>4.4147816827000397E-4</v>
      </c>
      <c r="AS192" s="18">
        <v>16375.0968645332</v>
      </c>
      <c r="AT192" s="19">
        <v>2.0412823488686001E-2</v>
      </c>
      <c r="AU192" s="18">
        <v>1716.70348202997</v>
      </c>
      <c r="AV192" s="19">
        <v>-5.6389333716368097E-2</v>
      </c>
      <c r="AW192" s="18">
        <v>2598.5892138425602</v>
      </c>
      <c r="AX192" s="19">
        <v>-1.0680129931284201E-2</v>
      </c>
      <c r="AY192" s="18">
        <v>589.54406715883397</v>
      </c>
      <c r="AZ192" s="19">
        <v>-1.2247179557763201E-2</v>
      </c>
      <c r="BA192" s="18">
        <v>5062.1802101591002</v>
      </c>
      <c r="BB192" s="19">
        <v>7.6324082115244397E-3</v>
      </c>
      <c r="BC192" s="18">
        <v>9775.4782820766704</v>
      </c>
      <c r="BD192" s="19">
        <v>1.06584808826633E-2</v>
      </c>
      <c r="BE192" s="18">
        <v>-4716.1538313012497</v>
      </c>
      <c r="BF192" s="19">
        <v>1.4457139380505701E-2</v>
      </c>
      <c r="BG192" s="18"/>
      <c r="BH192" s="19"/>
    </row>
    <row r="193" spans="1:60" x14ac:dyDescent="0.15">
      <c r="A193" s="17">
        <v>2025</v>
      </c>
      <c r="B193" s="17">
        <v>2</v>
      </c>
      <c r="C193" s="18">
        <v>203621.36487659</v>
      </c>
      <c r="D193" s="19">
        <v>-1.17309382105524E-4</v>
      </c>
      <c r="E193" s="18">
        <v>198612.17083213801</v>
      </c>
      <c r="F193" s="19">
        <v>1.98253812472071E-4</v>
      </c>
      <c r="G193" s="18">
        <v>1312.3289242767401</v>
      </c>
      <c r="H193" s="19">
        <v>2.0404401402046801E-2</v>
      </c>
      <c r="I193" s="18">
        <v>185.71089325539899</v>
      </c>
      <c r="J193" s="19">
        <v>-1.64792605588771E-4</v>
      </c>
      <c r="K193" s="18">
        <v>44932.867098155497</v>
      </c>
      <c r="L193" s="19">
        <v>-8.6521294646486595E-3</v>
      </c>
      <c r="M193" s="18">
        <v>21770.771842816401</v>
      </c>
      <c r="N193" s="19">
        <v>-2.15833668944455E-2</v>
      </c>
      <c r="O193" s="18">
        <v>23894.1736127439</v>
      </c>
      <c r="P193" s="19">
        <v>5.9186756902529503E-4</v>
      </c>
      <c r="Q193" s="18">
        <v>2065.5207505923099</v>
      </c>
      <c r="R193" s="19">
        <v>4.7295822003656802E-3</v>
      </c>
      <c r="S193" s="18">
        <v>733.11606788500706</v>
      </c>
      <c r="T193" s="19">
        <v>-5.6638877507718703E-3</v>
      </c>
      <c r="U193" s="18">
        <v>8348.2814035318406</v>
      </c>
      <c r="V193" s="19">
        <v>-9.5292599375240705E-5</v>
      </c>
      <c r="W193" s="18">
        <v>24746.400116089899</v>
      </c>
      <c r="X193" s="19">
        <v>1.33778513016594E-2</v>
      </c>
      <c r="Y193" s="18">
        <v>6668.6855059380396</v>
      </c>
      <c r="Z193" s="19">
        <v>1.8853887531447E-3</v>
      </c>
      <c r="AA193" s="18">
        <v>7354.6984253487999</v>
      </c>
      <c r="AB193" s="19">
        <v>4.1083105289088104E-3</v>
      </c>
      <c r="AC193" s="18">
        <v>3520.3970175733298</v>
      </c>
      <c r="AD193" s="19">
        <v>6.1201674962130196E-3</v>
      </c>
      <c r="AE193" s="18">
        <v>10301.827704113301</v>
      </c>
      <c r="AF193" s="19">
        <v>-8.1394970942649802E-4</v>
      </c>
      <c r="AG193" s="18">
        <v>17466.599019787802</v>
      </c>
      <c r="AH193" s="19">
        <v>4.8937687181382899E-3</v>
      </c>
      <c r="AI193" s="18">
        <v>7032.2485503780999</v>
      </c>
      <c r="AJ193" s="19">
        <v>5.4030655183472404E-3</v>
      </c>
      <c r="AK193" s="18">
        <v>6864.6243604025703</v>
      </c>
      <c r="AL193" s="19">
        <v>1.7091905657213202E-2</v>
      </c>
      <c r="AM193" s="18">
        <v>36035.451928782</v>
      </c>
      <c r="AN193" s="19">
        <v>-8.0860364805329706E-3</v>
      </c>
      <c r="AO193" s="18">
        <v>12540.652280963601</v>
      </c>
      <c r="AP193" s="19">
        <v>3.9329815999789002E-3</v>
      </c>
      <c r="AQ193" s="18">
        <v>8068.6463275833703</v>
      </c>
      <c r="AR193" s="19">
        <v>4.2740790999833403E-3</v>
      </c>
      <c r="AS193" s="18">
        <v>16508.202874353701</v>
      </c>
      <c r="AT193" s="19">
        <v>8.1285632031136094E-3</v>
      </c>
      <c r="AU193" s="18">
        <v>1621.74532175492</v>
      </c>
      <c r="AV193" s="19">
        <v>-5.5314246909295803E-2</v>
      </c>
      <c r="AW193" s="18">
        <v>2576.4363694711201</v>
      </c>
      <c r="AX193" s="19">
        <v>-8.5249504821426295E-3</v>
      </c>
      <c r="AY193" s="18">
        <v>586.39377461206095</v>
      </c>
      <c r="AZ193" s="19">
        <v>-5.3436082597786401E-3</v>
      </c>
      <c r="BA193" s="18">
        <v>4999.0581691412299</v>
      </c>
      <c r="BB193" s="19">
        <v>-1.24693389799111E-2</v>
      </c>
      <c r="BC193" s="18">
        <v>9760.9629838230994</v>
      </c>
      <c r="BD193" s="19">
        <v>-1.48486834451644E-3</v>
      </c>
      <c r="BE193" s="18">
        <v>-4767.2265703749299</v>
      </c>
      <c r="BF193" s="19">
        <v>1.0829320013844301E-2</v>
      </c>
      <c r="BG193" s="18"/>
      <c r="BH193" s="19"/>
    </row>
    <row r="194" spans="1:60" x14ac:dyDescent="0.15">
      <c r="A194" s="17">
        <v>2025</v>
      </c>
      <c r="B194" s="17">
        <v>3</v>
      </c>
      <c r="C194" s="18">
        <v>202792.2877929</v>
      </c>
      <c r="D194" s="19">
        <v>-4.0716605754648203E-3</v>
      </c>
      <c r="E194" s="18">
        <v>197821.99501179799</v>
      </c>
      <c r="F194" s="19">
        <v>-3.9784863990445203E-3</v>
      </c>
      <c r="G194" s="18">
        <v>1320.6870126388001</v>
      </c>
      <c r="H194" s="19">
        <v>6.3688974672801999E-3</v>
      </c>
      <c r="I194" s="18">
        <v>185.735466703112</v>
      </c>
      <c r="J194" s="19">
        <v>1.3232098172388801E-4</v>
      </c>
      <c r="K194" s="18">
        <v>43733.020954670501</v>
      </c>
      <c r="L194" s="19">
        <v>-2.6703084422898999E-2</v>
      </c>
      <c r="M194" s="18">
        <v>20169.730083555402</v>
      </c>
      <c r="N194" s="19">
        <v>-7.3540881821758303E-2</v>
      </c>
      <c r="O194" s="18">
        <v>24038.428572710902</v>
      </c>
      <c r="P194" s="19">
        <v>6.0372441543701198E-3</v>
      </c>
      <c r="Q194" s="18">
        <v>1848.94888890214</v>
      </c>
      <c r="R194" s="19">
        <v>-0.104850973599787</v>
      </c>
      <c r="S194" s="18">
        <v>728.03010913689104</v>
      </c>
      <c r="T194" s="19">
        <v>-6.9374536596760201E-3</v>
      </c>
      <c r="U194" s="18">
        <v>8348.9725723806405</v>
      </c>
      <c r="V194" s="19">
        <v>8.2791752625155395E-5</v>
      </c>
      <c r="W194" s="18">
        <v>25119.027650443699</v>
      </c>
      <c r="X194" s="19">
        <v>1.5057848115514401E-2</v>
      </c>
      <c r="Y194" s="18">
        <v>6696.8830167428196</v>
      </c>
      <c r="Z194" s="19">
        <v>4.2283461680223703E-3</v>
      </c>
      <c r="AA194" s="18">
        <v>7348.6213815471201</v>
      </c>
      <c r="AB194" s="19">
        <v>-8.2628048768573802E-4</v>
      </c>
      <c r="AC194" s="18">
        <v>3547.8207526357201</v>
      </c>
      <c r="AD194" s="19">
        <v>7.7899552026334798E-3</v>
      </c>
      <c r="AE194" s="18">
        <v>10315.390663153799</v>
      </c>
      <c r="AF194" s="19">
        <v>1.31655852048729E-3</v>
      </c>
      <c r="AG194" s="18">
        <v>17911.349211146298</v>
      </c>
      <c r="AH194" s="19">
        <v>2.5462895830761698E-2</v>
      </c>
      <c r="AI194" s="18">
        <v>7366.1636978912502</v>
      </c>
      <c r="AJ194" s="19">
        <v>4.7483410906343997E-2</v>
      </c>
      <c r="AK194" s="18">
        <v>6916.5449933918298</v>
      </c>
      <c r="AL194" s="19">
        <v>7.5635067941606203E-3</v>
      </c>
      <c r="AM194" s="18">
        <v>35809.985653994401</v>
      </c>
      <c r="AN194" s="19">
        <v>-6.2567905415232801E-3</v>
      </c>
      <c r="AO194" s="18">
        <v>12452.4793326054</v>
      </c>
      <c r="AP194" s="19">
        <v>-7.0309698716399796E-3</v>
      </c>
      <c r="AQ194" s="18">
        <v>7867.5214247932799</v>
      </c>
      <c r="AR194" s="19">
        <v>-2.49267218594681E-2</v>
      </c>
      <c r="AS194" s="18">
        <v>16668.415540599799</v>
      </c>
      <c r="AT194" s="19">
        <v>9.7050337620343506E-3</v>
      </c>
      <c r="AU194" s="18">
        <v>1634.32542652448</v>
      </c>
      <c r="AV194" s="19">
        <v>7.7571395463929002E-3</v>
      </c>
      <c r="AW194" s="18">
        <v>2567.8680402271498</v>
      </c>
      <c r="AX194" s="19">
        <v>-3.3256514096358099E-3</v>
      </c>
      <c r="AY194" s="18">
        <v>585.96511297613495</v>
      </c>
      <c r="AZ194" s="19">
        <v>-7.3101327893399003E-4</v>
      </c>
      <c r="BA194" s="18">
        <v>4960.1991437695297</v>
      </c>
      <c r="BB194" s="19">
        <v>-7.7732692953206301E-3</v>
      </c>
      <c r="BC194" s="18">
        <v>9753.6233733283498</v>
      </c>
      <c r="BD194" s="19">
        <v>-7.5193508129478602E-4</v>
      </c>
      <c r="BE194" s="18">
        <v>-4800.3012836347398</v>
      </c>
      <c r="BF194" s="19">
        <v>6.9379360874830499E-3</v>
      </c>
      <c r="BG194" s="18"/>
      <c r="BH194" s="19"/>
    </row>
    <row r="195" spans="1:60" x14ac:dyDescent="0.15">
      <c r="A195" s="17">
        <v>2025</v>
      </c>
      <c r="B195" s="17">
        <v>4</v>
      </c>
      <c r="C195" s="18">
        <v>203857.82407021901</v>
      </c>
      <c r="D195" s="19">
        <v>5.2543234701665203E-3</v>
      </c>
      <c r="E195" s="18">
        <v>198865.451301016</v>
      </c>
      <c r="F195" s="19">
        <v>5.2747233145431496E-3</v>
      </c>
      <c r="G195" s="18">
        <v>1313.40520642207</v>
      </c>
      <c r="H195" s="19">
        <v>-5.51365020405603E-3</v>
      </c>
      <c r="I195" s="18">
        <v>186.22445987675701</v>
      </c>
      <c r="J195" s="19">
        <v>2.63273989790336E-3</v>
      </c>
      <c r="K195" s="18">
        <v>43998.393533992101</v>
      </c>
      <c r="L195" s="19">
        <v>6.0680139063940004E-3</v>
      </c>
      <c r="M195" s="18">
        <v>20899.859537315599</v>
      </c>
      <c r="N195" s="19">
        <v>3.6199267453533003E-2</v>
      </c>
      <c r="O195" s="18">
        <v>23718.040656149999</v>
      </c>
      <c r="P195" s="19">
        <v>-1.3328155606839301E-2</v>
      </c>
      <c r="Q195" s="18">
        <v>1828.0705481699199</v>
      </c>
      <c r="R195" s="19">
        <v>-1.1292005342893501E-2</v>
      </c>
      <c r="S195" s="18">
        <v>726.40758527522905</v>
      </c>
      <c r="T195" s="19">
        <v>-2.2286493941652301E-3</v>
      </c>
      <c r="U195" s="18">
        <v>8457.9906896129105</v>
      </c>
      <c r="V195" s="19">
        <v>1.3057668627743499E-2</v>
      </c>
      <c r="W195" s="18">
        <v>25519.3402998237</v>
      </c>
      <c r="X195" s="19">
        <v>1.5936629990250601E-2</v>
      </c>
      <c r="Y195" s="18">
        <v>6840.3448425091401</v>
      </c>
      <c r="Z195" s="19">
        <v>2.1422178856589601E-2</v>
      </c>
      <c r="AA195" s="18">
        <v>7293.2472745119103</v>
      </c>
      <c r="AB195" s="19">
        <v>-7.5353054893077002E-3</v>
      </c>
      <c r="AC195" s="18">
        <v>3619.2024971187302</v>
      </c>
      <c r="AD195" s="19">
        <v>2.0119884701047801E-2</v>
      </c>
      <c r="AE195" s="18">
        <v>10259.642351049601</v>
      </c>
      <c r="AF195" s="19">
        <v>-5.4043820466539404E-3</v>
      </c>
      <c r="AG195" s="18">
        <v>18118.959619915899</v>
      </c>
      <c r="AH195" s="19">
        <v>1.15909977703057E-2</v>
      </c>
      <c r="AI195" s="18">
        <v>7475.7837276384498</v>
      </c>
      <c r="AJ195" s="19">
        <v>1.48815630826373E-2</v>
      </c>
      <c r="AK195" s="18">
        <v>6905.67500762296</v>
      </c>
      <c r="AL195" s="19">
        <v>-1.57159185391753E-3</v>
      </c>
      <c r="AM195" s="18">
        <v>35788.267319687198</v>
      </c>
      <c r="AN195" s="19">
        <v>-6.0648821580444601E-4</v>
      </c>
      <c r="AO195" s="18">
        <v>12496.6415021905</v>
      </c>
      <c r="AP195" s="19">
        <v>3.5464559631448499E-3</v>
      </c>
      <c r="AQ195" s="18">
        <v>7882.99510200038</v>
      </c>
      <c r="AR195" s="19">
        <v>1.96677916355448E-3</v>
      </c>
      <c r="AS195" s="18">
        <v>16662.3521312269</v>
      </c>
      <c r="AT195" s="19">
        <v>-3.6376639148205702E-4</v>
      </c>
      <c r="AU195" s="18">
        <v>1696.9285842798699</v>
      </c>
      <c r="AV195" s="19">
        <v>3.8305197202077597E-2</v>
      </c>
      <c r="AW195" s="18">
        <v>2534.3024191583499</v>
      </c>
      <c r="AX195" s="19">
        <v>-1.30713964047121E-2</v>
      </c>
      <c r="AY195" s="18">
        <v>587.774404903799</v>
      </c>
      <c r="AZ195" s="19">
        <v>3.08771271121411E-3</v>
      </c>
      <c r="BA195" s="18">
        <v>4982.1200649717402</v>
      </c>
      <c r="BB195" s="19">
        <v>4.4193631277387197E-3</v>
      </c>
      <c r="BC195" s="18">
        <v>9781.6813402657299</v>
      </c>
      <c r="BD195" s="19">
        <v>2.87667114706425E-3</v>
      </c>
      <c r="BE195" s="18">
        <v>-4806.1181740311704</v>
      </c>
      <c r="BF195" s="19">
        <v>1.2117761058585399E-3</v>
      </c>
      <c r="BG195" s="18"/>
      <c r="BH195" s="19"/>
    </row>
    <row r="196" spans="1:60" x14ac:dyDescent="0.15">
      <c r="A196" s="17">
        <v>2026</v>
      </c>
      <c r="B196" s="17">
        <v>1</v>
      </c>
      <c r="C196" s="18">
        <v>204836.91152120699</v>
      </c>
      <c r="D196" s="19">
        <v>4.80279555348684E-3</v>
      </c>
      <c r="E196" s="18">
        <v>199795.58241408301</v>
      </c>
      <c r="F196" s="19">
        <v>4.6771880534381997E-3</v>
      </c>
      <c r="G196" s="18">
        <v>1289.45898377149</v>
      </c>
      <c r="H196" s="19">
        <v>-1.8232166686634198E-2</v>
      </c>
      <c r="I196" s="18">
        <v>183.15873737735001</v>
      </c>
      <c r="J196" s="19">
        <v>-1.6462512504723099E-2</v>
      </c>
      <c r="K196" s="18">
        <v>44785.349702379499</v>
      </c>
      <c r="L196" s="19">
        <v>1.7886020492532E-2</v>
      </c>
      <c r="M196" s="18">
        <v>20531.3391357777</v>
      </c>
      <c r="N196" s="19">
        <v>-1.7632673601462399E-2</v>
      </c>
      <c r="O196" s="18">
        <v>24688.7307723575</v>
      </c>
      <c r="P196" s="19">
        <v>4.0926235445837997E-2</v>
      </c>
      <c r="Q196" s="18">
        <v>1837.61150061937</v>
      </c>
      <c r="R196" s="19">
        <v>5.2191379916926E-3</v>
      </c>
      <c r="S196" s="18">
        <v>725.62681152106597</v>
      </c>
      <c r="T196" s="19">
        <v>-1.0748425126462201E-3</v>
      </c>
      <c r="U196" s="18">
        <v>8546.3749983382895</v>
      </c>
      <c r="V196" s="19">
        <v>1.04497997182618E-2</v>
      </c>
      <c r="W196" s="18">
        <v>24965.4530734767</v>
      </c>
      <c r="X196" s="19">
        <v>-2.1704605990571401E-2</v>
      </c>
      <c r="Y196" s="18">
        <v>6776.3500191764097</v>
      </c>
      <c r="Z196" s="19">
        <v>-9.3554966607888295E-3</v>
      </c>
      <c r="AA196" s="18">
        <v>7423.8406913407398</v>
      </c>
      <c r="AB196" s="19">
        <v>1.79060728250948E-2</v>
      </c>
      <c r="AC196" s="18">
        <v>3632.48341380803</v>
      </c>
      <c r="AD196" s="19">
        <v>3.6695699397499798E-3</v>
      </c>
      <c r="AE196" s="18">
        <v>10258.92160525</v>
      </c>
      <c r="AF196" s="19">
        <v>-7.0250577453245797E-5</v>
      </c>
      <c r="AG196" s="18">
        <v>18221.624079634701</v>
      </c>
      <c r="AH196" s="19">
        <v>5.6661343627006904E-3</v>
      </c>
      <c r="AI196" s="18">
        <v>7561.2276436906805</v>
      </c>
      <c r="AJ196" s="19">
        <v>1.14294258856558E-2</v>
      </c>
      <c r="AK196" s="18">
        <v>6830.7473593380801</v>
      </c>
      <c r="AL196" s="19">
        <v>-1.08501555897388E-2</v>
      </c>
      <c r="AM196" s="18">
        <v>36015.670504774498</v>
      </c>
      <c r="AN196" s="19">
        <v>6.35412670459767E-3</v>
      </c>
      <c r="AO196" s="18">
        <v>12631.365955842401</v>
      </c>
      <c r="AP196" s="19">
        <v>1.07808528898186E-2</v>
      </c>
      <c r="AQ196" s="18">
        <v>7947.9918725654998</v>
      </c>
      <c r="AR196" s="19">
        <v>8.2451872320232801E-3</v>
      </c>
      <c r="AS196" s="18">
        <v>16731.893226673699</v>
      </c>
      <c r="AT196" s="19">
        <v>4.1735461415757201E-3</v>
      </c>
      <c r="AU196" s="18">
        <v>1769.2362845036901</v>
      </c>
      <c r="AV196" s="19">
        <v>4.26109271148261E-2</v>
      </c>
      <c r="AW196" s="18">
        <v>2565.4013184196101</v>
      </c>
      <c r="AX196" s="19">
        <v>1.22711871425292E-2</v>
      </c>
      <c r="AY196" s="18">
        <v>592.63366190399995</v>
      </c>
      <c r="AZ196" s="19">
        <v>8.2672143592161795E-3</v>
      </c>
      <c r="BA196" s="18">
        <v>5030.7957800895001</v>
      </c>
      <c r="BB196" s="19">
        <v>9.7700807051974703E-3</v>
      </c>
      <c r="BC196" s="18">
        <v>9829.7163172015698</v>
      </c>
      <c r="BD196" s="19">
        <v>4.9107076038255003E-3</v>
      </c>
      <c r="BE196" s="18">
        <v>-4804.4568902765895</v>
      </c>
      <c r="BF196" s="19">
        <v>-3.4566019694648502E-4</v>
      </c>
      <c r="BG196" s="18"/>
      <c r="BH196" s="19"/>
    </row>
    <row r="197" spans="1:60" x14ac:dyDescent="0.15">
      <c r="A197" s="17">
        <v>2026</v>
      </c>
      <c r="B197" s="17">
        <v>2</v>
      </c>
      <c r="C197" s="18">
        <v>207993.31105670001</v>
      </c>
      <c r="D197" s="19">
        <v>1.5409329851988399E-2</v>
      </c>
      <c r="E197" s="18">
        <v>202842.25072860901</v>
      </c>
      <c r="F197" s="19">
        <v>1.5248927317179899E-2</v>
      </c>
      <c r="G197" s="18">
        <v>1271.4297186495</v>
      </c>
      <c r="H197" s="19">
        <v>-1.39820384741948E-2</v>
      </c>
      <c r="I197" s="18">
        <v>172.96997090068899</v>
      </c>
      <c r="J197" s="19">
        <v>-5.5628066793615802E-2</v>
      </c>
      <c r="K197" s="18">
        <v>46779.036050250397</v>
      </c>
      <c r="L197" s="19">
        <v>4.4516484991630197E-2</v>
      </c>
      <c r="M197" s="18">
        <v>22687.655681804401</v>
      </c>
      <c r="N197" s="19">
        <v>0.105025616291593</v>
      </c>
      <c r="O197" s="18">
        <v>24867.2412307044</v>
      </c>
      <c r="P197" s="19">
        <v>7.2304429090692696E-3</v>
      </c>
      <c r="Q197" s="18">
        <v>2018.39456594484</v>
      </c>
      <c r="R197" s="19">
        <v>9.8379371953505601E-2</v>
      </c>
      <c r="S197" s="18">
        <v>724.26961158931294</v>
      </c>
      <c r="T197" s="19">
        <v>-1.8703828334403201E-3</v>
      </c>
      <c r="U197" s="18">
        <v>8578.9271504088993</v>
      </c>
      <c r="V197" s="19">
        <v>3.8088841265380099E-3</v>
      </c>
      <c r="W197" s="18">
        <v>25167.704222922301</v>
      </c>
      <c r="X197" s="19">
        <v>8.1012408967853205E-3</v>
      </c>
      <c r="Y197" s="18">
        <v>6857.2536873373601</v>
      </c>
      <c r="Z197" s="19">
        <v>1.19391217885738E-2</v>
      </c>
      <c r="AA197" s="18">
        <v>7563.3874460327397</v>
      </c>
      <c r="AB197" s="19">
        <v>1.8797110618869399E-2</v>
      </c>
      <c r="AC197" s="18">
        <v>3681.7624418341602</v>
      </c>
      <c r="AD197" s="19">
        <v>1.35662086821413E-2</v>
      </c>
      <c r="AE197" s="18">
        <v>10368.219083816501</v>
      </c>
      <c r="AF197" s="19">
        <v>1.06538954845468E-2</v>
      </c>
      <c r="AG197" s="18">
        <v>18359.021449187399</v>
      </c>
      <c r="AH197" s="19">
        <v>7.5403470597497097E-3</v>
      </c>
      <c r="AI197" s="18">
        <v>7701.97077958523</v>
      </c>
      <c r="AJ197" s="19">
        <v>1.8613794284052299E-2</v>
      </c>
      <c r="AK197" s="18">
        <v>6772.7209167845904</v>
      </c>
      <c r="AL197" s="19">
        <v>-8.49488928530839E-3</v>
      </c>
      <c r="AM197" s="18">
        <v>36199.740441643196</v>
      </c>
      <c r="AN197" s="19">
        <v>5.1108290999131202E-3</v>
      </c>
      <c r="AO197" s="18">
        <v>12677.9629895446</v>
      </c>
      <c r="AP197" s="19">
        <v>3.6889940379432099E-3</v>
      </c>
      <c r="AQ197" s="18">
        <v>7950.4585277432598</v>
      </c>
      <c r="AR197" s="19">
        <v>3.1034948416008802E-4</v>
      </c>
      <c r="AS197" s="18">
        <v>16854.185982680599</v>
      </c>
      <c r="AT197" s="19">
        <v>7.3089610571941402E-3</v>
      </c>
      <c r="AU197" s="18">
        <v>1832.3960474119301</v>
      </c>
      <c r="AV197" s="19">
        <v>3.5698885141258498E-2</v>
      </c>
      <c r="AW197" s="18">
        <v>2545.6344045761098</v>
      </c>
      <c r="AX197" s="19">
        <v>-7.7051936091145903E-3</v>
      </c>
      <c r="AY197" s="18">
        <v>598.00721697797803</v>
      </c>
      <c r="AZ197" s="19">
        <v>9.0672457867386792E-3</v>
      </c>
      <c r="BA197" s="18">
        <v>5138.3407424529796</v>
      </c>
      <c r="BB197" s="19">
        <v>2.1377326185474398E-2</v>
      </c>
      <c r="BC197" s="18">
        <v>9945.5741290356891</v>
      </c>
      <c r="BD197" s="19">
        <v>1.17864858044145E-2</v>
      </c>
      <c r="BE197" s="18">
        <v>-4810.0539128492901</v>
      </c>
      <c r="BF197" s="19">
        <v>1.1649646776990001E-3</v>
      </c>
      <c r="BG197" s="18"/>
      <c r="BH197" s="19"/>
    </row>
    <row r="198" spans="1:60" x14ac:dyDescent="0.15">
      <c r="A198" s="17"/>
      <c r="B198" s="17"/>
      <c r="C198" s="18"/>
      <c r="D198" s="19"/>
      <c r="E198" s="18"/>
      <c r="F198" s="19"/>
      <c r="G198" s="18"/>
      <c r="H198" s="19"/>
      <c r="I198" s="18"/>
      <c r="J198" s="19"/>
      <c r="K198" s="18"/>
      <c r="L198" s="19"/>
      <c r="M198" s="18"/>
      <c r="N198" s="19"/>
      <c r="O198" s="18"/>
      <c r="P198" s="19"/>
      <c r="Q198" s="18"/>
      <c r="R198" s="19"/>
      <c r="S198" s="18"/>
      <c r="T198" s="19"/>
      <c r="U198" s="18"/>
      <c r="V198" s="19"/>
      <c r="W198" s="18"/>
      <c r="X198" s="19"/>
      <c r="Y198" s="18"/>
      <c r="Z198" s="19"/>
      <c r="AA198" s="18"/>
      <c r="AB198" s="19"/>
      <c r="AC198" s="18"/>
      <c r="AD198" s="19"/>
      <c r="AE198" s="18"/>
      <c r="AF198" s="19"/>
      <c r="AG198" s="18"/>
      <c r="AH198" s="19"/>
      <c r="AI198" s="18"/>
      <c r="AJ198" s="19"/>
      <c r="AK198" s="18"/>
      <c r="AL198" s="19"/>
      <c r="AM198" s="18"/>
      <c r="AN198" s="19"/>
      <c r="AO198" s="18"/>
      <c r="AP198" s="19"/>
      <c r="AQ198" s="18"/>
      <c r="AR198" s="19"/>
      <c r="AS198" s="18"/>
      <c r="AT198" s="19"/>
      <c r="AU198" s="18"/>
      <c r="AV198" s="19"/>
      <c r="AW198" s="18"/>
      <c r="AX198" s="19"/>
      <c r="AY198" s="18"/>
      <c r="AZ198" s="19"/>
      <c r="BA198" s="18"/>
      <c r="BB198" s="19"/>
      <c r="BC198" s="18"/>
      <c r="BD198" s="19"/>
      <c r="BE198" s="18"/>
      <c r="BF198" s="19"/>
      <c r="BG198" s="18"/>
      <c r="BH198" s="19"/>
    </row>
  </sheetData>
  <sheetProtection password="DD0B" sheet="1"/>
  <mergeCells count="66">
    <mergeCell ref="AC6:AD10"/>
    <mergeCell ref="AC11:AD11"/>
    <mergeCell ref="C5:D10"/>
    <mergeCell ref="E6:F10"/>
    <mergeCell ref="C11:D11"/>
    <mergeCell ref="E11:F11"/>
    <mergeCell ref="M8:N10"/>
    <mergeCell ref="Y8:Z10"/>
    <mergeCell ref="AA6:AB10"/>
    <mergeCell ref="G11:H11"/>
    <mergeCell ref="I11:J11"/>
    <mergeCell ref="K11:L11"/>
    <mergeCell ref="M11:N11"/>
    <mergeCell ref="C4:BF4"/>
    <mergeCell ref="E5:AZ5"/>
    <mergeCell ref="BA5:BF5"/>
    <mergeCell ref="G6:H10"/>
    <mergeCell ref="I6:J10"/>
    <mergeCell ref="K6:L10"/>
    <mergeCell ref="M6:N7"/>
    <mergeCell ref="Q6:R10"/>
    <mergeCell ref="S6:T10"/>
    <mergeCell ref="U6:V10"/>
    <mergeCell ref="W6:X10"/>
    <mergeCell ref="Y6:Z7"/>
    <mergeCell ref="AY6:AZ10"/>
    <mergeCell ref="BA6:BB10"/>
    <mergeCell ref="BC6:BD10"/>
    <mergeCell ref="BE6:BF10"/>
    <mergeCell ref="AO6:AP10"/>
    <mergeCell ref="AQ6:AR10"/>
    <mergeCell ref="AS6:AT10"/>
    <mergeCell ref="AU6:AV10"/>
    <mergeCell ref="AW6:AX10"/>
    <mergeCell ref="AG6:AH10"/>
    <mergeCell ref="AM6:AN10"/>
    <mergeCell ref="O6:P6"/>
    <mergeCell ref="U11:V11"/>
    <mergeCell ref="W11:X11"/>
    <mergeCell ref="Y11:Z11"/>
    <mergeCell ref="AA11:AB11"/>
    <mergeCell ref="Q11:R11"/>
    <mergeCell ref="O11:P11"/>
    <mergeCell ref="O7:P7"/>
    <mergeCell ref="O8:P10"/>
    <mergeCell ref="AG11:AH11"/>
    <mergeCell ref="AI11:AJ11"/>
    <mergeCell ref="S11:T11"/>
    <mergeCell ref="AE11:AF11"/>
    <mergeCell ref="AE6:AF10"/>
    <mergeCell ref="BC11:BD11"/>
    <mergeCell ref="BE11:BF11"/>
    <mergeCell ref="AM11:AN11"/>
    <mergeCell ref="AO11:AP11"/>
    <mergeCell ref="AQ11:AR11"/>
    <mergeCell ref="AS11:AT11"/>
    <mergeCell ref="AU11:AV11"/>
    <mergeCell ref="AW11:AX11"/>
    <mergeCell ref="AY11:AZ11"/>
    <mergeCell ref="AK6:AL6"/>
    <mergeCell ref="AK7:AL7"/>
    <mergeCell ref="AK11:AL11"/>
    <mergeCell ref="AI6:AJ6"/>
    <mergeCell ref="AI7:AJ7"/>
    <mergeCell ref="AI8:AJ10"/>
    <mergeCell ref="AK8:AL10"/>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le05"/>
  <dimension ref="A1:BH198"/>
  <sheetViews>
    <sheetView showGridLines="0" zoomScaleNormal="100" workbookViewId="0">
      <pane xSplit="2" ySplit="11" topLeftCell="C12" activePane="bottomRight" state="frozen"/>
      <selection activeCell="AG1" sqref="AG1:AH1048576"/>
      <selection pane="topRight" activeCell="AG1" sqref="AG1:AH1048576"/>
      <selection pane="bottomLeft" activeCell="AG1" sqref="AG1:AH1048576"/>
      <selection pane="bottomRight" activeCell="AG1" sqref="AG1:AH1048576"/>
    </sheetView>
  </sheetViews>
  <sheetFormatPr baseColWidth="10" defaultRowHeight="11" x14ac:dyDescent="0.15"/>
  <cols>
    <col min="1" max="1" width="9.75" customWidth="1"/>
    <col min="2" max="2" width="2.75" customWidth="1"/>
    <col min="3" max="60" width="9.75" customWidth="1"/>
  </cols>
  <sheetData>
    <row r="1" spans="1:60" ht="11.25" customHeight="1" x14ac:dyDescent="0.15">
      <c r="A1" s="6" t="str">
        <f ca="1">INDIRECT("beschriftung!"&amp;ADDRESS(beschriftung!$C$1*12+ROW(beschriftung!$A1)-1,COLUMN(beschriftung!A$1)))</f>
        <v xml:space="preserve">ESA 2010, Quarterly aggregates of Gross Domestic Product, production approach, seasonally, calendar and sport event adjusted data. Background information on sport event adjustment can be found in the publication “Konjunkturtendenzen” (“Economic Trends”) from autumn 2022 and in the technical note from 5 September 2022 on the website www.seco.admin.ch. </v>
      </c>
      <c r="C1" s="12"/>
      <c r="E1" s="12"/>
    </row>
    <row r="2" spans="1:60" ht="11.25" customHeight="1" x14ac:dyDescent="0.15">
      <c r="A2" s="7" t="str">
        <f ca="1">INDIRECT("beschriftung!"&amp;ADDRESS(beschriftung!$C$1*12+ROW(beschriftung!$A4)-1,COLUMN(beschriftung!A$1)))</f>
        <v>Implicit chain price indexes, percentage change to previous quarter</v>
      </c>
      <c r="C2" s="12"/>
      <c r="E2" s="12"/>
    </row>
    <row r="3" spans="1:60" ht="11.25" customHeight="1" x14ac:dyDescent="0.15">
      <c r="C3" s="12"/>
      <c r="E3" s="12"/>
    </row>
    <row r="4" spans="1:60" ht="11.25" customHeight="1" x14ac:dyDescent="0.15">
      <c r="A4" s="5"/>
      <c r="C4" s="46" t="str">
        <f ca="1">INDIRECT("beschriftung!"&amp;ADDRESS(beschriftung!$C$1*12+ROW(beschriftung!$A5)-1,COLUMN(beschriftung!C$1)))</f>
        <v>Gross domestic product</v>
      </c>
      <c r="D4" s="47" t="e">
        <f ca="1">IF(INDIRECT("beschriftung.!"&amp;ADDRESS(#REF!*12+ROW($A5)-1,COLUMN(D$1)))="","",INDIRECT("beschriftung.!"&amp;ADDRESS(#REF!*12+ROW($A5)-1,COLUMN(D$1))))</f>
        <v>#REF!</v>
      </c>
      <c r="E4" s="47" t="e">
        <f ca="1">IF(INDIRECT("beschriftung.!"&amp;ADDRESS(#REF!*12+ROW($A5)-1,COLUMN(E$1)))="","",INDIRECT("beschriftung.!"&amp;ADDRESS(#REF!*12+ROW($A5)-1,COLUMN(E$1))))</f>
        <v>#REF!</v>
      </c>
      <c r="F4" s="47" t="e">
        <f ca="1">IF(INDIRECT("beschriftung.!"&amp;ADDRESS(#REF!*12+ROW($A5)-1,COLUMN(F$1)))="","",INDIRECT("beschriftung.!"&amp;ADDRESS(#REF!*12+ROW($A5)-1,COLUMN(F$1))))</f>
        <v>#REF!</v>
      </c>
      <c r="G4" s="47" t="e">
        <f ca="1">IF(INDIRECT("beschriftung.!"&amp;ADDRESS(#REF!*12+ROW($A5)-1,COLUMN(G$1)))="","",INDIRECT("beschriftung.!"&amp;ADDRESS(#REF!*12+ROW($A5)-1,COLUMN(G$1))))</f>
        <v>#REF!</v>
      </c>
      <c r="H4" s="47" t="e">
        <f ca="1">IF(INDIRECT("beschriftung.!"&amp;ADDRESS(#REF!*12+ROW($A5)-1,COLUMN(H$1)))="","",INDIRECT("beschriftung.!"&amp;ADDRESS(#REF!*12+ROW($A5)-1,COLUMN(H$1))))</f>
        <v>#REF!</v>
      </c>
      <c r="I4" s="47" t="e">
        <f ca="1">IF(INDIRECT("beschriftung.!"&amp;ADDRESS(#REF!*12+ROW($A5)-1,COLUMN(I$1)))="","",INDIRECT("beschriftung.!"&amp;ADDRESS(#REF!*12+ROW($A5)-1,COLUMN(I$1))))</f>
        <v>#REF!</v>
      </c>
      <c r="J4" s="47" t="e">
        <f ca="1">IF(INDIRECT("beschriftung.!"&amp;ADDRESS(#REF!*12+ROW($A5)-1,COLUMN(J$1)))="","",INDIRECT("beschriftung.!"&amp;ADDRESS(#REF!*12+ROW($A5)-1,COLUMN(J$1))))</f>
        <v>#REF!</v>
      </c>
      <c r="K4" s="47" t="e">
        <f ca="1">IF(INDIRECT("beschriftung.!"&amp;ADDRESS(#REF!*12+ROW($A5)-1,COLUMN(K$1)))="","",INDIRECT("beschriftung.!"&amp;ADDRESS(#REF!*12+ROW($A5)-1,COLUMN(K$1))))</f>
        <v>#REF!</v>
      </c>
      <c r="L4" s="47" t="e">
        <f ca="1">IF(INDIRECT("beschriftung.!"&amp;ADDRESS(#REF!*12+ROW($A5)-1,COLUMN(L$1)))="","",INDIRECT("beschriftung.!"&amp;ADDRESS(#REF!*12+ROW($A5)-1,COLUMN(L$1))))</f>
        <v>#REF!</v>
      </c>
      <c r="M4" s="47"/>
      <c r="N4" s="47"/>
      <c r="O4" s="47"/>
      <c r="P4" s="47"/>
      <c r="Q4" s="47" t="e">
        <f ca="1">IF(INDIRECT("beschriftung.!"&amp;ADDRESS(#REF!*12+ROW($A5)-1,COLUMN(Q$1)))="","",INDIRECT("beschriftung.!"&amp;ADDRESS(#REF!*12+ROW($A5)-1,COLUMN(Q$1))))</f>
        <v>#REF!</v>
      </c>
      <c r="R4" s="47" t="e">
        <f ca="1">IF(INDIRECT("beschriftung.!"&amp;ADDRESS(#REF!*12+ROW($A5)-1,COLUMN(R$1)))="","",INDIRECT("beschriftung.!"&amp;ADDRESS(#REF!*12+ROW($A5)-1,COLUMN(R$1))))</f>
        <v>#REF!</v>
      </c>
      <c r="S4" s="47"/>
      <c r="T4" s="47"/>
      <c r="U4" s="47" t="e">
        <f ca="1">IF(INDIRECT("beschriftung.!"&amp;ADDRESS(#REF!*12+ROW($A5)-1,COLUMN(U$1)))="","",INDIRECT("beschriftung.!"&amp;ADDRESS(#REF!*12+ROW($A5)-1,COLUMN(U$1))))</f>
        <v>#REF!</v>
      </c>
      <c r="V4" s="47" t="e">
        <f ca="1">IF(INDIRECT("beschriftung.!"&amp;ADDRESS(#REF!*12+ROW($A5)-1,COLUMN(V$1)))="","",INDIRECT("beschriftung.!"&amp;ADDRESS(#REF!*12+ROW($A5)-1,COLUMN(V$1))))</f>
        <v>#REF!</v>
      </c>
      <c r="W4" s="47" t="e">
        <f ca="1">IF(INDIRECT("beschriftung.!"&amp;ADDRESS(#REF!*12+ROW($A5)-1,COLUMN(W$1)))="","",INDIRECT("beschriftung.!"&amp;ADDRESS(#REF!*12+ROW($A5)-1,COLUMN(W$1))))</f>
        <v>#REF!</v>
      </c>
      <c r="X4" s="47" t="e">
        <f ca="1">IF(INDIRECT("beschriftung.!"&amp;ADDRESS(#REF!*12+ROW($A5)-1,COLUMN(X$1)))="","",INDIRECT("beschriftung.!"&amp;ADDRESS(#REF!*12+ROW($A5)-1,COLUMN(X$1))))</f>
        <v>#REF!</v>
      </c>
      <c r="Y4" s="47"/>
      <c r="Z4" s="47"/>
      <c r="AA4" s="47" t="e">
        <f ca="1">IF(INDIRECT("beschriftung.!"&amp;ADDRESS(#REF!*12+ROW($A5)-1,COLUMN(AA$1)))="","",INDIRECT("beschriftung.!"&amp;ADDRESS(#REF!*12+ROW($A5)-1,COLUMN(AA$1))))</f>
        <v>#REF!</v>
      </c>
      <c r="AB4" s="47" t="e">
        <f ca="1">IF(INDIRECT("beschriftung.!"&amp;ADDRESS(#REF!*12+ROW($A5)-1,COLUMN(AB$1)))="","",INDIRECT("beschriftung.!"&amp;ADDRESS(#REF!*12+ROW($A5)-1,COLUMN(AB$1))))</f>
        <v>#REF!</v>
      </c>
      <c r="AC4" s="47"/>
      <c r="AD4" s="47"/>
      <c r="AE4" s="47"/>
      <c r="AF4" s="47"/>
      <c r="AG4" s="47" t="e">
        <f ca="1">IF(INDIRECT("beschriftung.!"&amp;ADDRESS(#REF!*12+ROW($A5)-1,COLUMN(AG$1)))="","",INDIRECT("beschriftung.!"&amp;ADDRESS(#REF!*12+ROW($A5)-1,COLUMN(AG$1))))</f>
        <v>#REF!</v>
      </c>
      <c r="AH4" s="47" t="e">
        <f ca="1">IF(INDIRECT("beschriftung.!"&amp;ADDRESS(#REF!*12+ROW($A5)-1,COLUMN(AH$1)))="","",INDIRECT("beschriftung.!"&amp;ADDRESS(#REF!*12+ROW($A5)-1,COLUMN(AH$1))))</f>
        <v>#REF!</v>
      </c>
      <c r="AI4" s="47" t="e">
        <f ca="1">IF(INDIRECT("beschriftung.!"&amp;ADDRESS(#REF!*12+ROW($A5)-1,COLUMN(AI$1)))="","",INDIRECT("beschriftung.!"&amp;ADDRESS(#REF!*12+ROW($A5)-1,COLUMN(AI$1))))</f>
        <v>#REF!</v>
      </c>
      <c r="AJ4" s="47" t="e">
        <f ca="1">IF(INDIRECT("beschriftung.!"&amp;ADDRESS(#REF!*12+ROW($A5)-1,COLUMN(AJ$1)))="","",INDIRECT("beschriftung.!"&amp;ADDRESS(#REF!*12+ROW($A5)-1,COLUMN(AJ$1))))</f>
        <v>#REF!</v>
      </c>
      <c r="AK4" s="47"/>
      <c r="AL4" s="47"/>
      <c r="AM4" s="47" t="e">
        <f ca="1">IF(INDIRECT("beschriftung.!"&amp;ADDRESS(#REF!*12+ROW($A5)-1,COLUMN(AM$1)))="","",INDIRECT("beschriftung.!"&amp;ADDRESS(#REF!*12+ROW($A5)-1,COLUMN(AM$1))))</f>
        <v>#REF!</v>
      </c>
      <c r="AN4" s="47" t="e">
        <f ca="1">IF(INDIRECT("beschriftung.!"&amp;ADDRESS(#REF!*12+ROW($A5)-1,COLUMN(AN$1)))="","",INDIRECT("beschriftung.!"&amp;ADDRESS(#REF!*12+ROW($A5)-1,COLUMN(AN$1))))</f>
        <v>#REF!</v>
      </c>
      <c r="AO4" s="47" t="e">
        <f ca="1">IF(INDIRECT("beschriftung.!"&amp;ADDRESS(#REF!*12+ROW($A5)-1,COLUMN(AO$1)))="","",INDIRECT("beschriftung.!"&amp;ADDRESS(#REF!*12+ROW($A5)-1,COLUMN(AO$1))))</f>
        <v>#REF!</v>
      </c>
      <c r="AP4" s="47" t="e">
        <f ca="1">IF(INDIRECT("beschriftung.!"&amp;ADDRESS(#REF!*12+ROW($A5)-1,COLUMN(AP$1)))="","",INDIRECT("beschriftung.!"&amp;ADDRESS(#REF!*12+ROW($A5)-1,COLUMN(AP$1))))</f>
        <v>#REF!</v>
      </c>
      <c r="AQ4" s="47" t="e">
        <f ca="1">IF(INDIRECT("beschriftung.!"&amp;ADDRESS(#REF!*12+ROW($A5)-1,COLUMN(AQ$1)))="","",INDIRECT("beschriftung.!"&amp;ADDRESS(#REF!*12+ROW($A5)-1,COLUMN(AQ$1))))</f>
        <v>#REF!</v>
      </c>
      <c r="AR4" s="47" t="e">
        <f ca="1">IF(INDIRECT("beschriftung.!"&amp;ADDRESS(#REF!*12+ROW($A5)-1,COLUMN(AR$1)))="","",INDIRECT("beschriftung.!"&amp;ADDRESS(#REF!*12+ROW($A5)-1,COLUMN(AR$1))))</f>
        <v>#REF!</v>
      </c>
      <c r="AS4" s="47" t="e">
        <f ca="1">IF(INDIRECT("beschriftung.!"&amp;ADDRESS(#REF!*12+ROW($A5)-1,COLUMN(AS$1)))="","",INDIRECT("beschriftung.!"&amp;ADDRESS(#REF!*12+ROW($A5)-1,COLUMN(AS$1))))</f>
        <v>#REF!</v>
      </c>
      <c r="AT4" s="47" t="e">
        <f ca="1">IF(INDIRECT("beschriftung.!"&amp;ADDRESS(#REF!*12+ROW($A5)-1,COLUMN(AT$1)))="","",INDIRECT("beschriftung.!"&amp;ADDRESS(#REF!*12+ROW($A5)-1,COLUMN(AT$1))))</f>
        <v>#REF!</v>
      </c>
      <c r="AU4" s="47" t="e">
        <f ca="1">IF(INDIRECT("beschriftung.!"&amp;ADDRESS(#REF!*12+ROW($A5)-1,COLUMN(AU$1)))="","",INDIRECT("beschriftung.!"&amp;ADDRESS(#REF!*12+ROW($A5)-1,COLUMN(AU$1))))</f>
        <v>#REF!</v>
      </c>
      <c r="AV4" s="47" t="e">
        <f ca="1">IF(INDIRECT("beschriftung.!"&amp;ADDRESS(#REF!*12+ROW($A5)-1,COLUMN(AV$1)))="","",INDIRECT("beschriftung.!"&amp;ADDRESS(#REF!*12+ROW($A5)-1,COLUMN(AV$1))))</f>
        <v>#REF!</v>
      </c>
      <c r="AW4" s="47"/>
      <c r="AX4" s="47"/>
      <c r="AY4" s="47" t="e">
        <f ca="1">IF(INDIRECT("beschriftung.!"&amp;ADDRESS(#REF!*12+ROW($A5)-1,COLUMN(AY$1)))="","",INDIRECT("beschriftung.!"&amp;ADDRESS(#REF!*12+ROW($A5)-1,COLUMN(AY$1))))</f>
        <v>#REF!</v>
      </c>
      <c r="AZ4" s="47" t="e">
        <f ca="1">IF(INDIRECT("beschriftung.!"&amp;ADDRESS(#REF!*12+ROW($A5)-1,COLUMN(AZ$1)))="","",INDIRECT("beschriftung.!"&amp;ADDRESS(#REF!*12+ROW($A5)-1,COLUMN(AZ$1))))</f>
        <v>#REF!</v>
      </c>
      <c r="BA4" s="47" t="e">
        <f ca="1">IF(INDIRECT("beschriftung.!"&amp;ADDRESS(#REF!*12+ROW($A5)-1,COLUMN(BA$1)))="","",INDIRECT("beschriftung.!"&amp;ADDRESS(#REF!*12+ROW($A5)-1,COLUMN(BA$1))))</f>
        <v>#REF!</v>
      </c>
      <c r="BB4" s="47" t="e">
        <f ca="1">IF(INDIRECT("beschriftung.!"&amp;ADDRESS(#REF!*12+ROW($A5)-1,COLUMN(BB$1)))="","",INDIRECT("beschriftung.!"&amp;ADDRESS(#REF!*12+ROW($A5)-1,COLUMN(BB$1))))</f>
        <v>#REF!</v>
      </c>
      <c r="BC4" s="47" t="e">
        <f ca="1">IF(INDIRECT("beschriftung.!"&amp;ADDRESS(#REF!*12+ROW($A5)-1,COLUMN(BC$1)))="","",INDIRECT("beschriftung.!"&amp;ADDRESS(#REF!*12+ROW($A5)-1,COLUMN(BC$1))))</f>
        <v>#REF!</v>
      </c>
      <c r="BD4" s="47" t="e">
        <f ca="1">IF(INDIRECT("beschriftung.!"&amp;ADDRESS(#REF!*12+ROW($A5)-1,COLUMN(BD$1)))="","",INDIRECT("beschriftung.!"&amp;ADDRESS(#REF!*12+ROW($A5)-1,COLUMN(BD$1))))</f>
        <v>#REF!</v>
      </c>
      <c r="BE4" s="47" t="e">
        <f ca="1">IF(INDIRECT("beschriftung.!"&amp;ADDRESS(#REF!*12+ROW($A5)-1,COLUMN(BE$1)))="","",INDIRECT("beschriftung.!"&amp;ADDRESS(#REF!*12+ROW($A5)-1,COLUMN(BE$1))))</f>
        <v>#REF!</v>
      </c>
      <c r="BF4" s="48" t="e">
        <f ca="1">IF(INDIRECT("beschriftung.!"&amp;ADDRESS(#REF!*12+ROW($A5)-1,COLUMN(BF$1)))="","",INDIRECT("beschriftung.!"&amp;ADDRESS(#REF!*12+ROW($A5)-1,COLUMN(BF$1))))</f>
        <v>#REF!</v>
      </c>
    </row>
    <row r="5" spans="1:60" ht="11.25" customHeight="1" x14ac:dyDescent="0.15">
      <c r="A5" s="5"/>
      <c r="C5" s="65"/>
      <c r="D5" s="66"/>
      <c r="E5" s="49" t="str">
        <f ca="1">INDIRECT("beschriftung!"&amp;ADDRESS(beschriftung!$C$1*12+ROW(beschriftung!$A6)-1,COLUMN(beschriftung!D$1)))</f>
        <v>Gross value added before adjustments</v>
      </c>
      <c r="F5" s="47" t="e">
        <f ca="1">IF(INDIRECT("beschriftung.!"&amp;ADDRESS(#REF!*12+ROW($A6)-1,COLUMN(F$1)))="","",INDIRECT("beschriftung.!"&amp;ADDRESS(#REF!*12+ROW($A6)-1,COLUMN(F$1))))</f>
        <v>#REF!</v>
      </c>
      <c r="G5" s="47" t="e">
        <f ca="1">IF(INDIRECT("beschriftung.!"&amp;ADDRESS(#REF!*12+ROW($A6)-1,COLUMN(G$1)))="","",INDIRECT("beschriftung.!"&amp;ADDRESS(#REF!*12+ROW($A6)-1,COLUMN(G$1))))</f>
        <v>#REF!</v>
      </c>
      <c r="H5" s="47" t="e">
        <f ca="1">IF(INDIRECT("beschriftung.!"&amp;ADDRESS(#REF!*12+ROW($A6)-1,COLUMN(H$1)))="","",INDIRECT("beschriftung.!"&amp;ADDRESS(#REF!*12+ROW($A6)-1,COLUMN(H$1))))</f>
        <v>#REF!</v>
      </c>
      <c r="I5" s="47" t="e">
        <f ca="1">IF(INDIRECT("beschriftung.!"&amp;ADDRESS(#REF!*12+ROW($A6)-1,COLUMN(I$1)))="","",INDIRECT("beschriftung.!"&amp;ADDRESS(#REF!*12+ROW($A6)-1,COLUMN(I$1))))</f>
        <v>#REF!</v>
      </c>
      <c r="J5" s="47" t="e">
        <f ca="1">IF(INDIRECT("beschriftung.!"&amp;ADDRESS(#REF!*12+ROW($A6)-1,COLUMN(J$1)))="","",INDIRECT("beschriftung.!"&amp;ADDRESS(#REF!*12+ROW($A6)-1,COLUMN(J$1))))</f>
        <v>#REF!</v>
      </c>
      <c r="K5" s="47" t="e">
        <f ca="1">IF(INDIRECT("beschriftung.!"&amp;ADDRESS(#REF!*12+ROW($A6)-1,COLUMN(K$1)))="","",INDIRECT("beschriftung.!"&amp;ADDRESS(#REF!*12+ROW($A6)-1,COLUMN(K$1))))</f>
        <v>#REF!</v>
      </c>
      <c r="L5" s="47" t="e">
        <f ca="1">IF(INDIRECT("beschriftung.!"&amp;ADDRESS(#REF!*12+ROW($A6)-1,COLUMN(L$1)))="","",INDIRECT("beschriftung.!"&amp;ADDRESS(#REF!*12+ROW($A6)-1,COLUMN(L$1))))</f>
        <v>#REF!</v>
      </c>
      <c r="M5" s="47"/>
      <c r="N5" s="47"/>
      <c r="O5" s="47"/>
      <c r="P5" s="47"/>
      <c r="Q5" s="47" t="e">
        <f ca="1">IF(INDIRECT("beschriftung.!"&amp;ADDRESS(#REF!*12+ROW($A6)-1,COLUMN(Q$1)))="","",INDIRECT("beschriftung.!"&amp;ADDRESS(#REF!*12+ROW($A6)-1,COLUMN(Q$1))))</f>
        <v>#REF!</v>
      </c>
      <c r="R5" s="47" t="e">
        <f ca="1">IF(INDIRECT("beschriftung.!"&amp;ADDRESS(#REF!*12+ROW($A6)-1,COLUMN(R$1)))="","",INDIRECT("beschriftung.!"&amp;ADDRESS(#REF!*12+ROW($A6)-1,COLUMN(R$1))))</f>
        <v>#REF!</v>
      </c>
      <c r="S5" s="47"/>
      <c r="T5" s="47"/>
      <c r="U5" s="47" t="e">
        <f ca="1">IF(INDIRECT("beschriftung.!"&amp;ADDRESS(#REF!*12+ROW($A6)-1,COLUMN(U$1)))="","",INDIRECT("beschriftung.!"&amp;ADDRESS(#REF!*12+ROW($A6)-1,COLUMN(U$1))))</f>
        <v>#REF!</v>
      </c>
      <c r="V5" s="47" t="e">
        <f ca="1">IF(INDIRECT("beschriftung.!"&amp;ADDRESS(#REF!*12+ROW($A6)-1,COLUMN(V$1)))="","",INDIRECT("beschriftung.!"&amp;ADDRESS(#REF!*12+ROW($A6)-1,COLUMN(V$1))))</f>
        <v>#REF!</v>
      </c>
      <c r="W5" s="47" t="e">
        <f ca="1">IF(INDIRECT("beschriftung.!"&amp;ADDRESS(#REF!*12+ROW($A6)-1,COLUMN(W$1)))="","",INDIRECT("beschriftung.!"&amp;ADDRESS(#REF!*12+ROW($A6)-1,COLUMN(W$1))))</f>
        <v>#REF!</v>
      </c>
      <c r="X5" s="47" t="e">
        <f ca="1">IF(INDIRECT("beschriftung.!"&amp;ADDRESS(#REF!*12+ROW($A6)-1,COLUMN(X$1)))="","",INDIRECT("beschriftung.!"&amp;ADDRESS(#REF!*12+ROW($A6)-1,COLUMN(X$1))))</f>
        <v>#REF!</v>
      </c>
      <c r="Y5" s="47"/>
      <c r="Z5" s="47"/>
      <c r="AA5" s="47" t="e">
        <f ca="1">IF(INDIRECT("beschriftung.!"&amp;ADDRESS(#REF!*12+ROW($A6)-1,COLUMN(AA$1)))="","",INDIRECT("beschriftung.!"&amp;ADDRESS(#REF!*12+ROW($A6)-1,COLUMN(AA$1))))</f>
        <v>#REF!</v>
      </c>
      <c r="AB5" s="47" t="e">
        <f ca="1">IF(INDIRECT("beschriftung.!"&amp;ADDRESS(#REF!*12+ROW($A6)-1,COLUMN(AB$1)))="","",INDIRECT("beschriftung.!"&amp;ADDRESS(#REF!*12+ROW($A6)-1,COLUMN(AB$1))))</f>
        <v>#REF!</v>
      </c>
      <c r="AC5" s="47"/>
      <c r="AD5" s="47"/>
      <c r="AE5" s="47"/>
      <c r="AF5" s="47"/>
      <c r="AG5" s="47" t="e">
        <f ca="1">IF(INDIRECT("beschriftung.!"&amp;ADDRESS(#REF!*12+ROW($A6)-1,COLUMN(AG$1)))="","",INDIRECT("beschriftung.!"&amp;ADDRESS(#REF!*12+ROW($A6)-1,COLUMN(AG$1))))</f>
        <v>#REF!</v>
      </c>
      <c r="AH5" s="47" t="e">
        <f ca="1">IF(INDIRECT("beschriftung.!"&amp;ADDRESS(#REF!*12+ROW($A6)-1,COLUMN(AH$1)))="","",INDIRECT("beschriftung.!"&amp;ADDRESS(#REF!*12+ROW($A6)-1,COLUMN(AH$1))))</f>
        <v>#REF!</v>
      </c>
      <c r="AI5" s="47" t="e">
        <f ca="1">IF(INDIRECT("beschriftung.!"&amp;ADDRESS(#REF!*12+ROW($A6)-1,COLUMN(AI$1)))="","",INDIRECT("beschriftung.!"&amp;ADDRESS(#REF!*12+ROW($A6)-1,COLUMN(AI$1))))</f>
        <v>#REF!</v>
      </c>
      <c r="AJ5" s="47" t="e">
        <f ca="1">IF(INDIRECT("beschriftung.!"&amp;ADDRESS(#REF!*12+ROW($A6)-1,COLUMN(AJ$1)))="","",INDIRECT("beschriftung.!"&amp;ADDRESS(#REF!*12+ROW($A6)-1,COLUMN(AJ$1))))</f>
        <v>#REF!</v>
      </c>
      <c r="AK5" s="47"/>
      <c r="AL5" s="47"/>
      <c r="AM5" s="47" t="e">
        <f ca="1">IF(INDIRECT("beschriftung.!"&amp;ADDRESS(#REF!*12+ROW($A6)-1,COLUMN(AM$1)))="","",INDIRECT("beschriftung.!"&amp;ADDRESS(#REF!*12+ROW($A6)-1,COLUMN(AM$1))))</f>
        <v>#REF!</v>
      </c>
      <c r="AN5" s="47" t="e">
        <f ca="1">IF(INDIRECT("beschriftung.!"&amp;ADDRESS(#REF!*12+ROW($A6)-1,COLUMN(AN$1)))="","",INDIRECT("beschriftung.!"&amp;ADDRESS(#REF!*12+ROW($A6)-1,COLUMN(AN$1))))</f>
        <v>#REF!</v>
      </c>
      <c r="AO5" s="47" t="e">
        <f ca="1">IF(INDIRECT("beschriftung.!"&amp;ADDRESS(#REF!*12+ROW($A6)-1,COLUMN(AO$1)))="","",INDIRECT("beschriftung.!"&amp;ADDRESS(#REF!*12+ROW($A6)-1,COLUMN(AO$1))))</f>
        <v>#REF!</v>
      </c>
      <c r="AP5" s="47" t="e">
        <f ca="1">IF(INDIRECT("beschriftung.!"&amp;ADDRESS(#REF!*12+ROW($A6)-1,COLUMN(AP$1)))="","",INDIRECT("beschriftung.!"&amp;ADDRESS(#REF!*12+ROW($A6)-1,COLUMN(AP$1))))</f>
        <v>#REF!</v>
      </c>
      <c r="AQ5" s="47" t="e">
        <f ca="1">IF(INDIRECT("beschriftung.!"&amp;ADDRESS(#REF!*12+ROW($A6)-1,COLUMN(AQ$1)))="","",INDIRECT("beschriftung.!"&amp;ADDRESS(#REF!*12+ROW($A6)-1,COLUMN(AQ$1))))</f>
        <v>#REF!</v>
      </c>
      <c r="AR5" s="47" t="e">
        <f ca="1">IF(INDIRECT("beschriftung.!"&amp;ADDRESS(#REF!*12+ROW($A6)-1,COLUMN(AR$1)))="","",INDIRECT("beschriftung.!"&amp;ADDRESS(#REF!*12+ROW($A6)-1,COLUMN(AR$1))))</f>
        <v>#REF!</v>
      </c>
      <c r="AS5" s="47" t="e">
        <f ca="1">IF(INDIRECT("beschriftung.!"&amp;ADDRESS(#REF!*12+ROW($A6)-1,COLUMN(AS$1)))="","",INDIRECT("beschriftung.!"&amp;ADDRESS(#REF!*12+ROW($A6)-1,COLUMN(AS$1))))</f>
        <v>#REF!</v>
      </c>
      <c r="AT5" s="47" t="e">
        <f ca="1">IF(INDIRECT("beschriftung.!"&amp;ADDRESS(#REF!*12+ROW($A6)-1,COLUMN(AT$1)))="","",INDIRECT("beschriftung.!"&amp;ADDRESS(#REF!*12+ROW($A6)-1,COLUMN(AT$1))))</f>
        <v>#REF!</v>
      </c>
      <c r="AU5" s="47" t="e">
        <f ca="1">IF(INDIRECT("beschriftung.!"&amp;ADDRESS(#REF!*12+ROW($A6)-1,COLUMN(AU$1)))="","",INDIRECT("beschriftung.!"&amp;ADDRESS(#REF!*12+ROW($A6)-1,COLUMN(AU$1))))</f>
        <v>#REF!</v>
      </c>
      <c r="AV5" s="47" t="e">
        <f ca="1">IF(INDIRECT("beschriftung.!"&amp;ADDRESS(#REF!*12+ROW($A6)-1,COLUMN(AV$1)))="","",INDIRECT("beschriftung.!"&amp;ADDRESS(#REF!*12+ROW($A6)-1,COLUMN(AV$1))))</f>
        <v>#REF!</v>
      </c>
      <c r="AW5" s="47"/>
      <c r="AX5" s="47"/>
      <c r="AY5" s="47" t="e">
        <f ca="1">IF(INDIRECT("beschriftung.!"&amp;ADDRESS(#REF!*12+ROW($A6)-1,COLUMN(AY$1)))="","",INDIRECT("beschriftung.!"&amp;ADDRESS(#REF!*12+ROW($A6)-1,COLUMN(AY$1))))</f>
        <v>#REF!</v>
      </c>
      <c r="AZ5" s="50" t="e">
        <f ca="1">IF(INDIRECT("beschriftung.!"&amp;ADDRESS(#REF!*12+ROW($A6)-1,COLUMN(AZ$1)))="","",INDIRECT("beschriftung.!"&amp;ADDRESS(#REF!*12+ROW($A6)-1,COLUMN(AZ$1))))</f>
        <v>#REF!</v>
      </c>
      <c r="BA5" s="49" t="str">
        <f ca="1">INDIRECT("beschriftung!"&amp;ADDRESS(beschriftung!$C$1*12+ROW(beschriftung!$A6)-1,COLUMN(beschriftung!AS$1)))</f>
        <v>Adjustments</v>
      </c>
      <c r="BB5" s="47" t="e">
        <f ca="1">IF(INDIRECT("beschriftung.!"&amp;ADDRESS(#REF!*12+ROW($A6)-1,COLUMN(BB$1)))="","",INDIRECT("beschriftung.!"&amp;ADDRESS(#REF!*12+ROW($A6)-1,COLUMN(BB$1))))</f>
        <v>#REF!</v>
      </c>
      <c r="BC5" s="47" t="e">
        <f ca="1">IF(INDIRECT("beschriftung.!"&amp;ADDRESS(#REF!*12+ROW($A6)-1,COLUMN(BC$1)))="","",INDIRECT("beschriftung.!"&amp;ADDRESS(#REF!*12+ROW($A6)-1,COLUMN(BC$1))))</f>
        <v>#REF!</v>
      </c>
      <c r="BD5" s="47" t="e">
        <f ca="1">IF(INDIRECT("beschriftung.!"&amp;ADDRESS(#REF!*12+ROW($A6)-1,COLUMN(BD$1)))="","",INDIRECT("beschriftung.!"&amp;ADDRESS(#REF!*12+ROW($A6)-1,COLUMN(BD$1))))</f>
        <v>#REF!</v>
      </c>
      <c r="BE5" s="47" t="e">
        <f ca="1">IF(INDIRECT("beschriftung.!"&amp;ADDRESS(#REF!*12+ROW($A6)-1,COLUMN(BE$1)))="","",INDIRECT("beschriftung.!"&amp;ADDRESS(#REF!*12+ROW($A6)-1,COLUMN(BE$1))))</f>
        <v>#REF!</v>
      </c>
      <c r="BF5" s="50" t="e">
        <f ca="1">IF(INDIRECT("beschriftung.!"&amp;ADDRESS(#REF!*12+ROW($A6)-1,COLUMN(BF$1)))="","",INDIRECT("beschriftung.!"&amp;ADDRESS(#REF!*12+ROW($A6)-1,COLUMN(BF$1))))</f>
        <v>#REF!</v>
      </c>
    </row>
    <row r="6" spans="1:60" ht="11.25" customHeight="1" x14ac:dyDescent="0.15">
      <c r="A6" s="5"/>
      <c r="C6" s="67"/>
      <c r="D6" s="55"/>
      <c r="E6" s="60" t="s">
        <v>3</v>
      </c>
      <c r="F6" s="29"/>
      <c r="G6" s="36" t="str">
        <f ca="1">INDIRECT("beschriftung!"&amp;ADDRESS(beschriftung!$C$1*12+ROW(beschriftung!$A7)-1,COLUMN(beschriftung!E$1)))</f>
        <v xml:space="preserve">Agriculture, forestry and fishing </v>
      </c>
      <c r="H6" s="36"/>
      <c r="I6" s="36" t="str">
        <f ca="1">INDIRECT("beschriftung!"&amp;ADDRESS(beschriftung!$C$1*12+ROW(beschriftung!$A7)-1,COLUMN(beschriftung!G$1)))</f>
        <v>Mining and quarrying</v>
      </c>
      <c r="J6" s="36"/>
      <c r="K6" s="36" t="str">
        <f ca="1">INDIRECT("beschriftung!"&amp;ADDRESS(beschriftung!$C$1*12+ROW(beschriftung!$A7)-1,COLUMN(beschriftung!I$1)))</f>
        <v>Manufacturing</v>
      </c>
      <c r="L6" s="37"/>
      <c r="M6" s="42"/>
      <c r="N6" s="42"/>
      <c r="O6" s="42"/>
      <c r="P6" s="43"/>
      <c r="Q6" s="41" t="str">
        <f ca="1">INDIRECT("beschriftung!"&amp;ADDRESS(beschriftung!$C$1*12+ROW(beschriftung!$A7)-1,COLUMN(beschriftung!M$1)))</f>
        <v>Electricity, gas, steam and air conditioning supply</v>
      </c>
      <c r="R6" s="36"/>
      <c r="S6" s="36" t="str">
        <f ca="1">INDIRECT("beschriftung!"&amp;ADDRESS(beschriftung!$C$1*12+ROW(beschriftung!$A7)-1,COLUMN(beschriftung!O$1)))</f>
        <v>Water supply, sewerage, waste management and remediation activities</v>
      </c>
      <c r="T6" s="36"/>
      <c r="U6" s="36" t="str">
        <f ca="1">INDIRECT("beschriftung!"&amp;ADDRESS(beschriftung!$C$1*12+ROW(beschriftung!$A7)-1,COLUMN(beschriftung!Q$1)))</f>
        <v>Construction</v>
      </c>
      <c r="V6" s="36"/>
      <c r="W6" s="36" t="str">
        <f ca="1">INDIRECT("beschriftung!"&amp;ADDRESS(beschriftung!$C$1*12+ROW(beschriftung!$A7)-1,COLUMN(beschriftung!S$1)))</f>
        <v>Trade, repair of motor vehicles and motorcycles</v>
      </c>
      <c r="X6" s="37"/>
      <c r="Y6" s="51"/>
      <c r="Z6" s="52"/>
      <c r="AA6" s="36" t="str">
        <f ca="1">INDIRECT("beschriftung!"&amp;ADDRESS(beschriftung!$C$1*12+ROW(beschriftung!$A7)-1,COLUMN(beschriftung!W$1)))</f>
        <v>Transportation and storage</v>
      </c>
      <c r="AB6" s="36"/>
      <c r="AC6" s="36" t="str">
        <f ca="1">INDIRECT("beschriftung!"&amp;ADDRESS(beschriftung!$C$1*12+ROW(beschriftung!$A7)-1,COLUMN(beschriftung!Y$1)))</f>
        <v>Accommodation and food service activities</v>
      </c>
      <c r="AD6" s="36"/>
      <c r="AE6" s="37" t="str">
        <f ca="1">INDIRECT("beschriftung!"&amp;ADDRESS(beschriftung!$C$1*12+ROW(beschriftung!$A7)-1,COLUMN(beschriftung!X$1)))</f>
        <v>Information and communication</v>
      </c>
      <c r="AF6" s="41"/>
      <c r="AG6" s="36" t="str">
        <f ca="1">INDIRECT("beschriftung!"&amp;ADDRESS(beschriftung!$C$1*12+ROW(beschriftung!$A7)-1,COLUMN(beschriftung!AA$1)))</f>
        <v>Financial and insurance activities</v>
      </c>
      <c r="AH6" s="37"/>
      <c r="AI6" s="22"/>
      <c r="AJ6" s="22"/>
      <c r="AK6" s="22"/>
      <c r="AL6" s="23"/>
      <c r="AM6" s="41" t="str">
        <f ca="1">INDIRECT("beschriftung!"&amp;ADDRESS(beschriftung!$C$1*12+ROW(beschriftung!$A7)-1,COLUMN(beschriftung!AE$1)))</f>
        <v>Real estate, professional, scientific, technical activities and administrative services</v>
      </c>
      <c r="AN6" s="36"/>
      <c r="AO6" s="36" t="str">
        <f ca="1">INDIRECT("beschriftung!"&amp;ADDRESS(beschriftung!$C$1*12+ROW(beschriftung!$A7)-1,COLUMN(beschriftung!AG$1)))</f>
        <v>Public administration</v>
      </c>
      <c r="AP6" s="36"/>
      <c r="AQ6" s="36" t="str">
        <f ca="1">INDIRECT("beschriftung!"&amp;ADDRESS(beschriftung!$C$1*12+ROW(beschriftung!$A7)-1,COLUMN(beschriftung!AI$1)))</f>
        <v>Education</v>
      </c>
      <c r="AR6" s="36"/>
      <c r="AS6" s="36" t="str">
        <f ca="1">INDIRECT("beschriftung!"&amp;ADDRESS(beschriftung!$C$1*12+ROW(beschriftung!$A7)-1,COLUMN(beschriftung!AK$1)))</f>
        <v>Human health and social work activities</v>
      </c>
      <c r="AT6" s="36"/>
      <c r="AU6" s="36" t="str">
        <f ca="1">INDIRECT("beschriftung!"&amp;ADDRESS(beschriftung!$C$1*12+ROW(beschriftung!$A7)-1,COLUMN(beschriftung!AM$1)))</f>
        <v xml:space="preserve">Arts, entertainment and recreation </v>
      </c>
      <c r="AV6" s="36"/>
      <c r="AW6" s="36" t="str">
        <f ca="1">INDIRECT("beschriftung!"&amp;ADDRESS(beschriftung!$C$1*12+ROW(beschriftung!$A7)-1,COLUMN(beschriftung!AO$1)))</f>
        <v>Other service activities</v>
      </c>
      <c r="AX6" s="36"/>
      <c r="AY6" s="36" t="str">
        <f ca="1">INDIRECT("beschriftung!"&amp;ADDRESS(beschriftung!$C$1*12+ROW(beschriftung!$A7)-1,COLUMN(beschriftung!AQ$1)))</f>
        <v>Activities of housholds as employers and producers for own use</v>
      </c>
      <c r="AZ6" s="36"/>
      <c r="BA6" s="55"/>
      <c r="BB6" s="55"/>
      <c r="BC6" s="36" t="str">
        <f ca="1">INDIRECT("beschriftung!"&amp;ADDRESS(beschriftung!$C$1*12+ROW(beschriftung!$A7)-1,COLUMN(beschriftung!AU$1)))</f>
        <v>Taxes on products</v>
      </c>
      <c r="BD6" s="36"/>
      <c r="BE6" s="36" t="str">
        <f ca="1">INDIRECT("beschriftung!"&amp;ADDRESS(beschriftung!$C$1*12+ROW(beschriftung!$A7)-1,COLUMN(beschriftung!AW$1)))</f>
        <v>Subsidies on products</v>
      </c>
      <c r="BF6" s="36"/>
    </row>
    <row r="7" spans="1:60" ht="11.25" customHeight="1" x14ac:dyDescent="0.15">
      <c r="A7" s="8"/>
      <c r="B7" s="8"/>
      <c r="C7" s="67"/>
      <c r="D7" s="55"/>
      <c r="E7" s="60"/>
      <c r="F7" s="29"/>
      <c r="G7" s="38"/>
      <c r="H7" s="38"/>
      <c r="I7" s="38"/>
      <c r="J7" s="38"/>
      <c r="K7" s="38"/>
      <c r="L7" s="28"/>
      <c r="M7" s="44"/>
      <c r="N7" s="44"/>
      <c r="O7" s="44"/>
      <c r="P7" s="45"/>
      <c r="Q7" s="29"/>
      <c r="R7" s="38"/>
      <c r="S7" s="38"/>
      <c r="T7" s="38"/>
      <c r="U7" s="38"/>
      <c r="V7" s="38"/>
      <c r="W7" s="38"/>
      <c r="X7" s="28"/>
      <c r="Y7" s="53"/>
      <c r="Z7" s="54"/>
      <c r="AA7" s="38"/>
      <c r="AB7" s="38"/>
      <c r="AC7" s="38"/>
      <c r="AD7" s="38"/>
      <c r="AE7" s="28"/>
      <c r="AF7" s="29"/>
      <c r="AG7" s="38"/>
      <c r="AH7" s="28"/>
      <c r="AI7" s="24"/>
      <c r="AJ7" s="24"/>
      <c r="AK7" s="24"/>
      <c r="AL7" s="25"/>
      <c r="AM7" s="29"/>
      <c r="AN7" s="38"/>
      <c r="AO7" s="38"/>
      <c r="AP7" s="38"/>
      <c r="AQ7" s="38"/>
      <c r="AR7" s="38"/>
      <c r="AS7" s="38"/>
      <c r="AT7" s="38"/>
      <c r="AU7" s="38"/>
      <c r="AV7" s="38"/>
      <c r="AW7" s="38"/>
      <c r="AX7" s="38"/>
      <c r="AY7" s="38"/>
      <c r="AZ7" s="38"/>
      <c r="BA7" s="55"/>
      <c r="BB7" s="55"/>
      <c r="BC7" s="38"/>
      <c r="BD7" s="38"/>
      <c r="BE7" s="38"/>
      <c r="BF7" s="38"/>
    </row>
    <row r="8" spans="1:60" ht="11.25" customHeight="1" x14ac:dyDescent="0.15">
      <c r="A8" s="2"/>
      <c r="B8" s="2"/>
      <c r="C8" s="67"/>
      <c r="D8" s="55"/>
      <c r="E8" s="61"/>
      <c r="F8" s="62"/>
      <c r="G8" s="39"/>
      <c r="H8" s="39"/>
      <c r="I8" s="39"/>
      <c r="J8" s="39"/>
      <c r="K8" s="39"/>
      <c r="L8" s="39"/>
      <c r="M8" s="28" t="str">
        <f ca="1">INDIRECT("beschriftung!"&amp;ADDRESS(beschriftung!$C$1*12+ROW(beschriftung!$A7),COLUMN(beschriftung!J$1)))</f>
        <v>thereof chemicals and pharmaceuticals</v>
      </c>
      <c r="N8" s="29"/>
      <c r="O8" s="28" t="str">
        <f ca="1">INDIRECT("beschriftung!"&amp;ADDRESS(beschriftung!$C$1*12+ROW(beschriftung!$A7),COLUMN(beschriftung!K$1)))</f>
        <v xml:space="preserve">thereof other manufacturing </v>
      </c>
      <c r="P8" s="29"/>
      <c r="Q8" s="39"/>
      <c r="R8" s="39"/>
      <c r="S8" s="39"/>
      <c r="T8" s="39"/>
      <c r="U8" s="39"/>
      <c r="V8" s="39"/>
      <c r="W8" s="39"/>
      <c r="X8" s="39"/>
      <c r="Y8" s="28" t="str">
        <f ca="1">INDIRECT("beschriftung!"&amp;ADDRESS(beschriftung!$C$1*12+ROW(beschriftung!$A7),COLUMN(beschriftung!U$1)))</f>
        <v>thereof retail trade</v>
      </c>
      <c r="Z8" s="29"/>
      <c r="AA8" s="39"/>
      <c r="AB8" s="39"/>
      <c r="AC8" s="39"/>
      <c r="AD8" s="39"/>
      <c r="AE8" s="28"/>
      <c r="AF8" s="29"/>
      <c r="AG8" s="39"/>
      <c r="AH8" s="39"/>
      <c r="AI8" s="28" t="str">
        <f ca="1">INDIRECT("beschriftung!"&amp;ADDRESS(beschriftung!$C$1*12+ROW(beschriftung!$A7),COLUMN(beschriftung!AB$1)))</f>
        <v>thereof financial activities</v>
      </c>
      <c r="AJ8" s="29"/>
      <c r="AK8" s="28" t="str">
        <f ca="1">INDIRECT("beschriftung!"&amp;ADDRESS(beschriftung!$C$1*12+ROW(beschriftung!$A7),COLUMN(beschriftung!AC$1)))</f>
        <v>thereof insurance activities</v>
      </c>
      <c r="AL8" s="29"/>
      <c r="AM8" s="39"/>
      <c r="AN8" s="39"/>
      <c r="AO8" s="39"/>
      <c r="AP8" s="39"/>
      <c r="AQ8" s="39"/>
      <c r="AR8" s="39"/>
      <c r="AS8" s="39"/>
      <c r="AT8" s="39"/>
      <c r="AU8" s="39"/>
      <c r="AV8" s="39"/>
      <c r="AW8" s="39"/>
      <c r="AX8" s="39"/>
      <c r="AY8" s="39"/>
      <c r="AZ8" s="39"/>
      <c r="BA8" s="55"/>
      <c r="BB8" s="55"/>
      <c r="BC8" s="39"/>
      <c r="BD8" s="39"/>
      <c r="BE8" s="39"/>
      <c r="BF8" s="39"/>
    </row>
    <row r="9" spans="1:60" ht="11.25" customHeight="1" x14ac:dyDescent="0.15">
      <c r="A9" s="2"/>
      <c r="B9" s="2"/>
      <c r="C9" s="67"/>
      <c r="D9" s="55"/>
      <c r="E9" s="61"/>
      <c r="F9" s="62"/>
      <c r="G9" s="39"/>
      <c r="H9" s="39"/>
      <c r="I9" s="39"/>
      <c r="J9" s="39"/>
      <c r="K9" s="39"/>
      <c r="L9" s="39"/>
      <c r="M9" s="28"/>
      <c r="N9" s="29"/>
      <c r="O9" s="28"/>
      <c r="P9" s="29"/>
      <c r="Q9" s="39"/>
      <c r="R9" s="39"/>
      <c r="S9" s="39"/>
      <c r="T9" s="39"/>
      <c r="U9" s="39"/>
      <c r="V9" s="39"/>
      <c r="W9" s="39"/>
      <c r="X9" s="39"/>
      <c r="Y9" s="28"/>
      <c r="Z9" s="29"/>
      <c r="AA9" s="39"/>
      <c r="AB9" s="39"/>
      <c r="AC9" s="39"/>
      <c r="AD9" s="39"/>
      <c r="AE9" s="28"/>
      <c r="AF9" s="29"/>
      <c r="AG9" s="39"/>
      <c r="AH9" s="39"/>
      <c r="AI9" s="28"/>
      <c r="AJ9" s="29"/>
      <c r="AK9" s="28"/>
      <c r="AL9" s="29"/>
      <c r="AM9" s="39"/>
      <c r="AN9" s="39"/>
      <c r="AO9" s="39"/>
      <c r="AP9" s="39"/>
      <c r="AQ9" s="39"/>
      <c r="AR9" s="39"/>
      <c r="AS9" s="39"/>
      <c r="AT9" s="39"/>
      <c r="AU9" s="39"/>
      <c r="AV9" s="39"/>
      <c r="AW9" s="39"/>
      <c r="AX9" s="39"/>
      <c r="AY9" s="39"/>
      <c r="AZ9" s="39"/>
      <c r="BA9" s="55"/>
      <c r="BB9" s="55"/>
      <c r="BC9" s="39"/>
      <c r="BD9" s="39"/>
      <c r="BE9" s="39"/>
      <c r="BF9" s="39"/>
    </row>
    <row r="10" spans="1:60" ht="11.25" customHeight="1" x14ac:dyDescent="0.15">
      <c r="A10" s="2"/>
      <c r="B10" s="8"/>
      <c r="C10" s="68"/>
      <c r="D10" s="69"/>
      <c r="E10" s="63"/>
      <c r="F10" s="64"/>
      <c r="G10" s="40"/>
      <c r="H10" s="40"/>
      <c r="I10" s="40"/>
      <c r="J10" s="40"/>
      <c r="K10" s="40"/>
      <c r="L10" s="40"/>
      <c r="M10" s="30"/>
      <c r="N10" s="31"/>
      <c r="O10" s="30"/>
      <c r="P10" s="31"/>
      <c r="Q10" s="40"/>
      <c r="R10" s="40"/>
      <c r="S10" s="40"/>
      <c r="T10" s="40"/>
      <c r="U10" s="40"/>
      <c r="V10" s="40"/>
      <c r="W10" s="40"/>
      <c r="X10" s="40"/>
      <c r="Y10" s="30"/>
      <c r="Z10" s="31"/>
      <c r="AA10" s="40"/>
      <c r="AB10" s="40"/>
      <c r="AC10" s="40"/>
      <c r="AD10" s="40"/>
      <c r="AE10" s="30"/>
      <c r="AF10" s="31"/>
      <c r="AG10" s="40"/>
      <c r="AH10" s="40"/>
      <c r="AI10" s="30"/>
      <c r="AJ10" s="31"/>
      <c r="AK10" s="30"/>
      <c r="AL10" s="31"/>
      <c r="AM10" s="40"/>
      <c r="AN10" s="40"/>
      <c r="AO10" s="40"/>
      <c r="AP10" s="40"/>
      <c r="AQ10" s="40"/>
      <c r="AR10" s="40"/>
      <c r="AS10" s="40"/>
      <c r="AT10" s="40"/>
      <c r="AU10" s="40"/>
      <c r="AV10" s="40"/>
      <c r="AW10" s="40"/>
      <c r="AX10" s="40"/>
      <c r="AY10" s="40"/>
      <c r="AZ10" s="40"/>
      <c r="BA10" s="55"/>
      <c r="BB10" s="55"/>
      <c r="BC10" s="40"/>
      <c r="BD10" s="40"/>
      <c r="BE10" s="40"/>
      <c r="BF10" s="40"/>
    </row>
    <row r="11" spans="1:60" ht="11.25" customHeight="1" x14ac:dyDescent="0.15">
      <c r="A11" s="2"/>
      <c r="B11" s="8"/>
      <c r="C11" s="58" t="s">
        <v>201</v>
      </c>
      <c r="D11" s="59"/>
      <c r="E11" s="56" t="s">
        <v>202</v>
      </c>
      <c r="F11" s="57"/>
      <c r="G11" s="34" t="s">
        <v>113</v>
      </c>
      <c r="H11" s="35"/>
      <c r="I11" s="34" t="s">
        <v>114</v>
      </c>
      <c r="J11" s="35"/>
      <c r="K11" s="34" t="s">
        <v>115</v>
      </c>
      <c r="L11" s="35"/>
      <c r="M11" s="34" t="s">
        <v>116</v>
      </c>
      <c r="N11" s="35"/>
      <c r="O11" s="26" t="s">
        <v>195</v>
      </c>
      <c r="P11" s="27"/>
      <c r="Q11" s="34" t="s">
        <v>117</v>
      </c>
      <c r="R11" s="35"/>
      <c r="S11" s="34" t="s">
        <v>118</v>
      </c>
      <c r="T11" s="35"/>
      <c r="U11" s="34" t="s">
        <v>119</v>
      </c>
      <c r="V11" s="35"/>
      <c r="W11" s="34" t="s">
        <v>120</v>
      </c>
      <c r="X11" s="35"/>
      <c r="Y11" s="34" t="s">
        <v>121</v>
      </c>
      <c r="Z11" s="35"/>
      <c r="AA11" s="34" t="s">
        <v>196</v>
      </c>
      <c r="AB11" s="35"/>
      <c r="AC11" s="34" t="s">
        <v>122</v>
      </c>
      <c r="AD11" s="35"/>
      <c r="AE11" s="26" t="s">
        <v>197</v>
      </c>
      <c r="AF11" s="27"/>
      <c r="AG11" s="34" t="s">
        <v>198</v>
      </c>
      <c r="AH11" s="35"/>
      <c r="AI11" s="34" t="s">
        <v>123</v>
      </c>
      <c r="AJ11" s="35"/>
      <c r="AK11" s="26" t="s">
        <v>124</v>
      </c>
      <c r="AL11" s="27"/>
      <c r="AM11" s="34" t="s">
        <v>125</v>
      </c>
      <c r="AN11" s="35"/>
      <c r="AO11" s="34" t="s">
        <v>126</v>
      </c>
      <c r="AP11" s="35"/>
      <c r="AQ11" s="34" t="s">
        <v>127</v>
      </c>
      <c r="AR11" s="35"/>
      <c r="AS11" s="34" t="s">
        <v>128</v>
      </c>
      <c r="AT11" s="34"/>
      <c r="AU11" s="34" t="s">
        <v>96</v>
      </c>
      <c r="AV11" s="35"/>
      <c r="AW11" s="34" t="s">
        <v>129</v>
      </c>
      <c r="AX11" s="35"/>
      <c r="AY11" s="34" t="s">
        <v>130</v>
      </c>
      <c r="AZ11" s="35"/>
      <c r="BA11" s="10"/>
      <c r="BB11" s="11"/>
      <c r="BC11" s="32" t="s">
        <v>199</v>
      </c>
      <c r="BD11" s="33"/>
      <c r="BE11" s="32" t="s">
        <v>200</v>
      </c>
      <c r="BF11" s="33"/>
    </row>
    <row r="12" spans="1:60" x14ac:dyDescent="0.15">
      <c r="A12" s="17">
        <v>1980</v>
      </c>
      <c r="B12" s="17">
        <v>1</v>
      </c>
      <c r="C12" s="20">
        <v>55.787981835395698</v>
      </c>
      <c r="D12" s="19"/>
      <c r="E12" s="20"/>
      <c r="F12" s="19"/>
      <c r="G12" s="20"/>
      <c r="H12" s="19"/>
      <c r="I12" s="20"/>
      <c r="J12" s="19"/>
      <c r="K12" s="20"/>
      <c r="L12" s="19"/>
      <c r="M12" s="20"/>
      <c r="N12" s="19"/>
      <c r="O12" s="20"/>
      <c r="P12" s="19"/>
      <c r="Q12" s="20"/>
      <c r="R12" s="19"/>
      <c r="S12" s="20"/>
      <c r="T12" s="19"/>
      <c r="U12" s="20"/>
      <c r="V12" s="19"/>
      <c r="W12" s="20"/>
      <c r="X12" s="19"/>
      <c r="Y12" s="20"/>
      <c r="Z12" s="19"/>
      <c r="AA12" s="20"/>
      <c r="AB12" s="19"/>
      <c r="AC12" s="20"/>
      <c r="AD12" s="19"/>
      <c r="AE12" s="20"/>
      <c r="AF12" s="19"/>
      <c r="AG12" s="20"/>
      <c r="AH12" s="19"/>
      <c r="AI12" s="20"/>
      <c r="AJ12" s="19"/>
      <c r="AK12" s="20"/>
      <c r="AL12" s="19"/>
      <c r="AM12" s="20"/>
      <c r="AN12" s="19"/>
      <c r="AO12" s="20"/>
      <c r="AP12" s="19"/>
      <c r="AQ12" s="20"/>
      <c r="AR12" s="19"/>
      <c r="AS12" s="20"/>
      <c r="AT12" s="19"/>
      <c r="AU12" s="20"/>
      <c r="AV12" s="19"/>
      <c r="AW12" s="20"/>
      <c r="AX12" s="19"/>
      <c r="AY12" s="20"/>
      <c r="AZ12" s="19"/>
      <c r="BA12" s="20"/>
      <c r="BB12" s="19"/>
      <c r="BC12" s="20"/>
      <c r="BD12" s="19"/>
      <c r="BE12" s="20"/>
      <c r="BF12" s="19"/>
      <c r="BG12" s="20"/>
      <c r="BH12" s="19"/>
    </row>
    <row r="13" spans="1:60" x14ac:dyDescent="0.15">
      <c r="A13" s="17">
        <v>1980</v>
      </c>
      <c r="B13" s="17">
        <v>2</v>
      </c>
      <c r="C13" s="20">
        <v>56.290325514817901</v>
      </c>
      <c r="D13" s="19">
        <v>9.00451428596938E-3</v>
      </c>
      <c r="E13" s="20"/>
      <c r="F13" s="19"/>
      <c r="G13" s="20"/>
      <c r="H13" s="19"/>
      <c r="I13" s="20"/>
      <c r="J13" s="19"/>
      <c r="K13" s="20"/>
      <c r="L13" s="19"/>
      <c r="M13" s="20"/>
      <c r="N13" s="19"/>
      <c r="O13" s="20"/>
      <c r="P13" s="19"/>
      <c r="Q13" s="20"/>
      <c r="R13" s="19"/>
      <c r="S13" s="20"/>
      <c r="T13" s="19"/>
      <c r="U13" s="20"/>
      <c r="V13" s="19"/>
      <c r="W13" s="20"/>
      <c r="X13" s="19"/>
      <c r="Y13" s="20"/>
      <c r="Z13" s="19"/>
      <c r="AA13" s="20"/>
      <c r="AB13" s="19"/>
      <c r="AC13" s="20"/>
      <c r="AD13" s="19"/>
      <c r="AE13" s="20"/>
      <c r="AF13" s="19"/>
      <c r="AG13" s="20"/>
      <c r="AH13" s="19"/>
      <c r="AI13" s="20"/>
      <c r="AJ13" s="19"/>
      <c r="AK13" s="20"/>
      <c r="AL13" s="19"/>
      <c r="AM13" s="20"/>
      <c r="AN13" s="19"/>
      <c r="AO13" s="20"/>
      <c r="AP13" s="19"/>
      <c r="AQ13" s="20"/>
      <c r="AR13" s="19"/>
      <c r="AS13" s="20"/>
      <c r="AT13" s="19"/>
      <c r="AU13" s="20"/>
      <c r="AV13" s="19"/>
      <c r="AW13" s="20"/>
      <c r="AX13" s="19"/>
      <c r="AY13" s="20"/>
      <c r="AZ13" s="19"/>
      <c r="BA13" s="20"/>
      <c r="BB13" s="19"/>
      <c r="BC13" s="20"/>
      <c r="BD13" s="19"/>
      <c r="BE13" s="20"/>
      <c r="BF13" s="19"/>
      <c r="BG13" s="20"/>
      <c r="BH13" s="19"/>
    </row>
    <row r="14" spans="1:60" x14ac:dyDescent="0.15">
      <c r="A14" s="17">
        <v>1980</v>
      </c>
      <c r="B14" s="17">
        <v>3</v>
      </c>
      <c r="C14" s="20">
        <v>57.0204681439035</v>
      </c>
      <c r="D14" s="19">
        <v>1.29710145110706E-2</v>
      </c>
      <c r="E14" s="20"/>
      <c r="F14" s="19"/>
      <c r="G14" s="20"/>
      <c r="H14" s="19"/>
      <c r="I14" s="20"/>
      <c r="J14" s="19"/>
      <c r="K14" s="20"/>
      <c r="L14" s="19"/>
      <c r="M14" s="20"/>
      <c r="N14" s="19"/>
      <c r="O14" s="20"/>
      <c r="P14" s="19"/>
      <c r="Q14" s="20"/>
      <c r="R14" s="19"/>
      <c r="S14" s="20"/>
      <c r="T14" s="19"/>
      <c r="U14" s="20"/>
      <c r="V14" s="19"/>
      <c r="W14" s="20"/>
      <c r="X14" s="19"/>
      <c r="Y14" s="20"/>
      <c r="Z14" s="19"/>
      <c r="AA14" s="20"/>
      <c r="AB14" s="19"/>
      <c r="AC14" s="20"/>
      <c r="AD14" s="19"/>
      <c r="AE14" s="20"/>
      <c r="AF14" s="19"/>
      <c r="AG14" s="20"/>
      <c r="AH14" s="19"/>
      <c r="AI14" s="20"/>
      <c r="AJ14" s="19"/>
      <c r="AK14" s="20"/>
      <c r="AL14" s="19"/>
      <c r="AM14" s="20"/>
      <c r="AN14" s="19"/>
      <c r="AO14" s="20"/>
      <c r="AP14" s="19"/>
      <c r="AQ14" s="20"/>
      <c r="AR14" s="19"/>
      <c r="AS14" s="20"/>
      <c r="AT14" s="19"/>
      <c r="AU14" s="20"/>
      <c r="AV14" s="19"/>
      <c r="AW14" s="20"/>
      <c r="AX14" s="19"/>
      <c r="AY14" s="20"/>
      <c r="AZ14" s="19"/>
      <c r="BA14" s="20"/>
      <c r="BB14" s="19"/>
      <c r="BC14" s="20"/>
      <c r="BD14" s="19"/>
      <c r="BE14" s="20"/>
      <c r="BF14" s="19"/>
      <c r="BG14" s="20"/>
      <c r="BH14" s="19"/>
    </row>
    <row r="15" spans="1:60" x14ac:dyDescent="0.15">
      <c r="A15" s="17">
        <v>1980</v>
      </c>
      <c r="B15" s="17">
        <v>4</v>
      </c>
      <c r="C15" s="20">
        <v>57.5815477058567</v>
      </c>
      <c r="D15" s="19">
        <v>9.83996765051387E-3</v>
      </c>
      <c r="E15" s="20"/>
      <c r="F15" s="19"/>
      <c r="G15" s="20"/>
      <c r="H15" s="19"/>
      <c r="I15" s="20"/>
      <c r="J15" s="19"/>
      <c r="K15" s="20"/>
      <c r="L15" s="19"/>
      <c r="M15" s="20"/>
      <c r="N15" s="19"/>
      <c r="O15" s="20"/>
      <c r="P15" s="19"/>
      <c r="Q15" s="20"/>
      <c r="R15" s="19"/>
      <c r="S15" s="20"/>
      <c r="T15" s="19"/>
      <c r="U15" s="20"/>
      <c r="V15" s="19"/>
      <c r="W15" s="20"/>
      <c r="X15" s="19"/>
      <c r="Y15" s="20"/>
      <c r="Z15" s="19"/>
      <c r="AA15" s="20"/>
      <c r="AB15" s="19"/>
      <c r="AC15" s="20"/>
      <c r="AD15" s="19"/>
      <c r="AE15" s="20"/>
      <c r="AF15" s="19"/>
      <c r="AG15" s="20"/>
      <c r="AH15" s="19"/>
      <c r="AI15" s="20"/>
      <c r="AJ15" s="19"/>
      <c r="AK15" s="20"/>
      <c r="AL15" s="19"/>
      <c r="AM15" s="20"/>
      <c r="AN15" s="19"/>
      <c r="AO15" s="20"/>
      <c r="AP15" s="19"/>
      <c r="AQ15" s="20"/>
      <c r="AR15" s="19"/>
      <c r="AS15" s="20"/>
      <c r="AT15" s="19"/>
      <c r="AU15" s="20"/>
      <c r="AV15" s="19"/>
      <c r="AW15" s="20"/>
      <c r="AX15" s="19"/>
      <c r="AY15" s="20"/>
      <c r="AZ15" s="19"/>
      <c r="BA15" s="20"/>
      <c r="BB15" s="19"/>
      <c r="BC15" s="20"/>
      <c r="BD15" s="19"/>
      <c r="BE15" s="20"/>
      <c r="BF15" s="19"/>
      <c r="BG15" s="20"/>
      <c r="BH15" s="19"/>
    </row>
    <row r="16" spans="1:60" x14ac:dyDescent="0.15">
      <c r="A16" s="17">
        <v>1981</v>
      </c>
      <c r="B16" s="17">
        <v>1</v>
      </c>
      <c r="C16" s="20">
        <v>58.688185739079799</v>
      </c>
      <c r="D16" s="19">
        <v>1.9218622585070799E-2</v>
      </c>
      <c r="E16" s="20"/>
      <c r="F16" s="19"/>
      <c r="G16" s="20"/>
      <c r="H16" s="19"/>
      <c r="I16" s="20"/>
      <c r="J16" s="19"/>
      <c r="K16" s="20"/>
      <c r="L16" s="19"/>
      <c r="M16" s="20"/>
      <c r="N16" s="19"/>
      <c r="O16" s="20"/>
      <c r="P16" s="19"/>
      <c r="Q16" s="20"/>
      <c r="R16" s="19"/>
      <c r="S16" s="20"/>
      <c r="T16" s="19"/>
      <c r="U16" s="20"/>
      <c r="V16" s="19"/>
      <c r="W16" s="20"/>
      <c r="X16" s="19"/>
      <c r="Y16" s="20"/>
      <c r="Z16" s="19"/>
      <c r="AA16" s="20"/>
      <c r="AB16" s="19"/>
      <c r="AC16" s="20"/>
      <c r="AD16" s="19"/>
      <c r="AE16" s="20"/>
      <c r="AF16" s="19"/>
      <c r="AG16" s="20"/>
      <c r="AH16" s="19"/>
      <c r="AI16" s="20"/>
      <c r="AJ16" s="19"/>
      <c r="AK16" s="20"/>
      <c r="AL16" s="19"/>
      <c r="AM16" s="20"/>
      <c r="AN16" s="19"/>
      <c r="AO16" s="20"/>
      <c r="AP16" s="19"/>
      <c r="AQ16" s="20"/>
      <c r="AR16" s="19"/>
      <c r="AS16" s="20"/>
      <c r="AT16" s="19"/>
      <c r="AU16" s="20"/>
      <c r="AV16" s="19"/>
      <c r="AW16" s="20"/>
      <c r="AX16" s="19"/>
      <c r="AY16" s="20"/>
      <c r="AZ16" s="19"/>
      <c r="BA16" s="20"/>
      <c r="BB16" s="19"/>
      <c r="BC16" s="20"/>
      <c r="BD16" s="19"/>
      <c r="BE16" s="20"/>
      <c r="BF16" s="19"/>
      <c r="BG16" s="20"/>
      <c r="BH16" s="19"/>
    </row>
    <row r="17" spans="1:60" x14ac:dyDescent="0.15">
      <c r="A17" s="17">
        <v>1981</v>
      </c>
      <c r="B17" s="17">
        <v>2</v>
      </c>
      <c r="C17" s="20">
        <v>59.205124044966396</v>
      </c>
      <c r="D17" s="19">
        <v>8.8082175207266893E-3</v>
      </c>
      <c r="E17" s="20"/>
      <c r="F17" s="19"/>
      <c r="G17" s="20"/>
      <c r="H17" s="19"/>
      <c r="I17" s="20"/>
      <c r="J17" s="19"/>
      <c r="K17" s="20"/>
      <c r="L17" s="19"/>
      <c r="M17" s="20"/>
      <c r="N17" s="19"/>
      <c r="O17" s="20"/>
      <c r="P17" s="19"/>
      <c r="Q17" s="20"/>
      <c r="R17" s="19"/>
      <c r="S17" s="20"/>
      <c r="T17" s="19"/>
      <c r="U17" s="20"/>
      <c r="V17" s="19"/>
      <c r="W17" s="20"/>
      <c r="X17" s="19"/>
      <c r="Y17" s="20"/>
      <c r="Z17" s="19"/>
      <c r="AA17" s="20"/>
      <c r="AB17" s="19"/>
      <c r="AC17" s="20"/>
      <c r="AD17" s="19"/>
      <c r="AE17" s="20"/>
      <c r="AF17" s="19"/>
      <c r="AG17" s="20"/>
      <c r="AH17" s="19"/>
      <c r="AI17" s="20"/>
      <c r="AJ17" s="19"/>
      <c r="AK17" s="20"/>
      <c r="AL17" s="19"/>
      <c r="AM17" s="20"/>
      <c r="AN17" s="19"/>
      <c r="AO17" s="20"/>
      <c r="AP17" s="19"/>
      <c r="AQ17" s="20"/>
      <c r="AR17" s="19"/>
      <c r="AS17" s="20"/>
      <c r="AT17" s="19"/>
      <c r="AU17" s="20"/>
      <c r="AV17" s="19"/>
      <c r="AW17" s="20"/>
      <c r="AX17" s="19"/>
      <c r="AY17" s="20"/>
      <c r="AZ17" s="19"/>
      <c r="BA17" s="20"/>
      <c r="BB17" s="19"/>
      <c r="BC17" s="20"/>
      <c r="BD17" s="19"/>
      <c r="BE17" s="20"/>
      <c r="BF17" s="19"/>
      <c r="BG17" s="20"/>
      <c r="BH17" s="19"/>
    </row>
    <row r="18" spans="1:60" x14ac:dyDescent="0.15">
      <c r="A18" s="17">
        <v>1981</v>
      </c>
      <c r="B18" s="17">
        <v>3</v>
      </c>
      <c r="C18" s="20">
        <v>60.256136067124601</v>
      </c>
      <c r="D18" s="19">
        <v>1.7752044930433399E-2</v>
      </c>
      <c r="E18" s="20"/>
      <c r="F18" s="19"/>
      <c r="G18" s="20"/>
      <c r="H18" s="19"/>
      <c r="I18" s="20"/>
      <c r="J18" s="19"/>
      <c r="K18" s="20"/>
      <c r="L18" s="19"/>
      <c r="M18" s="20"/>
      <c r="N18" s="19"/>
      <c r="O18" s="20"/>
      <c r="P18" s="19"/>
      <c r="Q18" s="20"/>
      <c r="R18" s="19"/>
      <c r="S18" s="20"/>
      <c r="T18" s="19"/>
      <c r="U18" s="20"/>
      <c r="V18" s="19"/>
      <c r="W18" s="20"/>
      <c r="X18" s="19"/>
      <c r="Y18" s="20"/>
      <c r="Z18" s="19"/>
      <c r="AA18" s="20"/>
      <c r="AB18" s="19"/>
      <c r="AC18" s="20"/>
      <c r="AD18" s="19"/>
      <c r="AE18" s="20"/>
      <c r="AF18" s="19"/>
      <c r="AG18" s="20"/>
      <c r="AH18" s="19"/>
      <c r="AI18" s="20"/>
      <c r="AJ18" s="19"/>
      <c r="AK18" s="20"/>
      <c r="AL18" s="19"/>
      <c r="AM18" s="20"/>
      <c r="AN18" s="19"/>
      <c r="AO18" s="20"/>
      <c r="AP18" s="19"/>
      <c r="AQ18" s="20"/>
      <c r="AR18" s="19"/>
      <c r="AS18" s="20"/>
      <c r="AT18" s="19"/>
      <c r="AU18" s="20"/>
      <c r="AV18" s="19"/>
      <c r="AW18" s="20"/>
      <c r="AX18" s="19"/>
      <c r="AY18" s="20"/>
      <c r="AZ18" s="19"/>
      <c r="BA18" s="20"/>
      <c r="BB18" s="19"/>
      <c r="BC18" s="20"/>
      <c r="BD18" s="19"/>
      <c r="BE18" s="20"/>
      <c r="BF18" s="19"/>
      <c r="BG18" s="20"/>
      <c r="BH18" s="19"/>
    </row>
    <row r="19" spans="1:60" x14ac:dyDescent="0.15">
      <c r="A19" s="17">
        <v>1981</v>
      </c>
      <c r="B19" s="17">
        <v>4</v>
      </c>
      <c r="C19" s="20">
        <v>61.454766456987599</v>
      </c>
      <c r="D19" s="19">
        <v>1.9892254434100299E-2</v>
      </c>
      <c r="E19" s="20"/>
      <c r="F19" s="19"/>
      <c r="G19" s="20"/>
      <c r="H19" s="19"/>
      <c r="I19" s="20"/>
      <c r="J19" s="19"/>
      <c r="K19" s="20"/>
      <c r="L19" s="19"/>
      <c r="M19" s="20"/>
      <c r="N19" s="19"/>
      <c r="O19" s="20"/>
      <c r="P19" s="19"/>
      <c r="Q19" s="20"/>
      <c r="R19" s="19"/>
      <c r="S19" s="20"/>
      <c r="T19" s="19"/>
      <c r="U19" s="20"/>
      <c r="V19" s="19"/>
      <c r="W19" s="20"/>
      <c r="X19" s="19"/>
      <c r="Y19" s="20"/>
      <c r="Z19" s="19"/>
      <c r="AA19" s="20"/>
      <c r="AB19" s="19"/>
      <c r="AC19" s="20"/>
      <c r="AD19" s="19"/>
      <c r="AE19" s="20"/>
      <c r="AF19" s="19"/>
      <c r="AG19" s="20"/>
      <c r="AH19" s="19"/>
      <c r="AI19" s="20"/>
      <c r="AJ19" s="19"/>
      <c r="AK19" s="20"/>
      <c r="AL19" s="19"/>
      <c r="AM19" s="20"/>
      <c r="AN19" s="19"/>
      <c r="AO19" s="20"/>
      <c r="AP19" s="19"/>
      <c r="AQ19" s="20"/>
      <c r="AR19" s="19"/>
      <c r="AS19" s="20"/>
      <c r="AT19" s="19"/>
      <c r="AU19" s="20"/>
      <c r="AV19" s="19"/>
      <c r="AW19" s="20"/>
      <c r="AX19" s="19"/>
      <c r="AY19" s="20"/>
      <c r="AZ19" s="19"/>
      <c r="BA19" s="20"/>
      <c r="BB19" s="19"/>
      <c r="BC19" s="20"/>
      <c r="BD19" s="19"/>
      <c r="BE19" s="20"/>
      <c r="BF19" s="19"/>
      <c r="BG19" s="20"/>
      <c r="BH19" s="19"/>
    </row>
    <row r="20" spans="1:60" x14ac:dyDescent="0.15">
      <c r="A20" s="17">
        <v>1982</v>
      </c>
      <c r="B20" s="17">
        <v>1</v>
      </c>
      <c r="C20" s="20">
        <v>62.802152583629798</v>
      </c>
      <c r="D20" s="19">
        <v>2.19248433331087E-2</v>
      </c>
      <c r="E20" s="20"/>
      <c r="F20" s="19"/>
      <c r="G20" s="20"/>
      <c r="H20" s="19"/>
      <c r="I20" s="20"/>
      <c r="J20" s="19"/>
      <c r="K20" s="20"/>
      <c r="L20" s="19"/>
      <c r="M20" s="20"/>
      <c r="N20" s="19"/>
      <c r="O20" s="20"/>
      <c r="P20" s="19"/>
      <c r="Q20" s="20"/>
      <c r="R20" s="19"/>
      <c r="S20" s="20"/>
      <c r="T20" s="19"/>
      <c r="U20" s="20"/>
      <c r="V20" s="19"/>
      <c r="W20" s="20"/>
      <c r="X20" s="19"/>
      <c r="Y20" s="20"/>
      <c r="Z20" s="19"/>
      <c r="AA20" s="20"/>
      <c r="AB20" s="19"/>
      <c r="AC20" s="20"/>
      <c r="AD20" s="19"/>
      <c r="AE20" s="20"/>
      <c r="AF20" s="19"/>
      <c r="AG20" s="20"/>
      <c r="AH20" s="19"/>
      <c r="AI20" s="20"/>
      <c r="AJ20" s="19"/>
      <c r="AK20" s="20"/>
      <c r="AL20" s="19"/>
      <c r="AM20" s="20"/>
      <c r="AN20" s="19"/>
      <c r="AO20" s="20"/>
      <c r="AP20" s="19"/>
      <c r="AQ20" s="20"/>
      <c r="AR20" s="19"/>
      <c r="AS20" s="20"/>
      <c r="AT20" s="19"/>
      <c r="AU20" s="20"/>
      <c r="AV20" s="19"/>
      <c r="AW20" s="20"/>
      <c r="AX20" s="19"/>
      <c r="AY20" s="20"/>
      <c r="AZ20" s="19"/>
      <c r="BA20" s="20"/>
      <c r="BB20" s="19"/>
      <c r="BC20" s="20"/>
      <c r="BD20" s="19"/>
      <c r="BE20" s="20"/>
      <c r="BF20" s="19"/>
      <c r="BG20" s="20"/>
      <c r="BH20" s="19"/>
    </row>
    <row r="21" spans="1:60" x14ac:dyDescent="0.15">
      <c r="A21" s="17">
        <v>1982</v>
      </c>
      <c r="B21" s="17">
        <v>2</v>
      </c>
      <c r="C21" s="20">
        <v>64.100548536512804</v>
      </c>
      <c r="D21" s="19">
        <v>2.0674386139138301E-2</v>
      </c>
      <c r="E21" s="20"/>
      <c r="F21" s="19"/>
      <c r="G21" s="20"/>
      <c r="H21" s="19"/>
      <c r="I21" s="20"/>
      <c r="J21" s="19"/>
      <c r="K21" s="20"/>
      <c r="L21" s="19"/>
      <c r="M21" s="20"/>
      <c r="N21" s="19"/>
      <c r="O21" s="20"/>
      <c r="P21" s="19"/>
      <c r="Q21" s="20"/>
      <c r="R21" s="19"/>
      <c r="S21" s="20"/>
      <c r="T21" s="19"/>
      <c r="U21" s="20"/>
      <c r="V21" s="19"/>
      <c r="W21" s="20"/>
      <c r="X21" s="19"/>
      <c r="Y21" s="20"/>
      <c r="Z21" s="19"/>
      <c r="AA21" s="20"/>
      <c r="AB21" s="19"/>
      <c r="AC21" s="20"/>
      <c r="AD21" s="19"/>
      <c r="AE21" s="20"/>
      <c r="AF21" s="19"/>
      <c r="AG21" s="20"/>
      <c r="AH21" s="19"/>
      <c r="AI21" s="20"/>
      <c r="AJ21" s="19"/>
      <c r="AK21" s="20"/>
      <c r="AL21" s="19"/>
      <c r="AM21" s="20"/>
      <c r="AN21" s="19"/>
      <c r="AO21" s="20"/>
      <c r="AP21" s="19"/>
      <c r="AQ21" s="20"/>
      <c r="AR21" s="19"/>
      <c r="AS21" s="20"/>
      <c r="AT21" s="19"/>
      <c r="AU21" s="20"/>
      <c r="AV21" s="19"/>
      <c r="AW21" s="20"/>
      <c r="AX21" s="19"/>
      <c r="AY21" s="20"/>
      <c r="AZ21" s="19"/>
      <c r="BA21" s="20"/>
      <c r="BB21" s="19"/>
      <c r="BC21" s="20"/>
      <c r="BD21" s="19"/>
      <c r="BE21" s="20"/>
      <c r="BF21" s="19"/>
      <c r="BG21" s="20"/>
      <c r="BH21" s="19"/>
    </row>
    <row r="22" spans="1:60" x14ac:dyDescent="0.15">
      <c r="A22" s="17">
        <v>1982</v>
      </c>
      <c r="B22" s="17">
        <v>3</v>
      </c>
      <c r="C22" s="20">
        <v>64.932106356370994</v>
      </c>
      <c r="D22" s="19">
        <v>1.2972709888504E-2</v>
      </c>
      <c r="E22" s="20"/>
      <c r="F22" s="19"/>
      <c r="G22" s="20"/>
      <c r="H22" s="19"/>
      <c r="I22" s="20"/>
      <c r="J22" s="19"/>
      <c r="K22" s="20"/>
      <c r="L22" s="19"/>
      <c r="M22" s="20"/>
      <c r="N22" s="19"/>
      <c r="O22" s="20"/>
      <c r="P22" s="19"/>
      <c r="Q22" s="20"/>
      <c r="R22" s="19"/>
      <c r="S22" s="20"/>
      <c r="T22" s="19"/>
      <c r="U22" s="20"/>
      <c r="V22" s="19"/>
      <c r="W22" s="20"/>
      <c r="X22" s="19"/>
      <c r="Y22" s="20"/>
      <c r="Z22" s="19"/>
      <c r="AA22" s="20"/>
      <c r="AB22" s="19"/>
      <c r="AC22" s="20"/>
      <c r="AD22" s="19"/>
      <c r="AE22" s="20"/>
      <c r="AF22" s="19"/>
      <c r="AG22" s="20"/>
      <c r="AH22" s="19"/>
      <c r="AI22" s="20"/>
      <c r="AJ22" s="19"/>
      <c r="AK22" s="20"/>
      <c r="AL22" s="19"/>
      <c r="AM22" s="20"/>
      <c r="AN22" s="19"/>
      <c r="AO22" s="20"/>
      <c r="AP22" s="19"/>
      <c r="AQ22" s="20"/>
      <c r="AR22" s="19"/>
      <c r="AS22" s="20"/>
      <c r="AT22" s="19"/>
      <c r="AU22" s="20"/>
      <c r="AV22" s="19"/>
      <c r="AW22" s="20"/>
      <c r="AX22" s="19"/>
      <c r="AY22" s="20"/>
      <c r="AZ22" s="19"/>
      <c r="BA22" s="20"/>
      <c r="BB22" s="19"/>
      <c r="BC22" s="20"/>
      <c r="BD22" s="19"/>
      <c r="BE22" s="20"/>
      <c r="BF22" s="19"/>
      <c r="BG22" s="20"/>
      <c r="BH22" s="19"/>
    </row>
    <row r="23" spans="1:60" x14ac:dyDescent="0.15">
      <c r="A23" s="17">
        <v>1982</v>
      </c>
      <c r="B23" s="17">
        <v>4</v>
      </c>
      <c r="C23" s="20">
        <v>65.366646391074198</v>
      </c>
      <c r="D23" s="19">
        <v>6.6922214461717601E-3</v>
      </c>
      <c r="E23" s="20"/>
      <c r="F23" s="19"/>
      <c r="G23" s="20"/>
      <c r="H23" s="19"/>
      <c r="I23" s="20"/>
      <c r="J23" s="19"/>
      <c r="K23" s="20"/>
      <c r="L23" s="19"/>
      <c r="M23" s="20"/>
      <c r="N23" s="19"/>
      <c r="O23" s="20"/>
      <c r="P23" s="19"/>
      <c r="Q23" s="20"/>
      <c r="R23" s="19"/>
      <c r="S23" s="20"/>
      <c r="T23" s="19"/>
      <c r="U23" s="20"/>
      <c r="V23" s="19"/>
      <c r="W23" s="20"/>
      <c r="X23" s="19"/>
      <c r="Y23" s="20"/>
      <c r="Z23" s="19"/>
      <c r="AA23" s="20"/>
      <c r="AB23" s="19"/>
      <c r="AC23" s="20"/>
      <c r="AD23" s="19"/>
      <c r="AE23" s="20"/>
      <c r="AF23" s="19"/>
      <c r="AG23" s="20"/>
      <c r="AH23" s="19"/>
      <c r="AI23" s="20"/>
      <c r="AJ23" s="19"/>
      <c r="AK23" s="20"/>
      <c r="AL23" s="19"/>
      <c r="AM23" s="20"/>
      <c r="AN23" s="19"/>
      <c r="AO23" s="20"/>
      <c r="AP23" s="19"/>
      <c r="AQ23" s="20"/>
      <c r="AR23" s="19"/>
      <c r="AS23" s="20"/>
      <c r="AT23" s="19"/>
      <c r="AU23" s="20"/>
      <c r="AV23" s="19"/>
      <c r="AW23" s="20"/>
      <c r="AX23" s="19"/>
      <c r="AY23" s="20"/>
      <c r="AZ23" s="19"/>
      <c r="BA23" s="20"/>
      <c r="BB23" s="19"/>
      <c r="BC23" s="20"/>
      <c r="BD23" s="19"/>
      <c r="BE23" s="20"/>
      <c r="BF23" s="19"/>
      <c r="BG23" s="20"/>
      <c r="BH23" s="19"/>
    </row>
    <row r="24" spans="1:60" x14ac:dyDescent="0.15">
      <c r="A24" s="17">
        <v>1983</v>
      </c>
      <c r="B24" s="17">
        <v>1</v>
      </c>
      <c r="C24" s="20">
        <v>65.406817698392999</v>
      </c>
      <c r="D24" s="19">
        <v>6.1455359172679603E-4</v>
      </c>
      <c r="E24" s="20"/>
      <c r="F24" s="19"/>
      <c r="G24" s="20"/>
      <c r="H24" s="19"/>
      <c r="I24" s="20"/>
      <c r="J24" s="19"/>
      <c r="K24" s="20"/>
      <c r="L24" s="19"/>
      <c r="M24" s="20"/>
      <c r="N24" s="19"/>
      <c r="O24" s="20"/>
      <c r="P24" s="19"/>
      <c r="Q24" s="20"/>
      <c r="R24" s="19"/>
      <c r="S24" s="20"/>
      <c r="T24" s="19"/>
      <c r="U24" s="20"/>
      <c r="V24" s="19"/>
      <c r="W24" s="20"/>
      <c r="X24" s="19"/>
      <c r="Y24" s="20"/>
      <c r="Z24" s="19"/>
      <c r="AA24" s="20"/>
      <c r="AB24" s="19"/>
      <c r="AC24" s="20"/>
      <c r="AD24" s="19"/>
      <c r="AE24" s="20"/>
      <c r="AF24" s="19"/>
      <c r="AG24" s="20"/>
      <c r="AH24" s="19"/>
      <c r="AI24" s="20"/>
      <c r="AJ24" s="19"/>
      <c r="AK24" s="20"/>
      <c r="AL24" s="19"/>
      <c r="AM24" s="20"/>
      <c r="AN24" s="19"/>
      <c r="AO24" s="20"/>
      <c r="AP24" s="19"/>
      <c r="AQ24" s="20"/>
      <c r="AR24" s="19"/>
      <c r="AS24" s="20"/>
      <c r="AT24" s="19"/>
      <c r="AU24" s="20"/>
      <c r="AV24" s="19"/>
      <c r="AW24" s="20"/>
      <c r="AX24" s="19"/>
      <c r="AY24" s="20"/>
      <c r="AZ24" s="19"/>
      <c r="BA24" s="20"/>
      <c r="BB24" s="19"/>
      <c r="BC24" s="20"/>
      <c r="BD24" s="19"/>
      <c r="BE24" s="20"/>
      <c r="BF24" s="19"/>
      <c r="BG24" s="20"/>
      <c r="BH24" s="19"/>
    </row>
    <row r="25" spans="1:60" x14ac:dyDescent="0.15">
      <c r="A25" s="17">
        <v>1983</v>
      </c>
      <c r="B25" s="17">
        <v>2</v>
      </c>
      <c r="C25" s="20">
        <v>65.566013384391098</v>
      </c>
      <c r="D25" s="19">
        <v>2.43393107324441E-3</v>
      </c>
      <c r="E25" s="20"/>
      <c r="F25" s="19"/>
      <c r="G25" s="20"/>
      <c r="H25" s="19"/>
      <c r="I25" s="20"/>
      <c r="J25" s="19"/>
      <c r="K25" s="20"/>
      <c r="L25" s="19"/>
      <c r="M25" s="20"/>
      <c r="N25" s="19"/>
      <c r="O25" s="20"/>
      <c r="P25" s="19"/>
      <c r="Q25" s="20"/>
      <c r="R25" s="19"/>
      <c r="S25" s="20"/>
      <c r="T25" s="19"/>
      <c r="U25" s="20"/>
      <c r="V25" s="19"/>
      <c r="W25" s="20"/>
      <c r="X25" s="19"/>
      <c r="Y25" s="20"/>
      <c r="Z25" s="19"/>
      <c r="AA25" s="20"/>
      <c r="AB25" s="19"/>
      <c r="AC25" s="20"/>
      <c r="AD25" s="19"/>
      <c r="AE25" s="20"/>
      <c r="AF25" s="19"/>
      <c r="AG25" s="20"/>
      <c r="AH25" s="19"/>
      <c r="AI25" s="20"/>
      <c r="AJ25" s="19"/>
      <c r="AK25" s="20"/>
      <c r="AL25" s="19"/>
      <c r="AM25" s="20"/>
      <c r="AN25" s="19"/>
      <c r="AO25" s="20"/>
      <c r="AP25" s="19"/>
      <c r="AQ25" s="20"/>
      <c r="AR25" s="19"/>
      <c r="AS25" s="20"/>
      <c r="AT25" s="19"/>
      <c r="AU25" s="20"/>
      <c r="AV25" s="19"/>
      <c r="AW25" s="20"/>
      <c r="AX25" s="19"/>
      <c r="AY25" s="20"/>
      <c r="AZ25" s="19"/>
      <c r="BA25" s="20"/>
      <c r="BB25" s="19"/>
      <c r="BC25" s="20"/>
      <c r="BD25" s="19"/>
      <c r="BE25" s="20"/>
      <c r="BF25" s="19"/>
      <c r="BG25" s="20"/>
      <c r="BH25" s="19"/>
    </row>
    <row r="26" spans="1:60" x14ac:dyDescent="0.15">
      <c r="A26" s="17">
        <v>1983</v>
      </c>
      <c r="B26" s="17">
        <v>3</v>
      </c>
      <c r="C26" s="20">
        <v>65.888071993747801</v>
      </c>
      <c r="D26" s="19">
        <v>4.9119748591173202E-3</v>
      </c>
      <c r="E26" s="20"/>
      <c r="F26" s="19"/>
      <c r="G26" s="20"/>
      <c r="H26" s="19"/>
      <c r="I26" s="20"/>
      <c r="J26" s="19"/>
      <c r="K26" s="20"/>
      <c r="L26" s="19"/>
      <c r="M26" s="20"/>
      <c r="N26" s="19"/>
      <c r="O26" s="20"/>
      <c r="P26" s="19"/>
      <c r="Q26" s="20"/>
      <c r="R26" s="19"/>
      <c r="S26" s="20"/>
      <c r="T26" s="19"/>
      <c r="U26" s="20"/>
      <c r="V26" s="19"/>
      <c r="W26" s="20"/>
      <c r="X26" s="19"/>
      <c r="Y26" s="20"/>
      <c r="Z26" s="19"/>
      <c r="AA26" s="20"/>
      <c r="AB26" s="19"/>
      <c r="AC26" s="20"/>
      <c r="AD26" s="19"/>
      <c r="AE26" s="20"/>
      <c r="AF26" s="19"/>
      <c r="AG26" s="20"/>
      <c r="AH26" s="19"/>
      <c r="AI26" s="20"/>
      <c r="AJ26" s="19"/>
      <c r="AK26" s="20"/>
      <c r="AL26" s="19"/>
      <c r="AM26" s="20"/>
      <c r="AN26" s="19"/>
      <c r="AO26" s="20"/>
      <c r="AP26" s="19"/>
      <c r="AQ26" s="20"/>
      <c r="AR26" s="19"/>
      <c r="AS26" s="20"/>
      <c r="AT26" s="19"/>
      <c r="AU26" s="20"/>
      <c r="AV26" s="19"/>
      <c r="AW26" s="20"/>
      <c r="AX26" s="19"/>
      <c r="AY26" s="20"/>
      <c r="AZ26" s="19"/>
      <c r="BA26" s="20"/>
      <c r="BB26" s="19"/>
      <c r="BC26" s="20"/>
      <c r="BD26" s="19"/>
      <c r="BE26" s="20"/>
      <c r="BF26" s="19"/>
      <c r="BG26" s="20"/>
      <c r="BH26" s="19"/>
    </row>
    <row r="27" spans="1:60" x14ac:dyDescent="0.15">
      <c r="A27" s="17">
        <v>1983</v>
      </c>
      <c r="B27" s="17">
        <v>4</v>
      </c>
      <c r="C27" s="20">
        <v>66.430803584038202</v>
      </c>
      <c r="D27" s="19">
        <v>8.2371751649048496E-3</v>
      </c>
      <c r="E27" s="20"/>
      <c r="F27" s="19"/>
      <c r="G27" s="20"/>
      <c r="H27" s="19"/>
      <c r="I27" s="20"/>
      <c r="J27" s="19"/>
      <c r="K27" s="20"/>
      <c r="L27" s="19"/>
      <c r="M27" s="20"/>
      <c r="N27" s="19"/>
      <c r="O27" s="20"/>
      <c r="P27" s="19"/>
      <c r="Q27" s="20"/>
      <c r="R27" s="19"/>
      <c r="S27" s="20"/>
      <c r="T27" s="19"/>
      <c r="U27" s="20"/>
      <c r="V27" s="19"/>
      <c r="W27" s="20"/>
      <c r="X27" s="19"/>
      <c r="Y27" s="20"/>
      <c r="Z27" s="19"/>
      <c r="AA27" s="20"/>
      <c r="AB27" s="19"/>
      <c r="AC27" s="20"/>
      <c r="AD27" s="19"/>
      <c r="AE27" s="20"/>
      <c r="AF27" s="19"/>
      <c r="AG27" s="20"/>
      <c r="AH27" s="19"/>
      <c r="AI27" s="20"/>
      <c r="AJ27" s="19"/>
      <c r="AK27" s="20"/>
      <c r="AL27" s="19"/>
      <c r="AM27" s="20"/>
      <c r="AN27" s="19"/>
      <c r="AO27" s="20"/>
      <c r="AP27" s="19"/>
      <c r="AQ27" s="20"/>
      <c r="AR27" s="19"/>
      <c r="AS27" s="20"/>
      <c r="AT27" s="19"/>
      <c r="AU27" s="20"/>
      <c r="AV27" s="19"/>
      <c r="AW27" s="20"/>
      <c r="AX27" s="19"/>
      <c r="AY27" s="20"/>
      <c r="AZ27" s="19"/>
      <c r="BA27" s="20"/>
      <c r="BB27" s="19"/>
      <c r="BC27" s="20"/>
      <c r="BD27" s="19"/>
      <c r="BE27" s="20"/>
      <c r="BF27" s="19"/>
      <c r="BG27" s="20"/>
      <c r="BH27" s="19"/>
    </row>
    <row r="28" spans="1:60" x14ac:dyDescent="0.15">
      <c r="A28" s="17">
        <v>1984</v>
      </c>
      <c r="B28" s="17">
        <v>1</v>
      </c>
      <c r="C28" s="20">
        <v>67.472896620866393</v>
      </c>
      <c r="D28" s="19">
        <v>1.5686894943395899E-2</v>
      </c>
      <c r="E28" s="20"/>
      <c r="F28" s="19"/>
      <c r="G28" s="20"/>
      <c r="H28" s="19"/>
      <c r="I28" s="20"/>
      <c r="J28" s="19"/>
      <c r="K28" s="20"/>
      <c r="L28" s="19"/>
      <c r="M28" s="20"/>
      <c r="N28" s="19"/>
      <c r="O28" s="20"/>
      <c r="P28" s="19"/>
      <c r="Q28" s="20"/>
      <c r="R28" s="19"/>
      <c r="S28" s="20"/>
      <c r="T28" s="19"/>
      <c r="U28" s="20"/>
      <c r="V28" s="19"/>
      <c r="W28" s="20"/>
      <c r="X28" s="19"/>
      <c r="Y28" s="20"/>
      <c r="Z28" s="19"/>
      <c r="AA28" s="20"/>
      <c r="AB28" s="19"/>
      <c r="AC28" s="20"/>
      <c r="AD28" s="19"/>
      <c r="AE28" s="20"/>
      <c r="AF28" s="19"/>
      <c r="AG28" s="20"/>
      <c r="AH28" s="19"/>
      <c r="AI28" s="20"/>
      <c r="AJ28" s="19"/>
      <c r="AK28" s="20"/>
      <c r="AL28" s="19"/>
      <c r="AM28" s="20"/>
      <c r="AN28" s="19"/>
      <c r="AO28" s="20"/>
      <c r="AP28" s="19"/>
      <c r="AQ28" s="20"/>
      <c r="AR28" s="19"/>
      <c r="AS28" s="20"/>
      <c r="AT28" s="19"/>
      <c r="AU28" s="20"/>
      <c r="AV28" s="19"/>
      <c r="AW28" s="20"/>
      <c r="AX28" s="19"/>
      <c r="AY28" s="20"/>
      <c r="AZ28" s="19"/>
      <c r="BA28" s="20"/>
      <c r="BB28" s="19"/>
      <c r="BC28" s="20"/>
      <c r="BD28" s="19"/>
      <c r="BE28" s="20"/>
      <c r="BF28" s="19"/>
      <c r="BG28" s="20"/>
      <c r="BH28" s="19"/>
    </row>
    <row r="29" spans="1:60" x14ac:dyDescent="0.15">
      <c r="A29" s="17">
        <v>1984</v>
      </c>
      <c r="B29" s="17">
        <v>2</v>
      </c>
      <c r="C29" s="20">
        <v>68.196488593181797</v>
      </c>
      <c r="D29" s="19">
        <v>1.0724187170758801E-2</v>
      </c>
      <c r="E29" s="20"/>
      <c r="F29" s="19"/>
      <c r="G29" s="20"/>
      <c r="H29" s="19"/>
      <c r="I29" s="20"/>
      <c r="J29" s="19"/>
      <c r="K29" s="20"/>
      <c r="L29" s="19"/>
      <c r="M29" s="20"/>
      <c r="N29" s="19"/>
      <c r="O29" s="20"/>
      <c r="P29" s="19"/>
      <c r="Q29" s="20"/>
      <c r="R29" s="19"/>
      <c r="S29" s="20"/>
      <c r="T29" s="19"/>
      <c r="U29" s="20"/>
      <c r="V29" s="19"/>
      <c r="W29" s="20"/>
      <c r="X29" s="19"/>
      <c r="Y29" s="20"/>
      <c r="Z29" s="19"/>
      <c r="AA29" s="20"/>
      <c r="AB29" s="19"/>
      <c r="AC29" s="20"/>
      <c r="AD29" s="19"/>
      <c r="AE29" s="20"/>
      <c r="AF29" s="19"/>
      <c r="AG29" s="20"/>
      <c r="AH29" s="19"/>
      <c r="AI29" s="20"/>
      <c r="AJ29" s="19"/>
      <c r="AK29" s="20"/>
      <c r="AL29" s="19"/>
      <c r="AM29" s="20"/>
      <c r="AN29" s="19"/>
      <c r="AO29" s="20"/>
      <c r="AP29" s="19"/>
      <c r="AQ29" s="20"/>
      <c r="AR29" s="19"/>
      <c r="AS29" s="20"/>
      <c r="AT29" s="19"/>
      <c r="AU29" s="20"/>
      <c r="AV29" s="19"/>
      <c r="AW29" s="20"/>
      <c r="AX29" s="19"/>
      <c r="AY29" s="20"/>
      <c r="AZ29" s="19"/>
      <c r="BA29" s="20"/>
      <c r="BB29" s="19"/>
      <c r="BC29" s="20"/>
      <c r="BD29" s="19"/>
      <c r="BE29" s="20"/>
      <c r="BF29" s="19"/>
      <c r="BG29" s="20"/>
      <c r="BH29" s="19"/>
    </row>
    <row r="30" spans="1:60" x14ac:dyDescent="0.15">
      <c r="A30" s="17">
        <v>1984</v>
      </c>
      <c r="B30" s="17">
        <v>3</v>
      </c>
      <c r="C30" s="20">
        <v>68.548964189002106</v>
      </c>
      <c r="D30" s="19">
        <v>5.1685299799368901E-3</v>
      </c>
      <c r="E30" s="20"/>
      <c r="F30" s="19"/>
      <c r="G30" s="20"/>
      <c r="H30" s="19"/>
      <c r="I30" s="20"/>
      <c r="J30" s="19"/>
      <c r="K30" s="20"/>
      <c r="L30" s="19"/>
      <c r="M30" s="20"/>
      <c r="N30" s="19"/>
      <c r="O30" s="20"/>
      <c r="P30" s="19"/>
      <c r="Q30" s="20"/>
      <c r="R30" s="19"/>
      <c r="S30" s="20"/>
      <c r="T30" s="19"/>
      <c r="U30" s="20"/>
      <c r="V30" s="19"/>
      <c r="W30" s="20"/>
      <c r="X30" s="19"/>
      <c r="Y30" s="20"/>
      <c r="Z30" s="19"/>
      <c r="AA30" s="20"/>
      <c r="AB30" s="19"/>
      <c r="AC30" s="20"/>
      <c r="AD30" s="19"/>
      <c r="AE30" s="20"/>
      <c r="AF30" s="19"/>
      <c r="AG30" s="20"/>
      <c r="AH30" s="19"/>
      <c r="AI30" s="20"/>
      <c r="AJ30" s="19"/>
      <c r="AK30" s="20"/>
      <c r="AL30" s="19"/>
      <c r="AM30" s="20"/>
      <c r="AN30" s="19"/>
      <c r="AO30" s="20"/>
      <c r="AP30" s="19"/>
      <c r="AQ30" s="20"/>
      <c r="AR30" s="19"/>
      <c r="AS30" s="20"/>
      <c r="AT30" s="19"/>
      <c r="AU30" s="20"/>
      <c r="AV30" s="19"/>
      <c r="AW30" s="20"/>
      <c r="AX30" s="19"/>
      <c r="AY30" s="20"/>
      <c r="AZ30" s="19"/>
      <c r="BA30" s="20"/>
      <c r="BB30" s="19"/>
      <c r="BC30" s="20"/>
      <c r="BD30" s="19"/>
      <c r="BE30" s="20"/>
      <c r="BF30" s="19"/>
      <c r="BG30" s="20"/>
      <c r="BH30" s="19"/>
    </row>
    <row r="31" spans="1:60" x14ac:dyDescent="0.15">
      <c r="A31" s="17">
        <v>1984</v>
      </c>
      <c r="B31" s="17">
        <v>4</v>
      </c>
      <c r="C31" s="20">
        <v>68.860404629347599</v>
      </c>
      <c r="D31" s="19">
        <v>4.5433281746869404E-3</v>
      </c>
      <c r="E31" s="20"/>
      <c r="F31" s="19"/>
      <c r="G31" s="20"/>
      <c r="H31" s="19"/>
      <c r="I31" s="20"/>
      <c r="J31" s="19"/>
      <c r="K31" s="20"/>
      <c r="L31" s="19"/>
      <c r="M31" s="20"/>
      <c r="N31" s="19"/>
      <c r="O31" s="20"/>
      <c r="P31" s="19"/>
      <c r="Q31" s="20"/>
      <c r="R31" s="19"/>
      <c r="S31" s="20"/>
      <c r="T31" s="19"/>
      <c r="U31" s="20"/>
      <c r="V31" s="19"/>
      <c r="W31" s="20"/>
      <c r="X31" s="19"/>
      <c r="Y31" s="20"/>
      <c r="Z31" s="19"/>
      <c r="AA31" s="20"/>
      <c r="AB31" s="19"/>
      <c r="AC31" s="20"/>
      <c r="AD31" s="19"/>
      <c r="AE31" s="20"/>
      <c r="AF31" s="19"/>
      <c r="AG31" s="20"/>
      <c r="AH31" s="19"/>
      <c r="AI31" s="20"/>
      <c r="AJ31" s="19"/>
      <c r="AK31" s="20"/>
      <c r="AL31" s="19"/>
      <c r="AM31" s="20"/>
      <c r="AN31" s="19"/>
      <c r="AO31" s="20"/>
      <c r="AP31" s="19"/>
      <c r="AQ31" s="20"/>
      <c r="AR31" s="19"/>
      <c r="AS31" s="20"/>
      <c r="AT31" s="19"/>
      <c r="AU31" s="20"/>
      <c r="AV31" s="19"/>
      <c r="AW31" s="20"/>
      <c r="AX31" s="19"/>
      <c r="AY31" s="20"/>
      <c r="AZ31" s="19"/>
      <c r="BA31" s="20"/>
      <c r="BB31" s="19"/>
      <c r="BC31" s="20"/>
      <c r="BD31" s="19"/>
      <c r="BE31" s="20"/>
      <c r="BF31" s="19"/>
      <c r="BG31" s="20"/>
      <c r="BH31" s="19"/>
    </row>
    <row r="32" spans="1:60" x14ac:dyDescent="0.15">
      <c r="A32" s="17">
        <v>1985</v>
      </c>
      <c r="B32" s="17">
        <v>1</v>
      </c>
      <c r="C32" s="20">
        <v>69.127726185827896</v>
      </c>
      <c r="D32" s="19">
        <v>3.8820793737592801E-3</v>
      </c>
      <c r="E32" s="20"/>
      <c r="F32" s="19"/>
      <c r="G32" s="20"/>
      <c r="H32" s="19"/>
      <c r="I32" s="20"/>
      <c r="J32" s="19"/>
      <c r="K32" s="20"/>
      <c r="L32" s="19"/>
      <c r="M32" s="20"/>
      <c r="N32" s="19"/>
      <c r="O32" s="20"/>
      <c r="P32" s="19"/>
      <c r="Q32" s="20"/>
      <c r="R32" s="19"/>
      <c r="S32" s="20"/>
      <c r="T32" s="19"/>
      <c r="U32" s="20"/>
      <c r="V32" s="19"/>
      <c r="W32" s="20"/>
      <c r="X32" s="19"/>
      <c r="Y32" s="20"/>
      <c r="Z32" s="19"/>
      <c r="AA32" s="20"/>
      <c r="AB32" s="19"/>
      <c r="AC32" s="20"/>
      <c r="AD32" s="19"/>
      <c r="AE32" s="20"/>
      <c r="AF32" s="19"/>
      <c r="AG32" s="20"/>
      <c r="AH32" s="19"/>
      <c r="AI32" s="20"/>
      <c r="AJ32" s="19"/>
      <c r="AK32" s="20"/>
      <c r="AL32" s="19"/>
      <c r="AM32" s="20"/>
      <c r="AN32" s="19"/>
      <c r="AO32" s="20"/>
      <c r="AP32" s="19"/>
      <c r="AQ32" s="20"/>
      <c r="AR32" s="19"/>
      <c r="AS32" s="20"/>
      <c r="AT32" s="19"/>
      <c r="AU32" s="20"/>
      <c r="AV32" s="19"/>
      <c r="AW32" s="20"/>
      <c r="AX32" s="19"/>
      <c r="AY32" s="20"/>
      <c r="AZ32" s="19"/>
      <c r="BA32" s="20"/>
      <c r="BB32" s="19"/>
      <c r="BC32" s="20"/>
      <c r="BD32" s="19"/>
      <c r="BE32" s="20"/>
      <c r="BF32" s="19"/>
      <c r="BG32" s="20"/>
      <c r="BH32" s="19"/>
    </row>
    <row r="33" spans="1:60" x14ac:dyDescent="0.15">
      <c r="A33" s="17">
        <v>1985</v>
      </c>
      <c r="B33" s="17">
        <v>2</v>
      </c>
      <c r="C33" s="20">
        <v>69.696529006876602</v>
      </c>
      <c r="D33" s="19">
        <v>8.2282877281354399E-3</v>
      </c>
      <c r="E33" s="20"/>
      <c r="F33" s="19"/>
      <c r="G33" s="20"/>
      <c r="H33" s="19"/>
      <c r="I33" s="20"/>
      <c r="J33" s="19"/>
      <c r="K33" s="20"/>
      <c r="L33" s="19"/>
      <c r="M33" s="20"/>
      <c r="N33" s="19"/>
      <c r="O33" s="20"/>
      <c r="P33" s="19"/>
      <c r="Q33" s="20"/>
      <c r="R33" s="19"/>
      <c r="S33" s="20"/>
      <c r="T33" s="19"/>
      <c r="U33" s="20"/>
      <c r="V33" s="19"/>
      <c r="W33" s="20"/>
      <c r="X33" s="19"/>
      <c r="Y33" s="20"/>
      <c r="Z33" s="19"/>
      <c r="AA33" s="20"/>
      <c r="AB33" s="19"/>
      <c r="AC33" s="20"/>
      <c r="AD33" s="19"/>
      <c r="AE33" s="20"/>
      <c r="AF33" s="19"/>
      <c r="AG33" s="20"/>
      <c r="AH33" s="19"/>
      <c r="AI33" s="20"/>
      <c r="AJ33" s="19"/>
      <c r="AK33" s="20"/>
      <c r="AL33" s="19"/>
      <c r="AM33" s="20"/>
      <c r="AN33" s="19"/>
      <c r="AO33" s="20"/>
      <c r="AP33" s="19"/>
      <c r="AQ33" s="20"/>
      <c r="AR33" s="19"/>
      <c r="AS33" s="20"/>
      <c r="AT33" s="19"/>
      <c r="AU33" s="20"/>
      <c r="AV33" s="19"/>
      <c r="AW33" s="20"/>
      <c r="AX33" s="19"/>
      <c r="AY33" s="20"/>
      <c r="AZ33" s="19"/>
      <c r="BA33" s="20"/>
      <c r="BB33" s="19"/>
      <c r="BC33" s="20"/>
      <c r="BD33" s="19"/>
      <c r="BE33" s="20"/>
      <c r="BF33" s="19"/>
      <c r="BG33" s="20"/>
      <c r="BH33" s="19"/>
    </row>
    <row r="34" spans="1:60" x14ac:dyDescent="0.15">
      <c r="A34" s="17">
        <v>1985</v>
      </c>
      <c r="B34" s="17">
        <v>3</v>
      </c>
      <c r="C34" s="20">
        <v>70.112078319898004</v>
      </c>
      <c r="D34" s="19">
        <v>5.9622669728698298E-3</v>
      </c>
      <c r="E34" s="20"/>
      <c r="F34" s="19"/>
      <c r="G34" s="20"/>
      <c r="H34" s="19"/>
      <c r="I34" s="20"/>
      <c r="J34" s="19"/>
      <c r="K34" s="20"/>
      <c r="L34" s="19"/>
      <c r="M34" s="20"/>
      <c r="N34" s="19"/>
      <c r="O34" s="20"/>
      <c r="P34" s="19"/>
      <c r="Q34" s="20"/>
      <c r="R34" s="19"/>
      <c r="S34" s="20"/>
      <c r="T34" s="19"/>
      <c r="U34" s="20"/>
      <c r="V34" s="19"/>
      <c r="W34" s="20"/>
      <c r="X34" s="19"/>
      <c r="Y34" s="20"/>
      <c r="Z34" s="19"/>
      <c r="AA34" s="20"/>
      <c r="AB34" s="19"/>
      <c r="AC34" s="20"/>
      <c r="AD34" s="19"/>
      <c r="AE34" s="20"/>
      <c r="AF34" s="19"/>
      <c r="AG34" s="20"/>
      <c r="AH34" s="19"/>
      <c r="AI34" s="20"/>
      <c r="AJ34" s="19"/>
      <c r="AK34" s="20"/>
      <c r="AL34" s="19"/>
      <c r="AM34" s="20"/>
      <c r="AN34" s="19"/>
      <c r="AO34" s="20"/>
      <c r="AP34" s="19"/>
      <c r="AQ34" s="20"/>
      <c r="AR34" s="19"/>
      <c r="AS34" s="20"/>
      <c r="AT34" s="19"/>
      <c r="AU34" s="20"/>
      <c r="AV34" s="19"/>
      <c r="AW34" s="20"/>
      <c r="AX34" s="19"/>
      <c r="AY34" s="20"/>
      <c r="AZ34" s="19"/>
      <c r="BA34" s="20"/>
      <c r="BB34" s="19"/>
      <c r="BC34" s="20"/>
      <c r="BD34" s="19"/>
      <c r="BE34" s="20"/>
      <c r="BF34" s="19"/>
      <c r="BG34" s="20"/>
      <c r="BH34" s="19"/>
    </row>
    <row r="35" spans="1:60" x14ac:dyDescent="0.15">
      <c r="A35" s="17">
        <v>1985</v>
      </c>
      <c r="B35" s="17">
        <v>4</v>
      </c>
      <c r="C35" s="20">
        <v>70.474177067948304</v>
      </c>
      <c r="D35" s="19">
        <v>5.1645701671851896E-3</v>
      </c>
      <c r="E35" s="20"/>
      <c r="F35" s="19"/>
      <c r="G35" s="20"/>
      <c r="H35" s="19"/>
      <c r="I35" s="20"/>
      <c r="J35" s="19"/>
      <c r="K35" s="20"/>
      <c r="L35" s="19"/>
      <c r="M35" s="20"/>
      <c r="N35" s="19"/>
      <c r="O35" s="20"/>
      <c r="P35" s="19"/>
      <c r="Q35" s="20"/>
      <c r="R35" s="19"/>
      <c r="S35" s="20"/>
      <c r="T35" s="19"/>
      <c r="U35" s="20"/>
      <c r="V35" s="19"/>
      <c r="W35" s="20"/>
      <c r="X35" s="19"/>
      <c r="Y35" s="20"/>
      <c r="Z35" s="19"/>
      <c r="AA35" s="20"/>
      <c r="AB35" s="19"/>
      <c r="AC35" s="20"/>
      <c r="AD35" s="19"/>
      <c r="AE35" s="20"/>
      <c r="AF35" s="19"/>
      <c r="AG35" s="20"/>
      <c r="AH35" s="19"/>
      <c r="AI35" s="20"/>
      <c r="AJ35" s="19"/>
      <c r="AK35" s="20"/>
      <c r="AL35" s="19"/>
      <c r="AM35" s="20"/>
      <c r="AN35" s="19"/>
      <c r="AO35" s="20"/>
      <c r="AP35" s="19"/>
      <c r="AQ35" s="20"/>
      <c r="AR35" s="19"/>
      <c r="AS35" s="20"/>
      <c r="AT35" s="19"/>
      <c r="AU35" s="20"/>
      <c r="AV35" s="19"/>
      <c r="AW35" s="20"/>
      <c r="AX35" s="19"/>
      <c r="AY35" s="20"/>
      <c r="AZ35" s="19"/>
      <c r="BA35" s="20"/>
      <c r="BB35" s="19"/>
      <c r="BC35" s="20"/>
      <c r="BD35" s="19"/>
      <c r="BE35" s="20"/>
      <c r="BF35" s="19"/>
      <c r="BG35" s="20"/>
      <c r="BH35" s="19"/>
    </row>
    <row r="36" spans="1:60" x14ac:dyDescent="0.15">
      <c r="A36" s="17">
        <v>1986</v>
      </c>
      <c r="B36" s="17">
        <v>1</v>
      </c>
      <c r="C36" s="20">
        <v>71.155284803021999</v>
      </c>
      <c r="D36" s="19">
        <v>9.6646426167847892E-3</v>
      </c>
      <c r="E36" s="20"/>
      <c r="F36" s="19"/>
      <c r="G36" s="20"/>
      <c r="H36" s="19"/>
      <c r="I36" s="20"/>
      <c r="J36" s="19"/>
      <c r="K36" s="20"/>
      <c r="L36" s="19"/>
      <c r="M36" s="20"/>
      <c r="N36" s="19"/>
      <c r="O36" s="20"/>
      <c r="P36" s="19"/>
      <c r="Q36" s="20"/>
      <c r="R36" s="19"/>
      <c r="S36" s="20"/>
      <c r="T36" s="19"/>
      <c r="U36" s="20"/>
      <c r="V36" s="19"/>
      <c r="W36" s="20"/>
      <c r="X36" s="19"/>
      <c r="Y36" s="20"/>
      <c r="Z36" s="19"/>
      <c r="AA36" s="20"/>
      <c r="AB36" s="19"/>
      <c r="AC36" s="20"/>
      <c r="AD36" s="19"/>
      <c r="AE36" s="20"/>
      <c r="AF36" s="19"/>
      <c r="AG36" s="20"/>
      <c r="AH36" s="19"/>
      <c r="AI36" s="20"/>
      <c r="AJ36" s="19"/>
      <c r="AK36" s="20"/>
      <c r="AL36" s="19"/>
      <c r="AM36" s="20"/>
      <c r="AN36" s="19"/>
      <c r="AO36" s="20"/>
      <c r="AP36" s="19"/>
      <c r="AQ36" s="20"/>
      <c r="AR36" s="19"/>
      <c r="AS36" s="20"/>
      <c r="AT36" s="19"/>
      <c r="AU36" s="20"/>
      <c r="AV36" s="19"/>
      <c r="AW36" s="20"/>
      <c r="AX36" s="19"/>
      <c r="AY36" s="20"/>
      <c r="AZ36" s="19"/>
      <c r="BA36" s="20"/>
      <c r="BB36" s="19"/>
      <c r="BC36" s="20"/>
      <c r="BD36" s="19"/>
      <c r="BE36" s="20"/>
      <c r="BF36" s="19"/>
      <c r="BG36" s="20"/>
      <c r="BH36" s="19"/>
    </row>
    <row r="37" spans="1:60" x14ac:dyDescent="0.15">
      <c r="A37" s="17">
        <v>1986</v>
      </c>
      <c r="B37" s="17">
        <v>2</v>
      </c>
      <c r="C37" s="20">
        <v>71.968196882286904</v>
      </c>
      <c r="D37" s="19">
        <v>1.1424479313311101E-2</v>
      </c>
      <c r="E37" s="20"/>
      <c r="F37" s="19"/>
      <c r="G37" s="20"/>
      <c r="H37" s="19"/>
      <c r="I37" s="20"/>
      <c r="J37" s="19"/>
      <c r="K37" s="20"/>
      <c r="L37" s="19"/>
      <c r="M37" s="20"/>
      <c r="N37" s="19"/>
      <c r="O37" s="20"/>
      <c r="P37" s="19"/>
      <c r="Q37" s="20"/>
      <c r="R37" s="19"/>
      <c r="S37" s="20"/>
      <c r="T37" s="19"/>
      <c r="U37" s="20"/>
      <c r="V37" s="19"/>
      <c r="W37" s="20"/>
      <c r="X37" s="19"/>
      <c r="Y37" s="20"/>
      <c r="Z37" s="19"/>
      <c r="AA37" s="20"/>
      <c r="AB37" s="19"/>
      <c r="AC37" s="20"/>
      <c r="AD37" s="19"/>
      <c r="AE37" s="20"/>
      <c r="AF37" s="19"/>
      <c r="AG37" s="20"/>
      <c r="AH37" s="19"/>
      <c r="AI37" s="20"/>
      <c r="AJ37" s="19"/>
      <c r="AK37" s="20"/>
      <c r="AL37" s="19"/>
      <c r="AM37" s="20"/>
      <c r="AN37" s="19"/>
      <c r="AO37" s="20"/>
      <c r="AP37" s="19"/>
      <c r="AQ37" s="20"/>
      <c r="AR37" s="19"/>
      <c r="AS37" s="20"/>
      <c r="AT37" s="19"/>
      <c r="AU37" s="20"/>
      <c r="AV37" s="19"/>
      <c r="AW37" s="20"/>
      <c r="AX37" s="19"/>
      <c r="AY37" s="20"/>
      <c r="AZ37" s="19"/>
      <c r="BA37" s="20"/>
      <c r="BB37" s="19"/>
      <c r="BC37" s="20"/>
      <c r="BD37" s="19"/>
      <c r="BE37" s="20"/>
      <c r="BF37" s="19"/>
      <c r="BG37" s="20"/>
      <c r="BH37" s="19"/>
    </row>
    <row r="38" spans="1:60" x14ac:dyDescent="0.15">
      <c r="A38" s="17">
        <v>1986</v>
      </c>
      <c r="B38" s="17">
        <v>3</v>
      </c>
      <c r="C38" s="20">
        <v>72.252841414892302</v>
      </c>
      <c r="D38" s="19">
        <v>3.9551433124127601E-3</v>
      </c>
      <c r="E38" s="20"/>
      <c r="F38" s="19"/>
      <c r="G38" s="20"/>
      <c r="H38" s="19"/>
      <c r="I38" s="20"/>
      <c r="J38" s="19"/>
      <c r="K38" s="20"/>
      <c r="L38" s="19"/>
      <c r="M38" s="20"/>
      <c r="N38" s="19"/>
      <c r="O38" s="20"/>
      <c r="P38" s="19"/>
      <c r="Q38" s="20"/>
      <c r="R38" s="19"/>
      <c r="S38" s="20"/>
      <c r="T38" s="19"/>
      <c r="U38" s="20"/>
      <c r="V38" s="19"/>
      <c r="W38" s="20"/>
      <c r="X38" s="19"/>
      <c r="Y38" s="20"/>
      <c r="Z38" s="19"/>
      <c r="AA38" s="20"/>
      <c r="AB38" s="19"/>
      <c r="AC38" s="20"/>
      <c r="AD38" s="19"/>
      <c r="AE38" s="20"/>
      <c r="AF38" s="19"/>
      <c r="AG38" s="20"/>
      <c r="AH38" s="19"/>
      <c r="AI38" s="20"/>
      <c r="AJ38" s="19"/>
      <c r="AK38" s="20"/>
      <c r="AL38" s="19"/>
      <c r="AM38" s="20"/>
      <c r="AN38" s="19"/>
      <c r="AO38" s="20"/>
      <c r="AP38" s="19"/>
      <c r="AQ38" s="20"/>
      <c r="AR38" s="19"/>
      <c r="AS38" s="20"/>
      <c r="AT38" s="19"/>
      <c r="AU38" s="20"/>
      <c r="AV38" s="19"/>
      <c r="AW38" s="20"/>
      <c r="AX38" s="19"/>
      <c r="AY38" s="20"/>
      <c r="AZ38" s="19"/>
      <c r="BA38" s="20"/>
      <c r="BB38" s="19"/>
      <c r="BC38" s="20"/>
      <c r="BD38" s="19"/>
      <c r="BE38" s="20"/>
      <c r="BF38" s="19"/>
      <c r="BG38" s="20"/>
      <c r="BH38" s="19"/>
    </row>
    <row r="39" spans="1:60" x14ac:dyDescent="0.15">
      <c r="A39" s="17">
        <v>1986</v>
      </c>
      <c r="B39" s="17">
        <v>4</v>
      </c>
      <c r="C39" s="20">
        <v>72.554362811434402</v>
      </c>
      <c r="D39" s="19">
        <v>4.1731424071020902E-3</v>
      </c>
      <c r="E39" s="20"/>
      <c r="F39" s="19"/>
      <c r="G39" s="20"/>
      <c r="H39" s="19"/>
      <c r="I39" s="20"/>
      <c r="J39" s="19"/>
      <c r="K39" s="20"/>
      <c r="L39" s="19"/>
      <c r="M39" s="20"/>
      <c r="N39" s="19"/>
      <c r="O39" s="20"/>
      <c r="P39" s="19"/>
      <c r="Q39" s="20"/>
      <c r="R39" s="19"/>
      <c r="S39" s="20"/>
      <c r="T39" s="19"/>
      <c r="U39" s="20"/>
      <c r="V39" s="19"/>
      <c r="W39" s="20"/>
      <c r="X39" s="19"/>
      <c r="Y39" s="20"/>
      <c r="Z39" s="19"/>
      <c r="AA39" s="20"/>
      <c r="AB39" s="19"/>
      <c r="AC39" s="20"/>
      <c r="AD39" s="19"/>
      <c r="AE39" s="20"/>
      <c r="AF39" s="19"/>
      <c r="AG39" s="20"/>
      <c r="AH39" s="19"/>
      <c r="AI39" s="20"/>
      <c r="AJ39" s="19"/>
      <c r="AK39" s="20"/>
      <c r="AL39" s="19"/>
      <c r="AM39" s="20"/>
      <c r="AN39" s="19"/>
      <c r="AO39" s="20"/>
      <c r="AP39" s="19"/>
      <c r="AQ39" s="20"/>
      <c r="AR39" s="19"/>
      <c r="AS39" s="20"/>
      <c r="AT39" s="19"/>
      <c r="AU39" s="20"/>
      <c r="AV39" s="19"/>
      <c r="AW39" s="20"/>
      <c r="AX39" s="19"/>
      <c r="AY39" s="20"/>
      <c r="AZ39" s="19"/>
      <c r="BA39" s="20"/>
      <c r="BB39" s="19"/>
      <c r="BC39" s="20"/>
      <c r="BD39" s="19"/>
      <c r="BE39" s="20"/>
      <c r="BF39" s="19"/>
      <c r="BG39" s="20"/>
      <c r="BH39" s="19"/>
    </row>
    <row r="40" spans="1:60" x14ac:dyDescent="0.15">
      <c r="A40" s="17">
        <v>1987</v>
      </c>
      <c r="B40" s="17">
        <v>1</v>
      </c>
      <c r="C40" s="20">
        <v>73.025809706784798</v>
      </c>
      <c r="D40" s="19">
        <v>6.49784350771054E-3</v>
      </c>
      <c r="E40" s="20"/>
      <c r="F40" s="19"/>
      <c r="G40" s="20"/>
      <c r="H40" s="19"/>
      <c r="I40" s="20"/>
      <c r="J40" s="19"/>
      <c r="K40" s="20"/>
      <c r="L40" s="19"/>
      <c r="M40" s="20"/>
      <c r="N40" s="19"/>
      <c r="O40" s="20"/>
      <c r="P40" s="19"/>
      <c r="Q40" s="20"/>
      <c r="R40" s="19"/>
      <c r="S40" s="20"/>
      <c r="T40" s="19"/>
      <c r="U40" s="20"/>
      <c r="V40" s="19"/>
      <c r="W40" s="20"/>
      <c r="X40" s="19"/>
      <c r="Y40" s="20"/>
      <c r="Z40" s="19"/>
      <c r="AA40" s="20"/>
      <c r="AB40" s="19"/>
      <c r="AC40" s="20"/>
      <c r="AD40" s="19"/>
      <c r="AE40" s="20"/>
      <c r="AF40" s="19"/>
      <c r="AG40" s="20"/>
      <c r="AH40" s="19"/>
      <c r="AI40" s="20"/>
      <c r="AJ40" s="19"/>
      <c r="AK40" s="20"/>
      <c r="AL40" s="19"/>
      <c r="AM40" s="20"/>
      <c r="AN40" s="19"/>
      <c r="AO40" s="20"/>
      <c r="AP40" s="19"/>
      <c r="AQ40" s="20"/>
      <c r="AR40" s="19"/>
      <c r="AS40" s="20"/>
      <c r="AT40" s="19"/>
      <c r="AU40" s="20"/>
      <c r="AV40" s="19"/>
      <c r="AW40" s="20"/>
      <c r="AX40" s="19"/>
      <c r="AY40" s="20"/>
      <c r="AZ40" s="19"/>
      <c r="BA40" s="20"/>
      <c r="BB40" s="19"/>
      <c r="BC40" s="20"/>
      <c r="BD40" s="19"/>
      <c r="BE40" s="20"/>
      <c r="BF40" s="19"/>
      <c r="BG40" s="20"/>
      <c r="BH40" s="19"/>
    </row>
    <row r="41" spans="1:60" x14ac:dyDescent="0.15">
      <c r="A41" s="17">
        <v>1987</v>
      </c>
      <c r="B41" s="17">
        <v>2</v>
      </c>
      <c r="C41" s="20">
        <v>73.239926737766496</v>
      </c>
      <c r="D41" s="19">
        <v>2.9320733565492102E-3</v>
      </c>
      <c r="E41" s="20"/>
      <c r="F41" s="19"/>
      <c r="G41" s="20"/>
      <c r="H41" s="19"/>
      <c r="I41" s="20"/>
      <c r="J41" s="19"/>
      <c r="K41" s="20"/>
      <c r="L41" s="19"/>
      <c r="M41" s="20"/>
      <c r="N41" s="19"/>
      <c r="O41" s="20"/>
      <c r="P41" s="19"/>
      <c r="Q41" s="20"/>
      <c r="R41" s="19"/>
      <c r="S41" s="20"/>
      <c r="T41" s="19"/>
      <c r="U41" s="20"/>
      <c r="V41" s="19"/>
      <c r="W41" s="20"/>
      <c r="X41" s="19"/>
      <c r="Y41" s="20"/>
      <c r="Z41" s="19"/>
      <c r="AA41" s="20"/>
      <c r="AB41" s="19"/>
      <c r="AC41" s="20"/>
      <c r="AD41" s="19"/>
      <c r="AE41" s="20"/>
      <c r="AF41" s="19"/>
      <c r="AG41" s="20"/>
      <c r="AH41" s="19"/>
      <c r="AI41" s="20"/>
      <c r="AJ41" s="19"/>
      <c r="AK41" s="20"/>
      <c r="AL41" s="19"/>
      <c r="AM41" s="20"/>
      <c r="AN41" s="19"/>
      <c r="AO41" s="20"/>
      <c r="AP41" s="19"/>
      <c r="AQ41" s="20"/>
      <c r="AR41" s="19"/>
      <c r="AS41" s="20"/>
      <c r="AT41" s="19"/>
      <c r="AU41" s="20"/>
      <c r="AV41" s="19"/>
      <c r="AW41" s="20"/>
      <c r="AX41" s="19"/>
      <c r="AY41" s="20"/>
      <c r="AZ41" s="19"/>
      <c r="BA41" s="20"/>
      <c r="BB41" s="19"/>
      <c r="BC41" s="20"/>
      <c r="BD41" s="19"/>
      <c r="BE41" s="20"/>
      <c r="BF41" s="19"/>
      <c r="BG41" s="20"/>
      <c r="BH41" s="19"/>
    </row>
    <row r="42" spans="1:60" x14ac:dyDescent="0.15">
      <c r="A42" s="17">
        <v>1987</v>
      </c>
      <c r="B42" s="17">
        <v>3</v>
      </c>
      <c r="C42" s="20">
        <v>73.566513083639094</v>
      </c>
      <c r="D42" s="19">
        <v>4.4591298820102496E-3</v>
      </c>
      <c r="E42" s="20"/>
      <c r="F42" s="19"/>
      <c r="G42" s="20"/>
      <c r="H42" s="19"/>
      <c r="I42" s="20"/>
      <c r="J42" s="19"/>
      <c r="K42" s="20"/>
      <c r="L42" s="19"/>
      <c r="M42" s="20"/>
      <c r="N42" s="19"/>
      <c r="O42" s="20"/>
      <c r="P42" s="19"/>
      <c r="Q42" s="20"/>
      <c r="R42" s="19"/>
      <c r="S42" s="20"/>
      <c r="T42" s="19"/>
      <c r="U42" s="20"/>
      <c r="V42" s="19"/>
      <c r="W42" s="20"/>
      <c r="X42" s="19"/>
      <c r="Y42" s="20"/>
      <c r="Z42" s="19"/>
      <c r="AA42" s="20"/>
      <c r="AB42" s="19"/>
      <c r="AC42" s="20"/>
      <c r="AD42" s="19"/>
      <c r="AE42" s="20"/>
      <c r="AF42" s="19"/>
      <c r="AG42" s="20"/>
      <c r="AH42" s="19"/>
      <c r="AI42" s="20"/>
      <c r="AJ42" s="19"/>
      <c r="AK42" s="20"/>
      <c r="AL42" s="19"/>
      <c r="AM42" s="20"/>
      <c r="AN42" s="19"/>
      <c r="AO42" s="20"/>
      <c r="AP42" s="19"/>
      <c r="AQ42" s="20"/>
      <c r="AR42" s="19"/>
      <c r="AS42" s="20"/>
      <c r="AT42" s="19"/>
      <c r="AU42" s="20"/>
      <c r="AV42" s="19"/>
      <c r="AW42" s="20"/>
      <c r="AX42" s="19"/>
      <c r="AY42" s="20"/>
      <c r="AZ42" s="19"/>
      <c r="BA42" s="20"/>
      <c r="BB42" s="19"/>
      <c r="BC42" s="20"/>
      <c r="BD42" s="19"/>
      <c r="BE42" s="20"/>
      <c r="BF42" s="19"/>
      <c r="BG42" s="20"/>
      <c r="BH42" s="19"/>
    </row>
    <row r="43" spans="1:60" x14ac:dyDescent="0.15">
      <c r="A43" s="17">
        <v>1987</v>
      </c>
      <c r="B43" s="17">
        <v>4</v>
      </c>
      <c r="C43" s="20">
        <v>74.3464628888851</v>
      </c>
      <c r="D43" s="19">
        <v>1.0601967832283701E-2</v>
      </c>
      <c r="E43" s="20"/>
      <c r="F43" s="19"/>
      <c r="G43" s="20"/>
      <c r="H43" s="19"/>
      <c r="I43" s="20"/>
      <c r="J43" s="19"/>
      <c r="K43" s="20"/>
      <c r="L43" s="19"/>
      <c r="M43" s="20"/>
      <c r="N43" s="19"/>
      <c r="O43" s="20"/>
      <c r="P43" s="19"/>
      <c r="Q43" s="20"/>
      <c r="R43" s="19"/>
      <c r="S43" s="20"/>
      <c r="T43" s="19"/>
      <c r="U43" s="20"/>
      <c r="V43" s="19"/>
      <c r="W43" s="20"/>
      <c r="X43" s="19"/>
      <c r="Y43" s="20"/>
      <c r="Z43" s="19"/>
      <c r="AA43" s="20"/>
      <c r="AB43" s="19"/>
      <c r="AC43" s="20"/>
      <c r="AD43" s="19"/>
      <c r="AE43" s="20"/>
      <c r="AF43" s="19"/>
      <c r="AG43" s="20"/>
      <c r="AH43" s="19"/>
      <c r="AI43" s="20"/>
      <c r="AJ43" s="19"/>
      <c r="AK43" s="20"/>
      <c r="AL43" s="19"/>
      <c r="AM43" s="20"/>
      <c r="AN43" s="19"/>
      <c r="AO43" s="20"/>
      <c r="AP43" s="19"/>
      <c r="AQ43" s="20"/>
      <c r="AR43" s="19"/>
      <c r="AS43" s="20"/>
      <c r="AT43" s="19"/>
      <c r="AU43" s="20"/>
      <c r="AV43" s="19"/>
      <c r="AW43" s="20"/>
      <c r="AX43" s="19"/>
      <c r="AY43" s="20"/>
      <c r="AZ43" s="19"/>
      <c r="BA43" s="20"/>
      <c r="BB43" s="19"/>
      <c r="BC43" s="20"/>
      <c r="BD43" s="19"/>
      <c r="BE43" s="20"/>
      <c r="BF43" s="19"/>
      <c r="BG43" s="20"/>
      <c r="BH43" s="19"/>
    </row>
    <row r="44" spans="1:60" x14ac:dyDescent="0.15">
      <c r="A44" s="17">
        <v>1988</v>
      </c>
      <c r="B44" s="17">
        <v>1</v>
      </c>
      <c r="C44" s="20">
        <v>74.687369555511495</v>
      </c>
      <c r="D44" s="19">
        <v>4.5853784212428498E-3</v>
      </c>
      <c r="E44" s="20"/>
      <c r="F44" s="19"/>
      <c r="G44" s="20"/>
      <c r="H44" s="19"/>
      <c r="I44" s="20"/>
      <c r="J44" s="19"/>
      <c r="K44" s="20"/>
      <c r="L44" s="19"/>
      <c r="M44" s="20"/>
      <c r="N44" s="19"/>
      <c r="O44" s="20"/>
      <c r="P44" s="19"/>
      <c r="Q44" s="20"/>
      <c r="R44" s="19"/>
      <c r="S44" s="20"/>
      <c r="T44" s="19"/>
      <c r="U44" s="20"/>
      <c r="V44" s="19"/>
      <c r="W44" s="20"/>
      <c r="X44" s="19"/>
      <c r="Y44" s="20"/>
      <c r="Z44" s="19"/>
      <c r="AA44" s="20"/>
      <c r="AB44" s="19"/>
      <c r="AC44" s="20"/>
      <c r="AD44" s="19"/>
      <c r="AE44" s="20"/>
      <c r="AF44" s="19"/>
      <c r="AG44" s="20"/>
      <c r="AH44" s="19"/>
      <c r="AI44" s="20"/>
      <c r="AJ44" s="19"/>
      <c r="AK44" s="20"/>
      <c r="AL44" s="19"/>
      <c r="AM44" s="20"/>
      <c r="AN44" s="19"/>
      <c r="AO44" s="20"/>
      <c r="AP44" s="19"/>
      <c r="AQ44" s="20"/>
      <c r="AR44" s="19"/>
      <c r="AS44" s="20"/>
      <c r="AT44" s="19"/>
      <c r="AU44" s="20"/>
      <c r="AV44" s="19"/>
      <c r="AW44" s="20"/>
      <c r="AX44" s="19"/>
      <c r="AY44" s="20"/>
      <c r="AZ44" s="19"/>
      <c r="BA44" s="20"/>
      <c r="BB44" s="19"/>
      <c r="BC44" s="20"/>
      <c r="BD44" s="19"/>
      <c r="BE44" s="20"/>
      <c r="BF44" s="19"/>
      <c r="BG44" s="20"/>
      <c r="BH44" s="19"/>
    </row>
    <row r="45" spans="1:60" x14ac:dyDescent="0.15">
      <c r="A45" s="17">
        <v>1988</v>
      </c>
      <c r="B45" s="17">
        <v>2</v>
      </c>
      <c r="C45" s="20">
        <v>75.281711301736095</v>
      </c>
      <c r="D45" s="19">
        <v>7.9577276554490001E-3</v>
      </c>
      <c r="E45" s="20"/>
      <c r="F45" s="19"/>
      <c r="G45" s="20"/>
      <c r="H45" s="19"/>
      <c r="I45" s="20"/>
      <c r="J45" s="19"/>
      <c r="K45" s="20"/>
      <c r="L45" s="19"/>
      <c r="M45" s="20"/>
      <c r="N45" s="19"/>
      <c r="O45" s="20"/>
      <c r="P45" s="19"/>
      <c r="Q45" s="20"/>
      <c r="R45" s="19"/>
      <c r="S45" s="20"/>
      <c r="T45" s="19"/>
      <c r="U45" s="20"/>
      <c r="V45" s="19"/>
      <c r="W45" s="20"/>
      <c r="X45" s="19"/>
      <c r="Y45" s="20"/>
      <c r="Z45" s="19"/>
      <c r="AA45" s="20"/>
      <c r="AB45" s="19"/>
      <c r="AC45" s="20"/>
      <c r="AD45" s="19"/>
      <c r="AE45" s="20"/>
      <c r="AF45" s="19"/>
      <c r="AG45" s="20"/>
      <c r="AH45" s="19"/>
      <c r="AI45" s="20"/>
      <c r="AJ45" s="19"/>
      <c r="AK45" s="20"/>
      <c r="AL45" s="19"/>
      <c r="AM45" s="20"/>
      <c r="AN45" s="19"/>
      <c r="AO45" s="20"/>
      <c r="AP45" s="19"/>
      <c r="AQ45" s="20"/>
      <c r="AR45" s="19"/>
      <c r="AS45" s="20"/>
      <c r="AT45" s="19"/>
      <c r="AU45" s="20"/>
      <c r="AV45" s="19"/>
      <c r="AW45" s="20"/>
      <c r="AX45" s="19"/>
      <c r="AY45" s="20"/>
      <c r="AZ45" s="19"/>
      <c r="BA45" s="20"/>
      <c r="BB45" s="19"/>
      <c r="BC45" s="20"/>
      <c r="BD45" s="19"/>
      <c r="BE45" s="20"/>
      <c r="BF45" s="19"/>
      <c r="BG45" s="20"/>
      <c r="BH45" s="19"/>
    </row>
    <row r="46" spans="1:60" x14ac:dyDescent="0.15">
      <c r="A46" s="17">
        <v>1988</v>
      </c>
      <c r="B46" s="17">
        <v>3</v>
      </c>
      <c r="C46" s="20">
        <v>75.848621011997494</v>
      </c>
      <c r="D46" s="19">
        <v>7.5305104049658801E-3</v>
      </c>
      <c r="E46" s="20"/>
      <c r="F46" s="19"/>
      <c r="G46" s="20"/>
      <c r="H46" s="19"/>
      <c r="I46" s="20"/>
      <c r="J46" s="19"/>
      <c r="K46" s="20"/>
      <c r="L46" s="19"/>
      <c r="M46" s="20"/>
      <c r="N46" s="19"/>
      <c r="O46" s="20"/>
      <c r="P46" s="19"/>
      <c r="Q46" s="20"/>
      <c r="R46" s="19"/>
      <c r="S46" s="20"/>
      <c r="T46" s="19"/>
      <c r="U46" s="20"/>
      <c r="V46" s="19"/>
      <c r="W46" s="20"/>
      <c r="X46" s="19"/>
      <c r="Y46" s="20"/>
      <c r="Z46" s="19"/>
      <c r="AA46" s="20"/>
      <c r="AB46" s="19"/>
      <c r="AC46" s="20"/>
      <c r="AD46" s="19"/>
      <c r="AE46" s="20"/>
      <c r="AF46" s="19"/>
      <c r="AG46" s="20"/>
      <c r="AH46" s="19"/>
      <c r="AI46" s="20"/>
      <c r="AJ46" s="19"/>
      <c r="AK46" s="20"/>
      <c r="AL46" s="19"/>
      <c r="AM46" s="20"/>
      <c r="AN46" s="19"/>
      <c r="AO46" s="20"/>
      <c r="AP46" s="19"/>
      <c r="AQ46" s="20"/>
      <c r="AR46" s="19"/>
      <c r="AS46" s="20"/>
      <c r="AT46" s="19"/>
      <c r="AU46" s="20"/>
      <c r="AV46" s="19"/>
      <c r="AW46" s="20"/>
      <c r="AX46" s="19"/>
      <c r="AY46" s="20"/>
      <c r="AZ46" s="19"/>
      <c r="BA46" s="20"/>
      <c r="BB46" s="19"/>
      <c r="BC46" s="20"/>
      <c r="BD46" s="19"/>
      <c r="BE46" s="20"/>
      <c r="BF46" s="19"/>
      <c r="BG46" s="20"/>
      <c r="BH46" s="19"/>
    </row>
    <row r="47" spans="1:60" x14ac:dyDescent="0.15">
      <c r="A47" s="17">
        <v>1988</v>
      </c>
      <c r="B47" s="17">
        <v>4</v>
      </c>
      <c r="C47" s="20">
        <v>76.500833261571699</v>
      </c>
      <c r="D47" s="19">
        <v>8.5988675980155395E-3</v>
      </c>
      <c r="E47" s="20"/>
      <c r="F47" s="19"/>
      <c r="G47" s="20"/>
      <c r="H47" s="19"/>
      <c r="I47" s="20"/>
      <c r="J47" s="19"/>
      <c r="K47" s="20"/>
      <c r="L47" s="19"/>
      <c r="M47" s="20"/>
      <c r="N47" s="19"/>
      <c r="O47" s="20"/>
      <c r="P47" s="19"/>
      <c r="Q47" s="20"/>
      <c r="R47" s="19"/>
      <c r="S47" s="20"/>
      <c r="T47" s="19"/>
      <c r="U47" s="20"/>
      <c r="V47" s="19"/>
      <c r="W47" s="20"/>
      <c r="X47" s="19"/>
      <c r="Y47" s="20"/>
      <c r="Z47" s="19"/>
      <c r="AA47" s="20"/>
      <c r="AB47" s="19"/>
      <c r="AC47" s="20"/>
      <c r="AD47" s="19"/>
      <c r="AE47" s="20"/>
      <c r="AF47" s="19"/>
      <c r="AG47" s="20"/>
      <c r="AH47" s="19"/>
      <c r="AI47" s="20"/>
      <c r="AJ47" s="19"/>
      <c r="AK47" s="20"/>
      <c r="AL47" s="19"/>
      <c r="AM47" s="20"/>
      <c r="AN47" s="19"/>
      <c r="AO47" s="20"/>
      <c r="AP47" s="19"/>
      <c r="AQ47" s="20"/>
      <c r="AR47" s="19"/>
      <c r="AS47" s="20"/>
      <c r="AT47" s="19"/>
      <c r="AU47" s="20"/>
      <c r="AV47" s="19"/>
      <c r="AW47" s="20"/>
      <c r="AX47" s="19"/>
      <c r="AY47" s="20"/>
      <c r="AZ47" s="19"/>
      <c r="BA47" s="20"/>
      <c r="BB47" s="19"/>
      <c r="BC47" s="20"/>
      <c r="BD47" s="19"/>
      <c r="BE47" s="20"/>
      <c r="BF47" s="19"/>
      <c r="BG47" s="20"/>
      <c r="BH47" s="19"/>
    </row>
    <row r="48" spans="1:60" x14ac:dyDescent="0.15">
      <c r="A48" s="17">
        <v>1989</v>
      </c>
      <c r="B48" s="17">
        <v>1</v>
      </c>
      <c r="C48" s="20">
        <v>77.1657435743723</v>
      </c>
      <c r="D48" s="19">
        <v>8.6915434048562296E-3</v>
      </c>
      <c r="E48" s="20"/>
      <c r="F48" s="19"/>
      <c r="G48" s="20"/>
      <c r="H48" s="19"/>
      <c r="I48" s="20"/>
      <c r="J48" s="19"/>
      <c r="K48" s="20"/>
      <c r="L48" s="19"/>
      <c r="M48" s="20"/>
      <c r="N48" s="19"/>
      <c r="O48" s="20"/>
      <c r="P48" s="19"/>
      <c r="Q48" s="20"/>
      <c r="R48" s="19"/>
      <c r="S48" s="20"/>
      <c r="T48" s="19"/>
      <c r="U48" s="20"/>
      <c r="V48" s="19"/>
      <c r="W48" s="20"/>
      <c r="X48" s="19"/>
      <c r="Y48" s="20"/>
      <c r="Z48" s="19"/>
      <c r="AA48" s="20"/>
      <c r="AB48" s="19"/>
      <c r="AC48" s="20"/>
      <c r="AD48" s="19"/>
      <c r="AE48" s="20"/>
      <c r="AF48" s="19"/>
      <c r="AG48" s="20"/>
      <c r="AH48" s="19"/>
      <c r="AI48" s="20"/>
      <c r="AJ48" s="19"/>
      <c r="AK48" s="20"/>
      <c r="AL48" s="19"/>
      <c r="AM48" s="20"/>
      <c r="AN48" s="19"/>
      <c r="AO48" s="20"/>
      <c r="AP48" s="19"/>
      <c r="AQ48" s="20"/>
      <c r="AR48" s="19"/>
      <c r="AS48" s="20"/>
      <c r="AT48" s="19"/>
      <c r="AU48" s="20"/>
      <c r="AV48" s="19"/>
      <c r="AW48" s="20"/>
      <c r="AX48" s="19"/>
      <c r="AY48" s="20"/>
      <c r="AZ48" s="19"/>
      <c r="BA48" s="20"/>
      <c r="BB48" s="19"/>
      <c r="BC48" s="20"/>
      <c r="BD48" s="19"/>
      <c r="BE48" s="20"/>
      <c r="BF48" s="19"/>
      <c r="BG48" s="20"/>
      <c r="BH48" s="19"/>
    </row>
    <row r="49" spans="1:60" x14ac:dyDescent="0.15">
      <c r="A49" s="17">
        <v>1989</v>
      </c>
      <c r="B49" s="17">
        <v>2</v>
      </c>
      <c r="C49" s="20">
        <v>77.876544286149596</v>
      </c>
      <c r="D49" s="19">
        <v>9.2113505145217101E-3</v>
      </c>
      <c r="E49" s="20"/>
      <c r="F49" s="19"/>
      <c r="G49" s="20"/>
      <c r="H49" s="19"/>
      <c r="I49" s="20"/>
      <c r="J49" s="19"/>
      <c r="K49" s="20"/>
      <c r="L49" s="19"/>
      <c r="M49" s="20"/>
      <c r="N49" s="19"/>
      <c r="O49" s="20"/>
      <c r="P49" s="19"/>
      <c r="Q49" s="20"/>
      <c r="R49" s="19"/>
      <c r="S49" s="20"/>
      <c r="T49" s="19"/>
      <c r="U49" s="20"/>
      <c r="V49" s="19"/>
      <c r="W49" s="20"/>
      <c r="X49" s="19"/>
      <c r="Y49" s="20"/>
      <c r="Z49" s="19"/>
      <c r="AA49" s="20"/>
      <c r="AB49" s="19"/>
      <c r="AC49" s="20"/>
      <c r="AD49" s="19"/>
      <c r="AE49" s="20"/>
      <c r="AF49" s="19"/>
      <c r="AG49" s="20"/>
      <c r="AH49" s="19"/>
      <c r="AI49" s="20"/>
      <c r="AJ49" s="19"/>
      <c r="AK49" s="20"/>
      <c r="AL49" s="19"/>
      <c r="AM49" s="20"/>
      <c r="AN49" s="19"/>
      <c r="AO49" s="20"/>
      <c r="AP49" s="19"/>
      <c r="AQ49" s="20"/>
      <c r="AR49" s="19"/>
      <c r="AS49" s="20"/>
      <c r="AT49" s="19"/>
      <c r="AU49" s="20"/>
      <c r="AV49" s="19"/>
      <c r="AW49" s="20"/>
      <c r="AX49" s="19"/>
      <c r="AY49" s="20"/>
      <c r="AZ49" s="19"/>
      <c r="BA49" s="20"/>
      <c r="BB49" s="19"/>
      <c r="BC49" s="20"/>
      <c r="BD49" s="19"/>
      <c r="BE49" s="20"/>
      <c r="BF49" s="19"/>
      <c r="BG49" s="20"/>
      <c r="BH49" s="19"/>
    </row>
    <row r="50" spans="1:60" x14ac:dyDescent="0.15">
      <c r="A50" s="17">
        <v>1989</v>
      </c>
      <c r="B50" s="17">
        <v>3</v>
      </c>
      <c r="C50" s="20">
        <v>78.510279830417701</v>
      </c>
      <c r="D50" s="19">
        <v>8.1376947330831194E-3</v>
      </c>
      <c r="E50" s="20"/>
      <c r="F50" s="19"/>
      <c r="G50" s="20"/>
      <c r="H50" s="19"/>
      <c r="I50" s="20"/>
      <c r="J50" s="19"/>
      <c r="K50" s="20"/>
      <c r="L50" s="19"/>
      <c r="M50" s="20"/>
      <c r="N50" s="19"/>
      <c r="O50" s="20"/>
      <c r="P50" s="19"/>
      <c r="Q50" s="20"/>
      <c r="R50" s="19"/>
      <c r="S50" s="20"/>
      <c r="T50" s="19"/>
      <c r="U50" s="20"/>
      <c r="V50" s="19"/>
      <c r="W50" s="20"/>
      <c r="X50" s="19"/>
      <c r="Y50" s="20"/>
      <c r="Z50" s="19"/>
      <c r="AA50" s="20"/>
      <c r="AB50" s="19"/>
      <c r="AC50" s="20"/>
      <c r="AD50" s="19"/>
      <c r="AE50" s="20"/>
      <c r="AF50" s="19"/>
      <c r="AG50" s="20"/>
      <c r="AH50" s="19"/>
      <c r="AI50" s="20"/>
      <c r="AJ50" s="19"/>
      <c r="AK50" s="20"/>
      <c r="AL50" s="19"/>
      <c r="AM50" s="20"/>
      <c r="AN50" s="19"/>
      <c r="AO50" s="20"/>
      <c r="AP50" s="19"/>
      <c r="AQ50" s="20"/>
      <c r="AR50" s="19"/>
      <c r="AS50" s="20"/>
      <c r="AT50" s="19"/>
      <c r="AU50" s="20"/>
      <c r="AV50" s="19"/>
      <c r="AW50" s="20"/>
      <c r="AX50" s="19"/>
      <c r="AY50" s="20"/>
      <c r="AZ50" s="19"/>
      <c r="BA50" s="20"/>
      <c r="BB50" s="19"/>
      <c r="BC50" s="20"/>
      <c r="BD50" s="19"/>
      <c r="BE50" s="20"/>
      <c r="BF50" s="19"/>
      <c r="BG50" s="20"/>
      <c r="BH50" s="19"/>
    </row>
    <row r="51" spans="1:60" x14ac:dyDescent="0.15">
      <c r="A51" s="17">
        <v>1989</v>
      </c>
      <c r="B51" s="17">
        <v>4</v>
      </c>
      <c r="C51" s="20">
        <v>79.296039958473202</v>
      </c>
      <c r="D51" s="19">
        <v>1.0008372530995799E-2</v>
      </c>
      <c r="E51" s="20"/>
      <c r="F51" s="19"/>
      <c r="G51" s="20"/>
      <c r="H51" s="19"/>
      <c r="I51" s="20"/>
      <c r="J51" s="19"/>
      <c r="K51" s="20"/>
      <c r="L51" s="19"/>
      <c r="M51" s="20"/>
      <c r="N51" s="19"/>
      <c r="O51" s="20"/>
      <c r="P51" s="19"/>
      <c r="Q51" s="20"/>
      <c r="R51" s="19"/>
      <c r="S51" s="20"/>
      <c r="T51" s="19"/>
      <c r="U51" s="20"/>
      <c r="V51" s="19"/>
      <c r="W51" s="20"/>
      <c r="X51" s="19"/>
      <c r="Y51" s="20"/>
      <c r="Z51" s="19"/>
      <c r="AA51" s="20"/>
      <c r="AB51" s="19"/>
      <c r="AC51" s="20"/>
      <c r="AD51" s="19"/>
      <c r="AE51" s="20"/>
      <c r="AF51" s="19"/>
      <c r="AG51" s="20"/>
      <c r="AH51" s="19"/>
      <c r="AI51" s="20"/>
      <c r="AJ51" s="19"/>
      <c r="AK51" s="20"/>
      <c r="AL51" s="19"/>
      <c r="AM51" s="20"/>
      <c r="AN51" s="19"/>
      <c r="AO51" s="20"/>
      <c r="AP51" s="19"/>
      <c r="AQ51" s="20"/>
      <c r="AR51" s="19"/>
      <c r="AS51" s="20"/>
      <c r="AT51" s="19"/>
      <c r="AU51" s="20"/>
      <c r="AV51" s="19"/>
      <c r="AW51" s="20"/>
      <c r="AX51" s="19"/>
      <c r="AY51" s="20"/>
      <c r="AZ51" s="19"/>
      <c r="BA51" s="20"/>
      <c r="BB51" s="19"/>
      <c r="BC51" s="20"/>
      <c r="BD51" s="19"/>
      <c r="BE51" s="20"/>
      <c r="BF51" s="19"/>
      <c r="BG51" s="20"/>
      <c r="BH51" s="19"/>
    </row>
    <row r="52" spans="1:60" x14ac:dyDescent="0.15">
      <c r="A52" s="17">
        <v>1990</v>
      </c>
      <c r="B52" s="17">
        <v>1</v>
      </c>
      <c r="C52" s="20">
        <v>80.257056567803005</v>
      </c>
      <c r="D52" s="19">
        <v>1.21193518596012E-2</v>
      </c>
      <c r="E52" s="20">
        <v>79.893374065434003</v>
      </c>
      <c r="F52" s="19"/>
      <c r="G52" s="20">
        <v>152.73576627165701</v>
      </c>
      <c r="H52" s="19"/>
      <c r="I52" s="20">
        <v>67.322812663240995</v>
      </c>
      <c r="J52" s="19"/>
      <c r="K52" s="20">
        <v>103.87263581229</v>
      </c>
      <c r="L52" s="19"/>
      <c r="M52" s="20">
        <v>216.80537580920901</v>
      </c>
      <c r="N52" s="19"/>
      <c r="O52" s="20">
        <v>79.294569463129093</v>
      </c>
      <c r="P52" s="19"/>
      <c r="Q52" s="20">
        <v>45.590639113880698</v>
      </c>
      <c r="R52" s="19"/>
      <c r="S52" s="20">
        <v>227.474090031635</v>
      </c>
      <c r="T52" s="19"/>
      <c r="U52" s="20">
        <v>76.337508419968898</v>
      </c>
      <c r="V52" s="19"/>
      <c r="W52" s="20">
        <v>91.014003325029293</v>
      </c>
      <c r="X52" s="19"/>
      <c r="Y52" s="20">
        <v>107.532442139938</v>
      </c>
      <c r="Z52" s="19"/>
      <c r="AA52" s="20">
        <v>61.751925535155301</v>
      </c>
      <c r="AB52" s="19"/>
      <c r="AC52" s="20">
        <v>52.795600591429498</v>
      </c>
      <c r="AD52" s="19"/>
      <c r="AE52" s="20">
        <v>96.132531670810295</v>
      </c>
      <c r="AF52" s="19"/>
      <c r="AG52" s="20">
        <v>106.651109144144</v>
      </c>
      <c r="AH52" s="19"/>
      <c r="AI52" s="20">
        <v>75.165649625748699</v>
      </c>
      <c r="AJ52" s="19"/>
      <c r="AK52" s="20">
        <v>182.91146041971899</v>
      </c>
      <c r="AL52" s="19"/>
      <c r="AM52" s="20">
        <v>56.368332986636197</v>
      </c>
      <c r="AN52" s="19"/>
      <c r="AO52" s="20">
        <v>66.078577672706402</v>
      </c>
      <c r="AP52" s="19"/>
      <c r="AQ52" s="20">
        <v>57.025665528512</v>
      </c>
      <c r="AR52" s="19"/>
      <c r="AS52" s="20">
        <v>68.758103761579804</v>
      </c>
      <c r="AT52" s="19"/>
      <c r="AU52" s="20">
        <v>41.107847432715701</v>
      </c>
      <c r="AV52" s="19"/>
      <c r="AW52" s="20">
        <v>45.668398513542797</v>
      </c>
      <c r="AX52" s="19"/>
      <c r="AY52" s="20">
        <v>70.383617926687904</v>
      </c>
      <c r="AZ52" s="19"/>
      <c r="BA52" s="20">
        <v>90.0984219965694</v>
      </c>
      <c r="BB52" s="19"/>
      <c r="BC52" s="20">
        <v>80.675347398499994</v>
      </c>
      <c r="BD52" s="19"/>
      <c r="BE52" s="20">
        <v>68.122569669361098</v>
      </c>
      <c r="BF52" s="19"/>
      <c r="BG52" s="20"/>
      <c r="BH52" s="19"/>
    </row>
    <row r="53" spans="1:60" x14ac:dyDescent="0.15">
      <c r="A53" s="17">
        <v>1990</v>
      </c>
      <c r="B53" s="17">
        <v>2</v>
      </c>
      <c r="C53" s="20">
        <v>81.302207281444197</v>
      </c>
      <c r="D53" s="19">
        <v>1.3022539803191799E-2</v>
      </c>
      <c r="E53" s="20">
        <v>80.899052234959001</v>
      </c>
      <c r="F53" s="19">
        <v>1.2587754382502399E-2</v>
      </c>
      <c r="G53" s="20">
        <v>154.21383169367101</v>
      </c>
      <c r="H53" s="19">
        <v>9.6772711336325905E-3</v>
      </c>
      <c r="I53" s="20">
        <v>68.4332533583474</v>
      </c>
      <c r="J53" s="19">
        <v>1.64942706814841E-2</v>
      </c>
      <c r="K53" s="20">
        <v>105.367751145233</v>
      </c>
      <c r="L53" s="19">
        <v>1.4393736341148201E-2</v>
      </c>
      <c r="M53" s="20">
        <v>216.77320488603999</v>
      </c>
      <c r="N53" s="19">
        <v>-1.48386187603045E-4</v>
      </c>
      <c r="O53" s="20">
        <v>80.657911904563093</v>
      </c>
      <c r="P53" s="19">
        <v>1.7193389795348901E-2</v>
      </c>
      <c r="Q53" s="20">
        <v>46.874183132439903</v>
      </c>
      <c r="R53" s="19">
        <v>2.8153674603091899E-2</v>
      </c>
      <c r="S53" s="20">
        <v>227.26141748849901</v>
      </c>
      <c r="T53" s="19">
        <v>-9.3493084467632904E-4</v>
      </c>
      <c r="U53" s="20">
        <v>77.911220026900693</v>
      </c>
      <c r="V53" s="19">
        <v>2.0615181704307699E-2</v>
      </c>
      <c r="W53" s="20">
        <v>91.371508528268095</v>
      </c>
      <c r="X53" s="19">
        <v>3.9280241520869303E-3</v>
      </c>
      <c r="Y53" s="20">
        <v>108.34309172862601</v>
      </c>
      <c r="Z53" s="19">
        <v>7.5386513368060903E-3</v>
      </c>
      <c r="AA53" s="20">
        <v>62.597618305248702</v>
      </c>
      <c r="AB53" s="19">
        <v>1.36950024272833E-2</v>
      </c>
      <c r="AC53" s="20">
        <v>54.0726251370764</v>
      </c>
      <c r="AD53" s="19">
        <v>2.4188086343205399E-2</v>
      </c>
      <c r="AE53" s="20">
        <v>96.636167141405394</v>
      </c>
      <c r="AF53" s="19">
        <v>5.2389702199848696E-3</v>
      </c>
      <c r="AG53" s="20">
        <v>106.705657657301</v>
      </c>
      <c r="AH53" s="19">
        <v>5.1146690920122995E-4</v>
      </c>
      <c r="AI53" s="20">
        <v>74.128450075057202</v>
      </c>
      <c r="AJ53" s="19">
        <v>-1.3798850350602101E-2</v>
      </c>
      <c r="AK53" s="20">
        <v>184.54391732503399</v>
      </c>
      <c r="AL53" s="19">
        <v>8.9248475823695498E-3</v>
      </c>
      <c r="AM53" s="20">
        <v>57.2324430988266</v>
      </c>
      <c r="AN53" s="19">
        <v>1.53297084800299E-2</v>
      </c>
      <c r="AO53" s="20">
        <v>67.265869487646697</v>
      </c>
      <c r="AP53" s="19">
        <v>1.7967877892605798E-2</v>
      </c>
      <c r="AQ53" s="20">
        <v>58.058665103810597</v>
      </c>
      <c r="AR53" s="19">
        <v>1.8114643042301402E-2</v>
      </c>
      <c r="AS53" s="20">
        <v>69.626853134777306</v>
      </c>
      <c r="AT53" s="19">
        <v>1.2634865211087001E-2</v>
      </c>
      <c r="AU53" s="20">
        <v>41.904334332044499</v>
      </c>
      <c r="AV53" s="19">
        <v>1.9375543821225499E-2</v>
      </c>
      <c r="AW53" s="20">
        <v>47.083461832413803</v>
      </c>
      <c r="AX53" s="19">
        <v>3.0985612916804899E-2</v>
      </c>
      <c r="AY53" s="20">
        <v>71.597569214706994</v>
      </c>
      <c r="AZ53" s="19">
        <v>1.7247639774407901E-2</v>
      </c>
      <c r="BA53" s="20">
        <v>92.655998011103506</v>
      </c>
      <c r="BB53" s="19">
        <v>2.8386468462582699E-2</v>
      </c>
      <c r="BC53" s="20">
        <v>82.406340825261097</v>
      </c>
      <c r="BD53" s="19">
        <v>2.1456287237424002E-2</v>
      </c>
      <c r="BE53" s="20">
        <v>68.932132308030404</v>
      </c>
      <c r="BF53" s="19">
        <v>1.18839122276007E-2</v>
      </c>
      <c r="BG53" s="20"/>
      <c r="BH53" s="19"/>
    </row>
    <row r="54" spans="1:60" x14ac:dyDescent="0.15">
      <c r="A54" s="17">
        <v>1990</v>
      </c>
      <c r="B54" s="17">
        <v>3</v>
      </c>
      <c r="C54" s="20">
        <v>82.258356599935595</v>
      </c>
      <c r="D54" s="19">
        <v>1.1760434931139801E-2</v>
      </c>
      <c r="E54" s="20">
        <v>81.834253316816799</v>
      </c>
      <c r="F54" s="19">
        <v>1.1560099358663299E-2</v>
      </c>
      <c r="G54" s="20">
        <v>155.12139695732699</v>
      </c>
      <c r="H54" s="19">
        <v>5.8851093555545297E-3</v>
      </c>
      <c r="I54" s="20">
        <v>69.162208327019897</v>
      </c>
      <c r="J54" s="19">
        <v>1.06520577774576E-2</v>
      </c>
      <c r="K54" s="20">
        <v>105.479770276886</v>
      </c>
      <c r="L54" s="19">
        <v>1.0631253911710401E-3</v>
      </c>
      <c r="M54" s="20">
        <v>217.86038658913699</v>
      </c>
      <c r="N54" s="19">
        <v>5.0152956112248202E-3</v>
      </c>
      <c r="O54" s="20">
        <v>80.683981638188499</v>
      </c>
      <c r="P54" s="19">
        <v>3.2321359442422098E-4</v>
      </c>
      <c r="Q54" s="20">
        <v>45.106913049328099</v>
      </c>
      <c r="R54" s="19">
        <v>-3.7702418794551801E-2</v>
      </c>
      <c r="S54" s="20">
        <v>224.123536575201</v>
      </c>
      <c r="T54" s="19">
        <v>-1.38073631150245E-2</v>
      </c>
      <c r="U54" s="20">
        <v>78.934831210042901</v>
      </c>
      <c r="V54" s="19">
        <v>1.3138174229447E-2</v>
      </c>
      <c r="W54" s="20">
        <v>92.9170615456257</v>
      </c>
      <c r="X54" s="19">
        <v>1.69150432366936E-2</v>
      </c>
      <c r="Y54" s="20">
        <v>110.179486856785</v>
      </c>
      <c r="Z54" s="19">
        <v>1.6949812847855999E-2</v>
      </c>
      <c r="AA54" s="20">
        <v>62.975769287317497</v>
      </c>
      <c r="AB54" s="19">
        <v>6.0409803488821199E-3</v>
      </c>
      <c r="AC54" s="20">
        <v>55.015103791979101</v>
      </c>
      <c r="AD54" s="19">
        <v>1.7429866822879201E-2</v>
      </c>
      <c r="AE54" s="20">
        <v>97.227405573353707</v>
      </c>
      <c r="AF54" s="19">
        <v>6.1181900052296196E-3</v>
      </c>
      <c r="AG54" s="20">
        <v>108.94775138553599</v>
      </c>
      <c r="AH54" s="19">
        <v>2.1011947983451601E-2</v>
      </c>
      <c r="AI54" s="20">
        <v>77.515860162124895</v>
      </c>
      <c r="AJ54" s="19">
        <v>4.56964914771298E-2</v>
      </c>
      <c r="AK54" s="20">
        <v>185.09440450106001</v>
      </c>
      <c r="AL54" s="19">
        <v>2.9829602839577299E-3</v>
      </c>
      <c r="AM54" s="20">
        <v>58.123809201156099</v>
      </c>
      <c r="AN54" s="19">
        <v>1.5574489818483099E-2</v>
      </c>
      <c r="AO54" s="20">
        <v>68.328886446707102</v>
      </c>
      <c r="AP54" s="19">
        <v>1.5803214425937202E-2</v>
      </c>
      <c r="AQ54" s="20">
        <v>59.3474376526001</v>
      </c>
      <c r="AR54" s="19">
        <v>2.21977640458173E-2</v>
      </c>
      <c r="AS54" s="20">
        <v>70.878881161151696</v>
      </c>
      <c r="AT54" s="19">
        <v>1.7981970604801702E-2</v>
      </c>
      <c r="AU54" s="20">
        <v>42.753364924497099</v>
      </c>
      <c r="AV54" s="19">
        <v>2.02611640534591E-2</v>
      </c>
      <c r="AW54" s="20">
        <v>48.275935086340198</v>
      </c>
      <c r="AX54" s="19">
        <v>2.5326796448629701E-2</v>
      </c>
      <c r="AY54" s="20">
        <v>72.914926289966004</v>
      </c>
      <c r="AZ54" s="19">
        <v>1.8399466486195299E-2</v>
      </c>
      <c r="BA54" s="20">
        <v>94.430542128361594</v>
      </c>
      <c r="BB54" s="19">
        <v>1.9151961614459499E-2</v>
      </c>
      <c r="BC54" s="20">
        <v>83.768139688272797</v>
      </c>
      <c r="BD54" s="19">
        <v>1.6525413571017299E-2</v>
      </c>
      <c r="BE54" s="20">
        <v>69.851461140618198</v>
      </c>
      <c r="BF54" s="19">
        <v>1.3336724134394899E-2</v>
      </c>
      <c r="BG54" s="20"/>
      <c r="BH54" s="19"/>
    </row>
    <row r="55" spans="1:60" x14ac:dyDescent="0.15">
      <c r="A55" s="17">
        <v>1990</v>
      </c>
      <c r="B55" s="17">
        <v>4</v>
      </c>
      <c r="C55" s="20">
        <v>83.452930772690294</v>
      </c>
      <c r="D55" s="19">
        <v>1.4522222691178499E-2</v>
      </c>
      <c r="E55" s="20">
        <v>83.080362345931604</v>
      </c>
      <c r="F55" s="19">
        <v>1.52272303908063E-2</v>
      </c>
      <c r="G55" s="20">
        <v>154.26316269482101</v>
      </c>
      <c r="H55" s="19">
        <v>-5.5326620269061698E-3</v>
      </c>
      <c r="I55" s="20">
        <v>69.893990584584799</v>
      </c>
      <c r="J55" s="19">
        <v>1.0580666454501E-2</v>
      </c>
      <c r="K55" s="20">
        <v>105.677730904635</v>
      </c>
      <c r="L55" s="19">
        <v>1.8767639257262199E-3</v>
      </c>
      <c r="M55" s="20">
        <v>219.78160886638801</v>
      </c>
      <c r="N55" s="19">
        <v>8.8185939047023005E-3</v>
      </c>
      <c r="O55" s="20">
        <v>80.730135125632899</v>
      </c>
      <c r="P55" s="19">
        <v>5.72027885923587E-4</v>
      </c>
      <c r="Q55" s="20">
        <v>49.238490328327899</v>
      </c>
      <c r="R55" s="19">
        <v>9.1595212345424198E-2</v>
      </c>
      <c r="S55" s="20">
        <v>217.970567198259</v>
      </c>
      <c r="T55" s="19">
        <v>-2.7453472629265899E-2</v>
      </c>
      <c r="U55" s="20">
        <v>80.261112673304694</v>
      </c>
      <c r="V55" s="19">
        <v>1.68022334745059E-2</v>
      </c>
      <c r="W55" s="20">
        <v>94.540200548017296</v>
      </c>
      <c r="X55" s="19">
        <v>1.7468686325111699E-2</v>
      </c>
      <c r="Y55" s="20">
        <v>111.52416471061299</v>
      </c>
      <c r="Z55" s="19">
        <v>1.22044301728901E-2</v>
      </c>
      <c r="AA55" s="20">
        <v>64.443909051697403</v>
      </c>
      <c r="AB55" s="19">
        <v>2.3312772213733599E-2</v>
      </c>
      <c r="AC55" s="20">
        <v>56.113817361358898</v>
      </c>
      <c r="AD55" s="19">
        <v>1.99711259935853E-2</v>
      </c>
      <c r="AE55" s="20">
        <v>97.902271956201503</v>
      </c>
      <c r="AF55" s="19">
        <v>6.9411127332679196E-3</v>
      </c>
      <c r="AG55" s="20">
        <v>111.52608933384499</v>
      </c>
      <c r="AH55" s="19">
        <v>2.3665820684862299E-2</v>
      </c>
      <c r="AI55" s="20">
        <v>82.199447991025295</v>
      </c>
      <c r="AJ55" s="19">
        <v>6.04210263435732E-2</v>
      </c>
      <c r="AK55" s="20">
        <v>184.58407266743501</v>
      </c>
      <c r="AL55" s="19">
        <v>-2.75714349659073E-3</v>
      </c>
      <c r="AM55" s="20">
        <v>59.463337590411399</v>
      </c>
      <c r="AN55" s="19">
        <v>2.30461218503306E-2</v>
      </c>
      <c r="AO55" s="20">
        <v>69.5454299695282</v>
      </c>
      <c r="AP55" s="19">
        <v>1.78042345790312E-2</v>
      </c>
      <c r="AQ55" s="20">
        <v>60.1168588144293</v>
      </c>
      <c r="AR55" s="19">
        <v>1.29646905117129E-2</v>
      </c>
      <c r="AS55" s="20">
        <v>71.376756361086095</v>
      </c>
      <c r="AT55" s="19">
        <v>7.02430952320499E-3</v>
      </c>
      <c r="AU55" s="20">
        <v>43.595144705559797</v>
      </c>
      <c r="AV55" s="19">
        <v>1.9689205342067199E-2</v>
      </c>
      <c r="AW55" s="20">
        <v>49.725786388119403</v>
      </c>
      <c r="AX55" s="19">
        <v>3.0032588683910299E-2</v>
      </c>
      <c r="AY55" s="20">
        <v>74.404084415771905</v>
      </c>
      <c r="AZ55" s="19">
        <v>2.0423227473121999E-2</v>
      </c>
      <c r="BA55" s="20">
        <v>93.424932276503398</v>
      </c>
      <c r="BB55" s="19">
        <v>-1.06492012985719E-2</v>
      </c>
      <c r="BC55" s="20">
        <v>83.810350577310402</v>
      </c>
      <c r="BD55" s="19">
        <v>5.0390147369538995E-4</v>
      </c>
      <c r="BE55" s="20">
        <v>70.901857115325598</v>
      </c>
      <c r="BF55" s="19">
        <v>1.50375662520914E-2</v>
      </c>
      <c r="BG55" s="20"/>
      <c r="BH55" s="19"/>
    </row>
    <row r="56" spans="1:60" x14ac:dyDescent="0.15">
      <c r="A56" s="17">
        <v>1991</v>
      </c>
      <c r="B56" s="17">
        <v>1</v>
      </c>
      <c r="C56" s="20">
        <v>84.724077888706105</v>
      </c>
      <c r="D56" s="19">
        <v>1.52319050301324E-2</v>
      </c>
      <c r="E56" s="20">
        <v>84.412718956876404</v>
      </c>
      <c r="F56" s="19">
        <v>1.6036961964574398E-2</v>
      </c>
      <c r="G56" s="20">
        <v>153.56033780140501</v>
      </c>
      <c r="H56" s="19">
        <v>-4.55601247335058E-3</v>
      </c>
      <c r="I56" s="20">
        <v>73.457265603748496</v>
      </c>
      <c r="J56" s="19">
        <v>5.0981135707961298E-2</v>
      </c>
      <c r="K56" s="20">
        <v>107.330797062008</v>
      </c>
      <c r="L56" s="19">
        <v>1.5642521307205799E-2</v>
      </c>
      <c r="M56" s="20">
        <v>221.487773100585</v>
      </c>
      <c r="N56" s="19">
        <v>7.7629982007925103E-3</v>
      </c>
      <c r="O56" s="20">
        <v>82.114764270287495</v>
      </c>
      <c r="P56" s="19">
        <v>1.7151329457083999E-2</v>
      </c>
      <c r="Q56" s="20">
        <v>51.512605887534399</v>
      </c>
      <c r="R56" s="19">
        <v>4.6185728767117198E-2</v>
      </c>
      <c r="S56" s="20">
        <v>207.605638819414</v>
      </c>
      <c r="T56" s="19">
        <v>-4.7551963148389297E-2</v>
      </c>
      <c r="U56" s="20">
        <v>81.210001112047394</v>
      </c>
      <c r="V56" s="19">
        <v>1.18225178687101E-2</v>
      </c>
      <c r="W56" s="20">
        <v>95.872993151224406</v>
      </c>
      <c r="X56" s="19">
        <v>1.40976282627006E-2</v>
      </c>
      <c r="Y56" s="20">
        <v>112.10377630374801</v>
      </c>
      <c r="Z56" s="19">
        <v>5.1971838985675999E-3</v>
      </c>
      <c r="AA56" s="20">
        <v>65.802360811403403</v>
      </c>
      <c r="AB56" s="19">
        <v>2.1079598982989101E-2</v>
      </c>
      <c r="AC56" s="20">
        <v>57.209938655583201</v>
      </c>
      <c r="AD56" s="19">
        <v>1.9533892822966501E-2</v>
      </c>
      <c r="AE56" s="20">
        <v>101.518922218551</v>
      </c>
      <c r="AF56" s="19">
        <v>3.6941433432387601E-2</v>
      </c>
      <c r="AG56" s="20">
        <v>111.03907937765101</v>
      </c>
      <c r="AH56" s="19">
        <v>-4.3667805363132297E-3</v>
      </c>
      <c r="AI56" s="20">
        <v>82.130309165322899</v>
      </c>
      <c r="AJ56" s="19">
        <v>-8.4111058397851003E-4</v>
      </c>
      <c r="AK56" s="20">
        <v>183.00949321332001</v>
      </c>
      <c r="AL56" s="19">
        <v>-8.5304188566227603E-3</v>
      </c>
      <c r="AM56" s="20">
        <v>60.747174225734099</v>
      </c>
      <c r="AN56" s="19">
        <v>2.1590389765302701E-2</v>
      </c>
      <c r="AO56" s="20">
        <v>70.964429521802103</v>
      </c>
      <c r="AP56" s="19">
        <v>2.04039223410599E-2</v>
      </c>
      <c r="AQ56" s="20">
        <v>60.9711559934658</v>
      </c>
      <c r="AR56" s="19">
        <v>1.42106090684735E-2</v>
      </c>
      <c r="AS56" s="20">
        <v>72.356953812173103</v>
      </c>
      <c r="AT56" s="19">
        <v>1.37327261850935E-2</v>
      </c>
      <c r="AU56" s="20">
        <v>45.154246867488901</v>
      </c>
      <c r="AV56" s="19">
        <v>3.5763206486850697E-2</v>
      </c>
      <c r="AW56" s="20">
        <v>51.8012630526527</v>
      </c>
      <c r="AX56" s="19">
        <v>4.1738438248794599E-2</v>
      </c>
      <c r="AY56" s="20">
        <v>76.039084468006095</v>
      </c>
      <c r="AZ56" s="19">
        <v>2.1974600790700499E-2</v>
      </c>
      <c r="BA56" s="20">
        <v>91.838799814510693</v>
      </c>
      <c r="BB56" s="19">
        <v>-1.6977614255028601E-2</v>
      </c>
      <c r="BC56" s="20">
        <v>83.771710867489404</v>
      </c>
      <c r="BD56" s="19">
        <v>-4.6103744412129299E-4</v>
      </c>
      <c r="BE56" s="20">
        <v>72.118222945066904</v>
      </c>
      <c r="BF56" s="19">
        <v>1.7155627218095899E-2</v>
      </c>
      <c r="BG56" s="20"/>
      <c r="BH56" s="19"/>
    </row>
    <row r="57" spans="1:60" x14ac:dyDescent="0.15">
      <c r="A57" s="17">
        <v>1991</v>
      </c>
      <c r="B57" s="17">
        <v>2</v>
      </c>
      <c r="C57" s="20">
        <v>85.927306739128099</v>
      </c>
      <c r="D57" s="19">
        <v>1.42017343877445E-2</v>
      </c>
      <c r="E57" s="20">
        <v>85.643254636681505</v>
      </c>
      <c r="F57" s="19">
        <v>1.45776098082302E-2</v>
      </c>
      <c r="G57" s="20">
        <v>156.45136967380901</v>
      </c>
      <c r="H57" s="19">
        <v>1.8826683463949001E-2</v>
      </c>
      <c r="I57" s="20">
        <v>74.202341355251306</v>
      </c>
      <c r="J57" s="19">
        <v>1.01429823909043E-2</v>
      </c>
      <c r="K57" s="20">
        <v>108.791896373386</v>
      </c>
      <c r="L57" s="19">
        <v>1.36130481779058E-2</v>
      </c>
      <c r="M57" s="20">
        <v>220.767716666062</v>
      </c>
      <c r="N57" s="19">
        <v>-3.2509985740656298E-3</v>
      </c>
      <c r="O57" s="20">
        <v>83.508073086695703</v>
      </c>
      <c r="P57" s="19">
        <v>1.6967823372444599E-2</v>
      </c>
      <c r="Q57" s="20">
        <v>52.1408895916978</v>
      </c>
      <c r="R57" s="19">
        <v>1.2196698135114E-2</v>
      </c>
      <c r="S57" s="20">
        <v>199.389638902282</v>
      </c>
      <c r="T57" s="19">
        <v>-3.9575032565845998E-2</v>
      </c>
      <c r="U57" s="20">
        <v>81.689609034326907</v>
      </c>
      <c r="V57" s="19">
        <v>5.9057741129413498E-3</v>
      </c>
      <c r="W57" s="20">
        <v>96.745347958341696</v>
      </c>
      <c r="X57" s="19">
        <v>9.0990671975914594E-3</v>
      </c>
      <c r="Y57" s="20">
        <v>112.161115833197</v>
      </c>
      <c r="Z57" s="19">
        <v>5.1148615451568303E-4</v>
      </c>
      <c r="AA57" s="20">
        <v>67.768700365821104</v>
      </c>
      <c r="AB57" s="19">
        <v>2.9882507712047701E-2</v>
      </c>
      <c r="AC57" s="20">
        <v>58.303737790136402</v>
      </c>
      <c r="AD57" s="19">
        <v>1.91190405068964E-2</v>
      </c>
      <c r="AE57" s="20">
        <v>103.65029092011</v>
      </c>
      <c r="AF57" s="19">
        <v>2.0994792448355299E-2</v>
      </c>
      <c r="AG57" s="20">
        <v>110.58473910389699</v>
      </c>
      <c r="AH57" s="19">
        <v>-4.0917150637439503E-3</v>
      </c>
      <c r="AI57" s="20">
        <v>82.305934089775405</v>
      </c>
      <c r="AJ57" s="19">
        <v>2.1383692115295402E-3</v>
      </c>
      <c r="AK57" s="20">
        <v>180.90795983161701</v>
      </c>
      <c r="AL57" s="19">
        <v>-1.1483193274865701E-2</v>
      </c>
      <c r="AM57" s="20">
        <v>62.170532102871398</v>
      </c>
      <c r="AN57" s="19">
        <v>2.34308491757678E-2</v>
      </c>
      <c r="AO57" s="20">
        <v>72.3271101605377</v>
      </c>
      <c r="AP57" s="19">
        <v>1.9202305266428101E-2</v>
      </c>
      <c r="AQ57" s="20">
        <v>61.671253211760003</v>
      </c>
      <c r="AR57" s="19">
        <v>1.148243307654E-2</v>
      </c>
      <c r="AS57" s="20">
        <v>74.370146448316305</v>
      </c>
      <c r="AT57" s="19">
        <v>2.7823070625239098E-2</v>
      </c>
      <c r="AU57" s="20">
        <v>48.464281825210001</v>
      </c>
      <c r="AV57" s="19">
        <v>7.3305064027195901E-2</v>
      </c>
      <c r="AW57" s="20">
        <v>53.635505096818399</v>
      </c>
      <c r="AX57" s="19">
        <v>3.5409214680756099E-2</v>
      </c>
      <c r="AY57" s="20">
        <v>77.669035936881201</v>
      </c>
      <c r="AZ57" s="19">
        <v>2.1435706127694E-2</v>
      </c>
      <c r="BA57" s="20">
        <v>91.536971544052193</v>
      </c>
      <c r="BB57" s="19">
        <v>-3.2865005974390699E-3</v>
      </c>
      <c r="BC57" s="20">
        <v>84.390829811040902</v>
      </c>
      <c r="BD57" s="19">
        <v>7.3905491142565198E-3</v>
      </c>
      <c r="BE57" s="20">
        <v>73.2959913762773</v>
      </c>
      <c r="BF57" s="19">
        <v>1.6331079484688701E-2</v>
      </c>
      <c r="BG57" s="20"/>
      <c r="BH57" s="19"/>
    </row>
    <row r="58" spans="1:60" x14ac:dyDescent="0.15">
      <c r="A58" s="17">
        <v>1991</v>
      </c>
      <c r="B58" s="17">
        <v>3</v>
      </c>
      <c r="C58" s="20">
        <v>86.905808410123896</v>
      </c>
      <c r="D58" s="19">
        <v>1.13875519683926E-2</v>
      </c>
      <c r="E58" s="20">
        <v>86.543740788008407</v>
      </c>
      <c r="F58" s="19">
        <v>1.0514384993272299E-2</v>
      </c>
      <c r="G58" s="20">
        <v>151.79228135127099</v>
      </c>
      <c r="H58" s="19">
        <v>-2.9779786091048598E-2</v>
      </c>
      <c r="I58" s="20">
        <v>74.302851599560796</v>
      </c>
      <c r="J58" s="19">
        <v>1.3545427606971301E-3</v>
      </c>
      <c r="K58" s="20">
        <v>109.262383161862</v>
      </c>
      <c r="L58" s="19">
        <v>4.3246492078898901E-3</v>
      </c>
      <c r="M58" s="20">
        <v>220.352062038817</v>
      </c>
      <c r="N58" s="19">
        <v>-1.8827690638905099E-3</v>
      </c>
      <c r="O58" s="20">
        <v>83.981516131041602</v>
      </c>
      <c r="P58" s="19">
        <v>5.6694284378271398E-3</v>
      </c>
      <c r="Q58" s="20">
        <v>52.3781891314188</v>
      </c>
      <c r="R58" s="19">
        <v>4.55112180822481E-3</v>
      </c>
      <c r="S58" s="20">
        <v>192.71266763673501</v>
      </c>
      <c r="T58" s="19">
        <v>-3.34870522977333E-2</v>
      </c>
      <c r="U58" s="20">
        <v>81.818108143342599</v>
      </c>
      <c r="V58" s="19">
        <v>1.5730165749934201E-3</v>
      </c>
      <c r="W58" s="20">
        <v>97.985490826581895</v>
      </c>
      <c r="X58" s="19">
        <v>1.28186305017395E-2</v>
      </c>
      <c r="Y58" s="20">
        <v>113.114433818564</v>
      </c>
      <c r="Z58" s="19">
        <v>8.4995408460948295E-3</v>
      </c>
      <c r="AA58" s="20">
        <v>68.539091872442</v>
      </c>
      <c r="AB58" s="19">
        <v>1.1367954564014E-2</v>
      </c>
      <c r="AC58" s="20">
        <v>59.433807621839101</v>
      </c>
      <c r="AD58" s="19">
        <v>1.9382459419161599E-2</v>
      </c>
      <c r="AE58" s="20">
        <v>104.22425304204</v>
      </c>
      <c r="AF58" s="19">
        <v>5.5374868399726803E-3</v>
      </c>
      <c r="AG58" s="20">
        <v>111.293856304012</v>
      </c>
      <c r="AH58" s="19">
        <v>6.4124327268042496E-3</v>
      </c>
      <c r="AI58" s="20">
        <v>85.128792522268697</v>
      </c>
      <c r="AJ58" s="19">
        <v>3.4297143501393901E-2</v>
      </c>
      <c r="AK58" s="20">
        <v>178.24065834081</v>
      </c>
      <c r="AL58" s="19">
        <v>-1.4743969769432199E-2</v>
      </c>
      <c r="AM58" s="20">
        <v>63.3315493224395</v>
      </c>
      <c r="AN58" s="19">
        <v>1.8674719039673E-2</v>
      </c>
      <c r="AO58" s="20">
        <v>73.541161264571699</v>
      </c>
      <c r="AP58" s="19">
        <v>1.67855607854277E-2</v>
      </c>
      <c r="AQ58" s="20">
        <v>62.407543428071897</v>
      </c>
      <c r="AR58" s="19">
        <v>1.1938953369145E-2</v>
      </c>
      <c r="AS58" s="20">
        <v>77.198022950519501</v>
      </c>
      <c r="AT58" s="19">
        <v>3.8024350324070297E-2</v>
      </c>
      <c r="AU58" s="20">
        <v>50.471769024838601</v>
      </c>
      <c r="AV58" s="19">
        <v>4.14219941784921E-2</v>
      </c>
      <c r="AW58" s="20">
        <v>54.751824359463598</v>
      </c>
      <c r="AX58" s="19">
        <v>2.08130651632745E-2</v>
      </c>
      <c r="AY58" s="20">
        <v>79.294570630705906</v>
      </c>
      <c r="AZ58" s="19">
        <v>2.0928992798954001E-2</v>
      </c>
      <c r="BA58" s="20">
        <v>95.929006324228595</v>
      </c>
      <c r="BB58" s="19">
        <v>4.79809928828887E-2</v>
      </c>
      <c r="BC58" s="20">
        <v>87.069272751411106</v>
      </c>
      <c r="BD58" s="19">
        <v>3.1738554370985203E-2</v>
      </c>
      <c r="BE58" s="20">
        <v>74.404764941887905</v>
      </c>
      <c r="BF58" s="19">
        <v>1.5127342502519601E-2</v>
      </c>
      <c r="BG58" s="20"/>
      <c r="BH58" s="19"/>
    </row>
    <row r="59" spans="1:60" x14ac:dyDescent="0.15">
      <c r="A59" s="17">
        <v>1991</v>
      </c>
      <c r="B59" s="17">
        <v>4</v>
      </c>
      <c r="C59" s="20">
        <v>87.415168599994502</v>
      </c>
      <c r="D59" s="19">
        <v>5.8610603731665796E-3</v>
      </c>
      <c r="E59" s="20">
        <v>87.133870596649899</v>
      </c>
      <c r="F59" s="19">
        <v>6.8188618063904603E-3</v>
      </c>
      <c r="G59" s="20">
        <v>147.30348212654999</v>
      </c>
      <c r="H59" s="19">
        <v>-2.9571986037510399E-2</v>
      </c>
      <c r="I59" s="20">
        <v>74.233082030650706</v>
      </c>
      <c r="J59" s="19">
        <v>-9.3898911560119603E-4</v>
      </c>
      <c r="K59" s="20">
        <v>109.18720185618599</v>
      </c>
      <c r="L59" s="19">
        <v>-6.8808041249923701E-4</v>
      </c>
      <c r="M59" s="20">
        <v>222.295660012892</v>
      </c>
      <c r="N59" s="19">
        <v>8.8204210847480109E-3</v>
      </c>
      <c r="O59" s="20">
        <v>83.772067730645801</v>
      </c>
      <c r="P59" s="19">
        <v>-2.4939821289833301E-3</v>
      </c>
      <c r="Q59" s="20">
        <v>55.037749877632798</v>
      </c>
      <c r="R59" s="19">
        <v>5.0776111017147199E-2</v>
      </c>
      <c r="S59" s="20">
        <v>186.94373533604099</v>
      </c>
      <c r="T59" s="19">
        <v>-2.9935407835094199E-2</v>
      </c>
      <c r="U59" s="20">
        <v>81.702898560543602</v>
      </c>
      <c r="V59" s="19">
        <v>-1.4081183910678E-3</v>
      </c>
      <c r="W59" s="20">
        <v>99.089031167475099</v>
      </c>
      <c r="X59" s="19">
        <v>1.1262283135840699E-2</v>
      </c>
      <c r="Y59" s="20">
        <v>115.04174660606201</v>
      </c>
      <c r="Z59" s="19">
        <v>1.7038610568382E-2</v>
      </c>
      <c r="AA59" s="20">
        <v>67.824398395535397</v>
      </c>
      <c r="AB59" s="19">
        <v>-1.04275305870223E-2</v>
      </c>
      <c r="AC59" s="20">
        <v>60.1592556727268</v>
      </c>
      <c r="AD59" s="19">
        <v>1.2205983091366101E-2</v>
      </c>
      <c r="AE59" s="20">
        <v>104.70143820326599</v>
      </c>
      <c r="AF59" s="19">
        <v>4.5784464488700704E-3</v>
      </c>
      <c r="AG59" s="20">
        <v>111.391734710694</v>
      </c>
      <c r="AH59" s="19">
        <v>8.7945920765330999E-4</v>
      </c>
      <c r="AI59" s="20">
        <v>87.542256385094603</v>
      </c>
      <c r="AJ59" s="19">
        <v>2.8350735295517699E-2</v>
      </c>
      <c r="AK59" s="20">
        <v>174.95637334266701</v>
      </c>
      <c r="AL59" s="19">
        <v>-1.84261269494598E-2</v>
      </c>
      <c r="AM59" s="20">
        <v>64.425891963795394</v>
      </c>
      <c r="AN59" s="19">
        <v>1.7279581078686299E-2</v>
      </c>
      <c r="AO59" s="20">
        <v>74.775599376033597</v>
      </c>
      <c r="AP59" s="19">
        <v>1.6785676079016799E-2</v>
      </c>
      <c r="AQ59" s="20">
        <v>63.626221663880301</v>
      </c>
      <c r="AR59" s="19">
        <v>1.95277392582036E-2</v>
      </c>
      <c r="AS59" s="20">
        <v>77.637103789496294</v>
      </c>
      <c r="AT59" s="19">
        <v>5.6877212938244402E-3</v>
      </c>
      <c r="AU59" s="20">
        <v>51.837355373506703</v>
      </c>
      <c r="AV59" s="19">
        <v>2.70564391748589E-2</v>
      </c>
      <c r="AW59" s="20">
        <v>55.4196361711655</v>
      </c>
      <c r="AX59" s="19">
        <v>1.21970695865303E-2</v>
      </c>
      <c r="AY59" s="20">
        <v>80.735445371558498</v>
      </c>
      <c r="AZ59" s="19">
        <v>1.8171165180565801E-2</v>
      </c>
      <c r="BA59" s="20">
        <v>92.542337793214998</v>
      </c>
      <c r="BB59" s="19">
        <v>-3.5303905052107502E-2</v>
      </c>
      <c r="BC59" s="20">
        <v>86.163104357574497</v>
      </c>
      <c r="BD59" s="19">
        <v>-1.04074418586655E-2</v>
      </c>
      <c r="BE59" s="20">
        <v>75.428289945182001</v>
      </c>
      <c r="BF59" s="19">
        <v>1.3756175482758599E-2</v>
      </c>
      <c r="BG59" s="20"/>
      <c r="BH59" s="19"/>
    </row>
    <row r="60" spans="1:60" x14ac:dyDescent="0.15">
      <c r="A60" s="17">
        <v>1992</v>
      </c>
      <c r="B60" s="17">
        <v>1</v>
      </c>
      <c r="C60" s="20">
        <v>87.577481899620395</v>
      </c>
      <c r="D60" s="19">
        <v>1.85680931839949E-3</v>
      </c>
      <c r="E60" s="20">
        <v>87.294569537098198</v>
      </c>
      <c r="F60" s="19">
        <v>1.8442763915780299E-3</v>
      </c>
      <c r="G60" s="20">
        <v>141.05265613801899</v>
      </c>
      <c r="H60" s="19">
        <v>-4.2435018495766898E-2</v>
      </c>
      <c r="I60" s="20">
        <v>74.874883539034997</v>
      </c>
      <c r="J60" s="19">
        <v>8.6457613078667599E-3</v>
      </c>
      <c r="K60" s="20">
        <v>108.846811698899</v>
      </c>
      <c r="L60" s="19">
        <v>-3.1174913497149502E-3</v>
      </c>
      <c r="M60" s="20">
        <v>221.89845262825301</v>
      </c>
      <c r="N60" s="19">
        <v>-1.7868427328514599E-3</v>
      </c>
      <c r="O60" s="20">
        <v>83.477935005567105</v>
      </c>
      <c r="P60" s="19">
        <v>-3.51110737799198E-3</v>
      </c>
      <c r="Q60" s="20">
        <v>56.183150647517301</v>
      </c>
      <c r="R60" s="19">
        <v>2.0811184549352199E-2</v>
      </c>
      <c r="S60" s="20">
        <v>180.40899019749699</v>
      </c>
      <c r="T60" s="19">
        <v>-3.4955678652708003E-2</v>
      </c>
      <c r="U60" s="20">
        <v>80.934151236823396</v>
      </c>
      <c r="V60" s="19">
        <v>-9.4090581517200008E-3</v>
      </c>
      <c r="W60" s="20">
        <v>98.991973713236803</v>
      </c>
      <c r="X60" s="19">
        <v>-9.7949745895020701E-4</v>
      </c>
      <c r="Y60" s="20">
        <v>114.235119293107</v>
      </c>
      <c r="Z60" s="19">
        <v>-7.0116052368142103E-3</v>
      </c>
      <c r="AA60" s="20">
        <v>66.847750120630295</v>
      </c>
      <c r="AB60" s="19">
        <v>-1.4399659975006401E-2</v>
      </c>
      <c r="AC60" s="20">
        <v>61.107869253617203</v>
      </c>
      <c r="AD60" s="19">
        <v>1.57683729674278E-2</v>
      </c>
      <c r="AE60" s="20">
        <v>106.14169279851799</v>
      </c>
      <c r="AF60" s="19">
        <v>1.3755824370391899E-2</v>
      </c>
      <c r="AG60" s="20">
        <v>110.534349378862</v>
      </c>
      <c r="AH60" s="19">
        <v>-7.6970282764605696E-3</v>
      </c>
      <c r="AI60" s="20">
        <v>88.124682137103704</v>
      </c>
      <c r="AJ60" s="19">
        <v>6.6530813353387099E-3</v>
      </c>
      <c r="AK60" s="20">
        <v>170.99035280255001</v>
      </c>
      <c r="AL60" s="19">
        <v>-2.2668625694183001E-2</v>
      </c>
      <c r="AM60" s="20">
        <v>65.307973966056693</v>
      </c>
      <c r="AN60" s="19">
        <v>1.36914208771368E-2</v>
      </c>
      <c r="AO60" s="20">
        <v>76.047385743060602</v>
      </c>
      <c r="AP60" s="19">
        <v>1.70080397568118E-2</v>
      </c>
      <c r="AQ60" s="20">
        <v>63.994107859956401</v>
      </c>
      <c r="AR60" s="19">
        <v>5.7819902935538599E-3</v>
      </c>
      <c r="AS60" s="20">
        <v>78.522481676694994</v>
      </c>
      <c r="AT60" s="19">
        <v>1.14040561018249E-2</v>
      </c>
      <c r="AU60" s="20">
        <v>52.801238148543199</v>
      </c>
      <c r="AV60" s="19">
        <v>1.8594366323116299E-2</v>
      </c>
      <c r="AW60" s="20">
        <v>55.935112947299999</v>
      </c>
      <c r="AX60" s="19">
        <v>9.3013381492170807E-3</v>
      </c>
      <c r="AY60" s="20">
        <v>81.754854460005305</v>
      </c>
      <c r="AZ60" s="19">
        <v>1.2626537003114001E-2</v>
      </c>
      <c r="BA60" s="20">
        <v>92.908126534966797</v>
      </c>
      <c r="BB60" s="19">
        <v>3.9526637264033502E-3</v>
      </c>
      <c r="BC60" s="20">
        <v>86.822999897875604</v>
      </c>
      <c r="BD60" s="19">
        <v>7.6586787955377203E-3</v>
      </c>
      <c r="BE60" s="20">
        <v>76.359348959471404</v>
      </c>
      <c r="BF60" s="19">
        <v>1.23436314805241E-2</v>
      </c>
      <c r="BG60" s="20"/>
      <c r="BH60" s="19"/>
    </row>
    <row r="61" spans="1:60" x14ac:dyDescent="0.15">
      <c r="A61" s="17">
        <v>1992</v>
      </c>
      <c r="B61" s="17">
        <v>2</v>
      </c>
      <c r="C61" s="20">
        <v>87.880803494011403</v>
      </c>
      <c r="D61" s="19">
        <v>3.4634655828378299E-3</v>
      </c>
      <c r="E61" s="20">
        <v>87.664179384363607</v>
      </c>
      <c r="F61" s="19">
        <v>4.23405315159253E-3</v>
      </c>
      <c r="G61" s="20">
        <v>138.59105463425499</v>
      </c>
      <c r="H61" s="19">
        <v>-1.74516494134975E-2</v>
      </c>
      <c r="I61" s="20">
        <v>75.811794206235305</v>
      </c>
      <c r="J61" s="19">
        <v>1.2513016687523601E-2</v>
      </c>
      <c r="K61" s="20">
        <v>108.62846581111501</v>
      </c>
      <c r="L61" s="19">
        <v>-2.0059924987810801E-3</v>
      </c>
      <c r="M61" s="20">
        <v>221.03278175174199</v>
      </c>
      <c r="N61" s="19">
        <v>-3.9012028531888502E-3</v>
      </c>
      <c r="O61" s="20">
        <v>83.343545147868895</v>
      </c>
      <c r="P61" s="19">
        <v>-1.6098847879886199E-3</v>
      </c>
      <c r="Q61" s="20">
        <v>56.437929264691</v>
      </c>
      <c r="R61" s="19">
        <v>4.5347869287739604E-3</v>
      </c>
      <c r="S61" s="20">
        <v>176.37081744489501</v>
      </c>
      <c r="T61" s="19">
        <v>-2.23834341524876E-2</v>
      </c>
      <c r="U61" s="20">
        <v>79.912704220165907</v>
      </c>
      <c r="V61" s="19">
        <v>-1.2620716978530001E-2</v>
      </c>
      <c r="W61" s="20">
        <v>99.821768676310597</v>
      </c>
      <c r="X61" s="19">
        <v>8.3824468989532903E-3</v>
      </c>
      <c r="Y61" s="20">
        <v>115.54113972463099</v>
      </c>
      <c r="Z61" s="19">
        <v>1.14327401206047E-2</v>
      </c>
      <c r="AA61" s="20">
        <v>66.969057188423307</v>
      </c>
      <c r="AB61" s="19">
        <v>1.81467689748827E-3</v>
      </c>
      <c r="AC61" s="20">
        <v>61.789120544750503</v>
      </c>
      <c r="AD61" s="19">
        <v>1.1148339803927199E-2</v>
      </c>
      <c r="AE61" s="20">
        <v>106.980219954419</v>
      </c>
      <c r="AF61" s="19">
        <v>7.9000733245595499E-3</v>
      </c>
      <c r="AG61" s="20">
        <v>110.557031544029</v>
      </c>
      <c r="AH61" s="19">
        <v>2.0520467433771101E-4</v>
      </c>
      <c r="AI61" s="20">
        <v>89.589174408390903</v>
      </c>
      <c r="AJ61" s="19">
        <v>1.6618411956468501E-2</v>
      </c>
      <c r="AK61" s="20">
        <v>168.80091078632401</v>
      </c>
      <c r="AL61" s="19">
        <v>-1.28044768628215E-2</v>
      </c>
      <c r="AM61" s="20">
        <v>66.141238033773803</v>
      </c>
      <c r="AN61" s="19">
        <v>1.27589943021389E-2</v>
      </c>
      <c r="AO61" s="20">
        <v>77.080958586960804</v>
      </c>
      <c r="AP61" s="19">
        <v>1.3591168635203E-2</v>
      </c>
      <c r="AQ61" s="20">
        <v>64.101860446193498</v>
      </c>
      <c r="AR61" s="19">
        <v>1.68378917747969E-3</v>
      </c>
      <c r="AS61" s="20">
        <v>79.585337586968507</v>
      </c>
      <c r="AT61" s="19">
        <v>1.35356892392895E-2</v>
      </c>
      <c r="AU61" s="20">
        <v>53.092968178460197</v>
      </c>
      <c r="AV61" s="19">
        <v>5.52506039908085E-3</v>
      </c>
      <c r="AW61" s="20">
        <v>56.977900488437001</v>
      </c>
      <c r="AX61" s="19">
        <v>1.8642807463701901E-2</v>
      </c>
      <c r="AY61" s="20">
        <v>82.743204220850004</v>
      </c>
      <c r="AZ61" s="19">
        <v>1.2089187454038801E-2</v>
      </c>
      <c r="BA61" s="20">
        <v>90.007170315200199</v>
      </c>
      <c r="BB61" s="19">
        <v>-3.12239233311284E-2</v>
      </c>
      <c r="BC61" s="20">
        <v>86.031347968989294</v>
      </c>
      <c r="BD61" s="19">
        <v>-9.1179978786435408E-3</v>
      </c>
      <c r="BE61" s="20">
        <v>77.228204556627901</v>
      </c>
      <c r="BF61" s="19">
        <v>1.1378509756776701E-2</v>
      </c>
      <c r="BG61" s="20"/>
      <c r="BH61" s="19"/>
    </row>
    <row r="62" spans="1:60" x14ac:dyDescent="0.15">
      <c r="A62" s="17">
        <v>1992</v>
      </c>
      <c r="B62" s="17">
        <v>3</v>
      </c>
      <c r="C62" s="20">
        <v>88.144110734165096</v>
      </c>
      <c r="D62" s="19">
        <v>2.9961860802933901E-3</v>
      </c>
      <c r="E62" s="20">
        <v>87.943121230264893</v>
      </c>
      <c r="F62" s="19">
        <v>3.1819364289977798E-3</v>
      </c>
      <c r="G62" s="20">
        <v>138.526358573355</v>
      </c>
      <c r="H62" s="19">
        <v>-4.6681267467807398E-4</v>
      </c>
      <c r="I62" s="20">
        <v>77.246733402189506</v>
      </c>
      <c r="J62" s="19">
        <v>1.8927651178530298E-2</v>
      </c>
      <c r="K62" s="20">
        <v>109.100498371269</v>
      </c>
      <c r="L62" s="19">
        <v>4.3453854993658102E-3</v>
      </c>
      <c r="M62" s="20">
        <v>221.91609524422199</v>
      </c>
      <c r="N62" s="19">
        <v>3.9963008449657202E-3</v>
      </c>
      <c r="O62" s="20">
        <v>83.711988442256896</v>
      </c>
      <c r="P62" s="19">
        <v>4.4207778026992299E-3</v>
      </c>
      <c r="Q62" s="20">
        <v>58.804164894097099</v>
      </c>
      <c r="R62" s="19">
        <v>4.1926336778029601E-2</v>
      </c>
      <c r="S62" s="20">
        <v>173.180120930209</v>
      </c>
      <c r="T62" s="19">
        <v>-1.8090841562736399E-2</v>
      </c>
      <c r="U62" s="20">
        <v>78.918610844310294</v>
      </c>
      <c r="V62" s="19">
        <v>-1.24397414097862E-2</v>
      </c>
      <c r="W62" s="20">
        <v>99.653413781615001</v>
      </c>
      <c r="X62" s="19">
        <v>-1.6865549161070299E-3</v>
      </c>
      <c r="Y62" s="20">
        <v>114.78742738589899</v>
      </c>
      <c r="Z62" s="19">
        <v>-6.5233244239071304E-3</v>
      </c>
      <c r="AA62" s="20">
        <v>66.886260693560402</v>
      </c>
      <c r="AB62" s="19">
        <v>-1.2363395624633801E-3</v>
      </c>
      <c r="AC62" s="20">
        <v>62.5817381371754</v>
      </c>
      <c r="AD62" s="19">
        <v>1.28277856269348E-2</v>
      </c>
      <c r="AE62" s="20">
        <v>107.765713215836</v>
      </c>
      <c r="AF62" s="19">
        <v>7.3424158386605799E-3</v>
      </c>
      <c r="AG62" s="20">
        <v>110.799593418783</v>
      </c>
      <c r="AH62" s="19">
        <v>2.1939977165301699E-3</v>
      </c>
      <c r="AI62" s="20">
        <v>90.108293142891696</v>
      </c>
      <c r="AJ62" s="19">
        <v>5.7944359676129799E-3</v>
      </c>
      <c r="AK62" s="20">
        <v>168.34700607142699</v>
      </c>
      <c r="AL62" s="19">
        <v>-2.6889944656279799E-3</v>
      </c>
      <c r="AM62" s="20">
        <v>66.649748592512907</v>
      </c>
      <c r="AN62" s="19">
        <v>7.6882528034845103E-3</v>
      </c>
      <c r="AO62" s="20">
        <v>77.719580739647697</v>
      </c>
      <c r="AP62" s="19">
        <v>8.2850831696186199E-3</v>
      </c>
      <c r="AQ62" s="20">
        <v>64.726353680321793</v>
      </c>
      <c r="AR62" s="19">
        <v>9.7422013929298092E-3</v>
      </c>
      <c r="AS62" s="20">
        <v>79.255131364728598</v>
      </c>
      <c r="AT62" s="19">
        <v>-4.1490836409289198E-3</v>
      </c>
      <c r="AU62" s="20">
        <v>52.156377053925397</v>
      </c>
      <c r="AV62" s="19">
        <v>-1.7640587005545799E-2</v>
      </c>
      <c r="AW62" s="20">
        <v>57.352445808955203</v>
      </c>
      <c r="AX62" s="19">
        <v>6.5735191593143697E-3</v>
      </c>
      <c r="AY62" s="20">
        <v>83.542186673029093</v>
      </c>
      <c r="AZ62" s="19">
        <v>9.6561700710369198E-3</v>
      </c>
      <c r="BA62" s="20">
        <v>89.466936293100602</v>
      </c>
      <c r="BB62" s="19">
        <v>-6.0021220554732401E-3</v>
      </c>
      <c r="BC62" s="20">
        <v>86.262673769819799</v>
      </c>
      <c r="BD62" s="19">
        <v>2.6888547755155E-3</v>
      </c>
      <c r="BE62" s="20">
        <v>78.016239979450205</v>
      </c>
      <c r="BF62" s="19">
        <v>1.02039847662718E-2</v>
      </c>
      <c r="BG62" s="20"/>
      <c r="BH62" s="19"/>
    </row>
    <row r="63" spans="1:60" x14ac:dyDescent="0.15">
      <c r="A63" s="17">
        <v>1992</v>
      </c>
      <c r="B63" s="17">
        <v>4</v>
      </c>
      <c r="C63" s="20">
        <v>88.628842598478101</v>
      </c>
      <c r="D63" s="19">
        <v>5.4993108476053499E-3</v>
      </c>
      <c r="E63" s="20">
        <v>88.353279955943407</v>
      </c>
      <c r="F63" s="19">
        <v>4.6639091260423102E-3</v>
      </c>
      <c r="G63" s="20">
        <v>134.46144448972899</v>
      </c>
      <c r="H63" s="19">
        <v>-2.9343975583343201E-2</v>
      </c>
      <c r="I63" s="20">
        <v>78.414695303382302</v>
      </c>
      <c r="J63" s="19">
        <v>1.5119887272277499E-2</v>
      </c>
      <c r="K63" s="20">
        <v>109.770314740552</v>
      </c>
      <c r="L63" s="19">
        <v>6.1394437173312201E-3</v>
      </c>
      <c r="M63" s="20">
        <v>223.53675370165001</v>
      </c>
      <c r="N63" s="19">
        <v>7.30302349473311E-3</v>
      </c>
      <c r="O63" s="20">
        <v>84.205296576430399</v>
      </c>
      <c r="P63" s="19">
        <v>5.8929209943896499E-3</v>
      </c>
      <c r="Q63" s="20">
        <v>60.074454973300398</v>
      </c>
      <c r="R63" s="19">
        <v>2.1602042669783598E-2</v>
      </c>
      <c r="S63" s="20">
        <v>173.057627029266</v>
      </c>
      <c r="T63" s="19">
        <v>-7.0732079574165095E-4</v>
      </c>
      <c r="U63" s="20">
        <v>77.914339229719204</v>
      </c>
      <c r="V63" s="19">
        <v>-1.2725409175945199E-2</v>
      </c>
      <c r="W63" s="20">
        <v>100.256868033122</v>
      </c>
      <c r="X63" s="19">
        <v>6.0555301480143004E-3</v>
      </c>
      <c r="Y63" s="20">
        <v>116.057133065531</v>
      </c>
      <c r="Z63" s="19">
        <v>1.10613654173386E-2</v>
      </c>
      <c r="AA63" s="20">
        <v>65.738443114424101</v>
      </c>
      <c r="AB63" s="19">
        <v>-1.7160737754425101E-2</v>
      </c>
      <c r="AC63" s="20">
        <v>63.023780334313699</v>
      </c>
      <c r="AD63" s="19">
        <v>7.06343751861516E-3</v>
      </c>
      <c r="AE63" s="20">
        <v>107.96838470413699</v>
      </c>
      <c r="AF63" s="19">
        <v>1.8806676284453001E-3</v>
      </c>
      <c r="AG63" s="20">
        <v>113.583163413202</v>
      </c>
      <c r="AH63" s="19">
        <v>2.5122565061206598E-2</v>
      </c>
      <c r="AI63" s="20">
        <v>93.572497098743597</v>
      </c>
      <c r="AJ63" s="19">
        <v>3.8444895969324697E-2</v>
      </c>
      <c r="AK63" s="20">
        <v>169.62734842505901</v>
      </c>
      <c r="AL63" s="19">
        <v>7.60537643947767E-3</v>
      </c>
      <c r="AM63" s="20">
        <v>67.1041487906882</v>
      </c>
      <c r="AN63" s="19">
        <v>6.81773311634615E-3</v>
      </c>
      <c r="AO63" s="20">
        <v>78.067978845703394</v>
      </c>
      <c r="AP63" s="19">
        <v>4.48275843410317E-3</v>
      </c>
      <c r="AQ63" s="20">
        <v>65.543998781017606</v>
      </c>
      <c r="AR63" s="19">
        <v>1.2632336818077201E-2</v>
      </c>
      <c r="AS63" s="20">
        <v>79.771141913125007</v>
      </c>
      <c r="AT63" s="19">
        <v>6.5107525470082797E-3</v>
      </c>
      <c r="AU63" s="20">
        <v>49.777501861802499</v>
      </c>
      <c r="AV63" s="19">
        <v>-4.5610437812107399E-2</v>
      </c>
      <c r="AW63" s="20">
        <v>57.340359463557903</v>
      </c>
      <c r="AX63" s="19">
        <v>-2.1073809890481701E-4</v>
      </c>
      <c r="AY63" s="20">
        <v>83.906793874041497</v>
      </c>
      <c r="AZ63" s="19">
        <v>4.3643483075137502E-3</v>
      </c>
      <c r="BA63" s="20">
        <v>93.497778217952501</v>
      </c>
      <c r="BB63" s="19">
        <v>4.50539840958291E-2</v>
      </c>
      <c r="BC63" s="20">
        <v>88.469793919718498</v>
      </c>
      <c r="BD63" s="19">
        <v>2.5586039169016601E-2</v>
      </c>
      <c r="BE63" s="20">
        <v>78.718144685231394</v>
      </c>
      <c r="BF63" s="19">
        <v>8.9969050798404098E-3</v>
      </c>
      <c r="BG63" s="20"/>
      <c r="BH63" s="19"/>
    </row>
    <row r="64" spans="1:60" x14ac:dyDescent="0.15">
      <c r="A64" s="17">
        <v>1993</v>
      </c>
      <c r="B64" s="17">
        <v>1</v>
      </c>
      <c r="C64" s="20">
        <v>89.226694592816301</v>
      </c>
      <c r="D64" s="19">
        <v>6.7455692392002203E-3</v>
      </c>
      <c r="E64" s="20">
        <v>88.907478462076895</v>
      </c>
      <c r="F64" s="19">
        <v>6.2725289475367204E-3</v>
      </c>
      <c r="G64" s="20">
        <v>135.85034523378701</v>
      </c>
      <c r="H64" s="19">
        <v>1.03293605786285E-2</v>
      </c>
      <c r="I64" s="20">
        <v>77.155424181995201</v>
      </c>
      <c r="J64" s="19">
        <v>-1.6059121527094499E-2</v>
      </c>
      <c r="K64" s="20">
        <v>110.05872335171</v>
      </c>
      <c r="L64" s="19">
        <v>2.6273825654863402E-3</v>
      </c>
      <c r="M64" s="20">
        <v>226.25276534218699</v>
      </c>
      <c r="N64" s="19">
        <v>1.21501793130743E-2</v>
      </c>
      <c r="O64" s="20">
        <v>84.250201844354606</v>
      </c>
      <c r="P64" s="19">
        <v>5.3328317516832002E-4</v>
      </c>
      <c r="Q64" s="20">
        <v>59.435789656777999</v>
      </c>
      <c r="R64" s="19">
        <v>-1.06312294769255E-2</v>
      </c>
      <c r="S64" s="20">
        <v>170.508741486232</v>
      </c>
      <c r="T64" s="19">
        <v>-1.47285363077543E-2</v>
      </c>
      <c r="U64" s="20">
        <v>77.582114636550401</v>
      </c>
      <c r="V64" s="19">
        <v>-4.2639724144913904E-3</v>
      </c>
      <c r="W64" s="20">
        <v>100.645517071193</v>
      </c>
      <c r="X64" s="19">
        <v>3.8765328071343999E-3</v>
      </c>
      <c r="Y64" s="20">
        <v>115.906375583726</v>
      </c>
      <c r="Z64" s="19">
        <v>-1.2989936751196501E-3</v>
      </c>
      <c r="AA64" s="20">
        <v>64.274427367047593</v>
      </c>
      <c r="AB64" s="19">
        <v>-2.2270313655408699E-2</v>
      </c>
      <c r="AC64" s="20">
        <v>63.905852822769198</v>
      </c>
      <c r="AD64" s="19">
        <v>1.3995867651489099E-2</v>
      </c>
      <c r="AE64" s="20">
        <v>108.97219360848101</v>
      </c>
      <c r="AF64" s="19">
        <v>9.29724851487412E-3</v>
      </c>
      <c r="AG64" s="20">
        <v>120.063133748998</v>
      </c>
      <c r="AH64" s="19">
        <v>5.7050447804689798E-2</v>
      </c>
      <c r="AI64" s="20">
        <v>103.01020055859399</v>
      </c>
      <c r="AJ64" s="19">
        <v>0.100859801250054</v>
      </c>
      <c r="AK64" s="20">
        <v>172.68037176824399</v>
      </c>
      <c r="AL64" s="19">
        <v>1.7998414592527798E-2</v>
      </c>
      <c r="AM64" s="20">
        <v>67.2303150630499</v>
      </c>
      <c r="AN64" s="19">
        <v>1.88015606539071E-3</v>
      </c>
      <c r="AO64" s="20">
        <v>78.171398212231693</v>
      </c>
      <c r="AP64" s="19">
        <v>1.32473477676154E-3</v>
      </c>
      <c r="AQ64" s="20">
        <v>66.077527248889695</v>
      </c>
      <c r="AR64" s="19">
        <v>8.1400048485693599E-3</v>
      </c>
      <c r="AS64" s="20">
        <v>79.886681004100396</v>
      </c>
      <c r="AT64" s="19">
        <v>1.4483820615383001E-3</v>
      </c>
      <c r="AU64" s="20">
        <v>50.855458252516897</v>
      </c>
      <c r="AV64" s="19">
        <v>2.16554939560272E-2</v>
      </c>
      <c r="AW64" s="20">
        <v>57.099502767970499</v>
      </c>
      <c r="AX64" s="19">
        <v>-4.2004741135341899E-3</v>
      </c>
      <c r="AY64" s="20">
        <v>84.168347686479393</v>
      </c>
      <c r="AZ64" s="19">
        <v>3.1171946914156901E-3</v>
      </c>
      <c r="BA64" s="20">
        <v>96.092581283775402</v>
      </c>
      <c r="BB64" s="19">
        <v>2.7752563914129402E-2</v>
      </c>
      <c r="BC64" s="20">
        <v>90.023039507902396</v>
      </c>
      <c r="BD64" s="19">
        <v>1.7556789943394598E-2</v>
      </c>
      <c r="BE64" s="20">
        <v>79.334775820463307</v>
      </c>
      <c r="BF64" s="19">
        <v>7.8334053438078293E-3</v>
      </c>
      <c r="BG64" s="20"/>
      <c r="BH64" s="19"/>
    </row>
    <row r="65" spans="1:60" x14ac:dyDescent="0.15">
      <c r="A65" s="17">
        <v>1993</v>
      </c>
      <c r="B65" s="17">
        <v>2</v>
      </c>
      <c r="C65" s="20">
        <v>89.915449406633499</v>
      </c>
      <c r="D65" s="19">
        <v>7.71915643586651E-3</v>
      </c>
      <c r="E65" s="20">
        <v>89.625669338635902</v>
      </c>
      <c r="F65" s="19">
        <v>8.0779579961363108E-3</v>
      </c>
      <c r="G65" s="20">
        <v>133.52702132171399</v>
      </c>
      <c r="H65" s="19">
        <v>-1.71020832378075E-2</v>
      </c>
      <c r="I65" s="20">
        <v>77.669613805030195</v>
      </c>
      <c r="J65" s="19">
        <v>6.6643353787041396E-3</v>
      </c>
      <c r="K65" s="20">
        <v>110.111750955075</v>
      </c>
      <c r="L65" s="19">
        <v>4.8181190686924502E-4</v>
      </c>
      <c r="M65" s="20">
        <v>225.41591962480001</v>
      </c>
      <c r="N65" s="19">
        <v>-3.6987203940732601E-3</v>
      </c>
      <c r="O65" s="20">
        <v>84.366543740471997</v>
      </c>
      <c r="P65" s="19">
        <v>1.3809094052059699E-3</v>
      </c>
      <c r="Q65" s="20">
        <v>60.475996030353102</v>
      </c>
      <c r="R65" s="19">
        <v>1.7501346908688702E-2</v>
      </c>
      <c r="S65" s="20">
        <v>169.69865813413699</v>
      </c>
      <c r="T65" s="19">
        <v>-4.7509784251157398E-3</v>
      </c>
      <c r="U65" s="20">
        <v>77.6996090220577</v>
      </c>
      <c r="V65" s="19">
        <v>1.5144519591623301E-3</v>
      </c>
      <c r="W65" s="20">
        <v>101.616897344352</v>
      </c>
      <c r="X65" s="19">
        <v>9.6515006472808196E-3</v>
      </c>
      <c r="Y65" s="20">
        <v>117.097242664519</v>
      </c>
      <c r="Z65" s="19">
        <v>1.02743880549749E-2</v>
      </c>
      <c r="AA65" s="20">
        <v>63.759092583559401</v>
      </c>
      <c r="AB65" s="19">
        <v>-8.0177265609120401E-3</v>
      </c>
      <c r="AC65" s="20">
        <v>64.645135292046206</v>
      </c>
      <c r="AD65" s="19">
        <v>1.1568306135077099E-2</v>
      </c>
      <c r="AE65" s="20">
        <v>109.630825791543</v>
      </c>
      <c r="AF65" s="19">
        <v>6.0440389539055898E-3</v>
      </c>
      <c r="AG65" s="20">
        <v>125.891043360833</v>
      </c>
      <c r="AH65" s="19">
        <v>4.8540375632861302E-2</v>
      </c>
      <c r="AI65" s="20">
        <v>112.506542792722</v>
      </c>
      <c r="AJ65" s="19">
        <v>9.2188367585268202E-2</v>
      </c>
      <c r="AK65" s="20">
        <v>172.842852841454</v>
      </c>
      <c r="AL65" s="19">
        <v>9.4093539147466199E-4</v>
      </c>
      <c r="AM65" s="20">
        <v>67.645150342193702</v>
      </c>
      <c r="AN65" s="19">
        <v>6.1703604803098298E-3</v>
      </c>
      <c r="AO65" s="20">
        <v>78.340956312309004</v>
      </c>
      <c r="AP65" s="19">
        <v>2.1690554851912002E-3</v>
      </c>
      <c r="AQ65" s="20">
        <v>66.332430675239706</v>
      </c>
      <c r="AR65" s="19">
        <v>3.85764172726866E-3</v>
      </c>
      <c r="AS65" s="20">
        <v>80.062208191156699</v>
      </c>
      <c r="AT65" s="19">
        <v>2.1972021474685501E-3</v>
      </c>
      <c r="AU65" s="20">
        <v>52.758888351534601</v>
      </c>
      <c r="AV65" s="19">
        <v>3.7428236111185703E-2</v>
      </c>
      <c r="AW65" s="20">
        <v>57.539779868697202</v>
      </c>
      <c r="AX65" s="19">
        <v>7.7106993823714597E-3</v>
      </c>
      <c r="AY65" s="20">
        <v>84.628301105651303</v>
      </c>
      <c r="AZ65" s="19">
        <v>5.4646839556031796E-3</v>
      </c>
      <c r="BA65" s="20">
        <v>95.2906709781263</v>
      </c>
      <c r="BB65" s="19">
        <v>-8.3451843517547992E-3</v>
      </c>
      <c r="BC65" s="20">
        <v>89.991756671522495</v>
      </c>
      <c r="BD65" s="19">
        <v>-3.4749811327083901E-4</v>
      </c>
      <c r="BE65" s="20">
        <v>79.891105480947303</v>
      </c>
      <c r="BF65" s="19">
        <v>7.0124312412884696E-3</v>
      </c>
      <c r="BG65" s="20"/>
      <c r="BH65" s="19"/>
    </row>
    <row r="66" spans="1:60" x14ac:dyDescent="0.15">
      <c r="A66" s="17">
        <v>1993</v>
      </c>
      <c r="B66" s="17">
        <v>3</v>
      </c>
      <c r="C66" s="20">
        <v>90.476037186268698</v>
      </c>
      <c r="D66" s="19">
        <v>6.2346102180947903E-3</v>
      </c>
      <c r="E66" s="20">
        <v>90.211637302696204</v>
      </c>
      <c r="F66" s="19">
        <v>6.5379479828069397E-3</v>
      </c>
      <c r="G66" s="20">
        <v>135.443446386972</v>
      </c>
      <c r="H66" s="19">
        <v>1.4352338922028101E-2</v>
      </c>
      <c r="I66" s="20">
        <v>77.843375584311204</v>
      </c>
      <c r="J66" s="19">
        <v>2.23719123565114E-3</v>
      </c>
      <c r="K66" s="20">
        <v>110.20450107059</v>
      </c>
      <c r="L66" s="19">
        <v>8.4232713320631103E-4</v>
      </c>
      <c r="M66" s="20">
        <v>221.909722377192</v>
      </c>
      <c r="N66" s="19">
        <v>-1.5554346176810599E-2</v>
      </c>
      <c r="O66" s="20">
        <v>84.754822555445799</v>
      </c>
      <c r="P66" s="19">
        <v>4.6022842439557001E-3</v>
      </c>
      <c r="Q66" s="20">
        <v>61.468595884567897</v>
      </c>
      <c r="R66" s="19">
        <v>1.6413121227745402E-2</v>
      </c>
      <c r="S66" s="20">
        <v>169.76106201886901</v>
      </c>
      <c r="T66" s="19">
        <v>3.6773351904040302E-4</v>
      </c>
      <c r="U66" s="20">
        <v>78.579431240047398</v>
      </c>
      <c r="V66" s="19">
        <v>1.1323380246867999E-2</v>
      </c>
      <c r="W66" s="20">
        <v>102.151972700437</v>
      </c>
      <c r="X66" s="19">
        <v>5.2656139881179804E-3</v>
      </c>
      <c r="Y66" s="20">
        <v>117.665323782348</v>
      </c>
      <c r="Z66" s="19">
        <v>4.85136203809855E-3</v>
      </c>
      <c r="AA66" s="20">
        <v>63.255367730953402</v>
      </c>
      <c r="AB66" s="19">
        <v>-7.9004394854873504E-3</v>
      </c>
      <c r="AC66" s="20">
        <v>65.723328032196704</v>
      </c>
      <c r="AD66" s="19">
        <v>1.6678636919539101E-2</v>
      </c>
      <c r="AE66" s="20">
        <v>109.950361677214</v>
      </c>
      <c r="AF66" s="19">
        <v>2.9146536420157098E-3</v>
      </c>
      <c r="AG66" s="20">
        <v>128.10484188605301</v>
      </c>
      <c r="AH66" s="19">
        <v>1.7585035965383099E-2</v>
      </c>
      <c r="AI66" s="20">
        <v>117.15571533477301</v>
      </c>
      <c r="AJ66" s="19">
        <v>4.1323574848586703E-2</v>
      </c>
      <c r="AK66" s="20">
        <v>170.12731970060099</v>
      </c>
      <c r="AL66" s="19">
        <v>-1.57109946764382E-2</v>
      </c>
      <c r="AM66" s="20">
        <v>68.148072191191403</v>
      </c>
      <c r="AN66" s="19">
        <v>7.4347066486448697E-3</v>
      </c>
      <c r="AO66" s="20">
        <v>78.489966220508705</v>
      </c>
      <c r="AP66" s="19">
        <v>1.9020690480935399E-3</v>
      </c>
      <c r="AQ66" s="20">
        <v>66.813412593147305</v>
      </c>
      <c r="AR66" s="19">
        <v>7.2510823591318604E-3</v>
      </c>
      <c r="AS66" s="20">
        <v>80.116034905996599</v>
      </c>
      <c r="AT66" s="19">
        <v>6.7231114474619602E-4</v>
      </c>
      <c r="AU66" s="20">
        <v>54.257134799383003</v>
      </c>
      <c r="AV66" s="19">
        <v>2.8397991213641401E-2</v>
      </c>
      <c r="AW66" s="20">
        <v>58.772251434690602</v>
      </c>
      <c r="AX66" s="19">
        <v>2.14194696053038E-2</v>
      </c>
      <c r="AY66" s="20">
        <v>85.1605379813209</v>
      </c>
      <c r="AZ66" s="19">
        <v>6.2891121376185098E-3</v>
      </c>
      <c r="BA66" s="20">
        <v>94.609643304862004</v>
      </c>
      <c r="BB66" s="19">
        <v>-7.1468451871916604E-3</v>
      </c>
      <c r="BC66" s="20">
        <v>89.950051283434405</v>
      </c>
      <c r="BD66" s="19">
        <v>-4.6343564822581802E-4</v>
      </c>
      <c r="BE66" s="20">
        <v>80.370047563226905</v>
      </c>
      <c r="BF66" s="19">
        <v>5.9949362247058201E-3</v>
      </c>
      <c r="BG66" s="20"/>
      <c r="BH66" s="19"/>
    </row>
    <row r="67" spans="1:60" x14ac:dyDescent="0.15">
      <c r="A67" s="17">
        <v>1993</v>
      </c>
      <c r="B67" s="17">
        <v>4</v>
      </c>
      <c r="C67" s="20">
        <v>90.826698853772101</v>
      </c>
      <c r="D67" s="19">
        <v>3.87574078627617E-3</v>
      </c>
      <c r="E67" s="20">
        <v>90.504652298805993</v>
      </c>
      <c r="F67" s="19">
        <v>3.2480842258366702E-3</v>
      </c>
      <c r="G67" s="20">
        <v>133.41080720530601</v>
      </c>
      <c r="H67" s="19">
        <v>-1.50072907614808E-2</v>
      </c>
      <c r="I67" s="20">
        <v>78.860199246082701</v>
      </c>
      <c r="J67" s="19">
        <v>1.3062430221441899E-2</v>
      </c>
      <c r="K67" s="20">
        <v>110.57590670658</v>
      </c>
      <c r="L67" s="19">
        <v>3.3701494256830299E-3</v>
      </c>
      <c r="M67" s="20">
        <v>219.53615907637399</v>
      </c>
      <c r="N67" s="19">
        <v>-1.06960762033855E-2</v>
      </c>
      <c r="O67" s="20">
        <v>85.321804450056305</v>
      </c>
      <c r="P67" s="19">
        <v>6.6896711893846801E-3</v>
      </c>
      <c r="Q67" s="20">
        <v>63.101180049629399</v>
      </c>
      <c r="R67" s="19">
        <v>2.65596462969033E-2</v>
      </c>
      <c r="S67" s="20">
        <v>170.32023003472</v>
      </c>
      <c r="T67" s="19">
        <v>3.2938531910715598E-3</v>
      </c>
      <c r="U67" s="20">
        <v>79.423754578306401</v>
      </c>
      <c r="V67" s="19">
        <v>1.07448390111113E-2</v>
      </c>
      <c r="W67" s="20">
        <v>103.072036427592</v>
      </c>
      <c r="X67" s="19">
        <v>9.0068131121989695E-3</v>
      </c>
      <c r="Y67" s="20">
        <v>118.45228379512101</v>
      </c>
      <c r="Z67" s="19">
        <v>6.6881217632892599E-3</v>
      </c>
      <c r="AA67" s="20">
        <v>63.091755257464101</v>
      </c>
      <c r="AB67" s="19">
        <v>-2.58653896670369E-3</v>
      </c>
      <c r="AC67" s="20">
        <v>66.485628095826698</v>
      </c>
      <c r="AD67" s="19">
        <v>1.1598622383463399E-2</v>
      </c>
      <c r="AE67" s="20">
        <v>110.35512386778301</v>
      </c>
      <c r="AF67" s="19">
        <v>3.68131749996325E-3</v>
      </c>
      <c r="AG67" s="20">
        <v>124.627693879747</v>
      </c>
      <c r="AH67" s="19">
        <v>-2.7142986596857901E-2</v>
      </c>
      <c r="AI67" s="20">
        <v>113.679482423574</v>
      </c>
      <c r="AJ67" s="19">
        <v>-2.96719020601393E-2</v>
      </c>
      <c r="AK67" s="20">
        <v>164.479589217403</v>
      </c>
      <c r="AL67" s="19">
        <v>-3.3197081416067399E-2</v>
      </c>
      <c r="AM67" s="20">
        <v>68.445567650331697</v>
      </c>
      <c r="AN67" s="19">
        <v>4.3654273638966696E-3</v>
      </c>
      <c r="AO67" s="20">
        <v>78.584108250798806</v>
      </c>
      <c r="AP67" s="19">
        <v>1.1994148401797101E-3</v>
      </c>
      <c r="AQ67" s="20">
        <v>67.448009902089595</v>
      </c>
      <c r="AR67" s="19">
        <v>9.4980526261492192E-3</v>
      </c>
      <c r="AS67" s="20">
        <v>80.603690160352699</v>
      </c>
      <c r="AT67" s="19">
        <v>6.0868620735947702E-3</v>
      </c>
      <c r="AU67" s="20">
        <v>56.793637288888597</v>
      </c>
      <c r="AV67" s="19">
        <v>4.67496578815743E-2</v>
      </c>
      <c r="AW67" s="20">
        <v>60.927155233776404</v>
      </c>
      <c r="AX67" s="19">
        <v>3.6665326688740903E-2</v>
      </c>
      <c r="AY67" s="20">
        <v>85.887044253231593</v>
      </c>
      <c r="AZ67" s="19">
        <v>8.5310202252362206E-3</v>
      </c>
      <c r="BA67" s="20">
        <v>97.464770492139706</v>
      </c>
      <c r="BB67" s="19">
        <v>3.0177972218725601E-2</v>
      </c>
      <c r="BC67" s="20">
        <v>91.544169955148107</v>
      </c>
      <c r="BD67" s="19">
        <v>1.7722265290217601E-2</v>
      </c>
      <c r="BE67" s="20">
        <v>80.767708299450007</v>
      </c>
      <c r="BF67" s="19">
        <v>4.9478723514535502E-3</v>
      </c>
      <c r="BG67" s="20"/>
      <c r="BH67" s="19"/>
    </row>
    <row r="68" spans="1:60" x14ac:dyDescent="0.15">
      <c r="A68" s="17">
        <v>1994</v>
      </c>
      <c r="B68" s="17">
        <v>1</v>
      </c>
      <c r="C68" s="20">
        <v>91.130603349529395</v>
      </c>
      <c r="D68" s="19">
        <v>3.3459819589667398E-3</v>
      </c>
      <c r="E68" s="20">
        <v>90.902874191260906</v>
      </c>
      <c r="F68" s="19">
        <v>4.40001571565785E-3</v>
      </c>
      <c r="G68" s="20">
        <v>135.27233910270499</v>
      </c>
      <c r="H68" s="19">
        <v>1.3953381561769E-2</v>
      </c>
      <c r="I68" s="20">
        <v>77.424083383956301</v>
      </c>
      <c r="J68" s="19">
        <v>-1.8210908365131499E-2</v>
      </c>
      <c r="K68" s="20">
        <v>111.230983941777</v>
      </c>
      <c r="L68" s="19">
        <v>5.92423118839669E-3</v>
      </c>
      <c r="M68" s="20">
        <v>218.29160284955699</v>
      </c>
      <c r="N68" s="19">
        <v>-5.6690261506476798E-3</v>
      </c>
      <c r="O68" s="20">
        <v>86.067640045882101</v>
      </c>
      <c r="P68" s="19">
        <v>8.7414418932310108E-3</v>
      </c>
      <c r="Q68" s="20">
        <v>64.120498529348694</v>
      </c>
      <c r="R68" s="19">
        <v>1.6153715016385101E-2</v>
      </c>
      <c r="S68" s="20">
        <v>170.76183113996501</v>
      </c>
      <c r="T68" s="19">
        <v>2.5927695444967198E-3</v>
      </c>
      <c r="U68" s="20">
        <v>80.326567859860702</v>
      </c>
      <c r="V68" s="19">
        <v>1.1367043604872101E-2</v>
      </c>
      <c r="W68" s="20">
        <v>103.956064691165</v>
      </c>
      <c r="X68" s="19">
        <v>8.5768002089816608E-3</v>
      </c>
      <c r="Y68" s="20">
        <v>119.187279229921</v>
      </c>
      <c r="Z68" s="19">
        <v>6.2049916747137796E-3</v>
      </c>
      <c r="AA68" s="20">
        <v>63.169485288506301</v>
      </c>
      <c r="AB68" s="19">
        <v>1.23201566868625E-3</v>
      </c>
      <c r="AC68" s="20">
        <v>67.363772563886599</v>
      </c>
      <c r="AD68" s="19">
        <v>1.3208034476176E-2</v>
      </c>
      <c r="AE68" s="20">
        <v>111.259379851067</v>
      </c>
      <c r="AF68" s="19">
        <v>8.1940552607902006E-3</v>
      </c>
      <c r="AG68" s="20">
        <v>120.686013365382</v>
      </c>
      <c r="AH68" s="19">
        <v>-3.1627645442660501E-2</v>
      </c>
      <c r="AI68" s="20">
        <v>112.608369908407</v>
      </c>
      <c r="AJ68" s="19">
        <v>-9.4222149180444009E-3</v>
      </c>
      <c r="AK68" s="20">
        <v>155.77753347093901</v>
      </c>
      <c r="AL68" s="19">
        <v>-5.2906599462396599E-2</v>
      </c>
      <c r="AM68" s="20">
        <v>69.107151291098802</v>
      </c>
      <c r="AN68" s="19">
        <v>9.6658361304990895E-3</v>
      </c>
      <c r="AO68" s="20">
        <v>78.612565692904099</v>
      </c>
      <c r="AP68" s="19">
        <v>3.6212718752781599E-4</v>
      </c>
      <c r="AQ68" s="20">
        <v>67.939032911288706</v>
      </c>
      <c r="AR68" s="19">
        <v>7.2800221965312302E-3</v>
      </c>
      <c r="AS68" s="20">
        <v>81.825129171556</v>
      </c>
      <c r="AT68" s="19">
        <v>1.5153636375373499E-2</v>
      </c>
      <c r="AU68" s="20">
        <v>59.8361551450704</v>
      </c>
      <c r="AV68" s="19">
        <v>5.3571456265525001E-2</v>
      </c>
      <c r="AW68" s="20">
        <v>63.947861367960499</v>
      </c>
      <c r="AX68" s="19">
        <v>4.9578978742627497E-2</v>
      </c>
      <c r="AY68" s="20">
        <v>86.573655519450497</v>
      </c>
      <c r="AZ68" s="19">
        <v>7.9943520258367595E-3</v>
      </c>
      <c r="BA68" s="20">
        <v>93.746330082920807</v>
      </c>
      <c r="BB68" s="19">
        <v>-3.8151635616057798E-2</v>
      </c>
      <c r="BC68" s="20">
        <v>89.873365033539898</v>
      </c>
      <c r="BD68" s="19">
        <v>-1.8251352570314999E-2</v>
      </c>
      <c r="BE68" s="20">
        <v>81.086787451145597</v>
      </c>
      <c r="BF68" s="19">
        <v>3.9505782498197002E-3</v>
      </c>
      <c r="BG68" s="20"/>
      <c r="BH68" s="19"/>
    </row>
    <row r="69" spans="1:60" x14ac:dyDescent="0.15">
      <c r="A69" s="17">
        <v>1994</v>
      </c>
      <c r="B69" s="17">
        <v>2</v>
      </c>
      <c r="C69" s="20">
        <v>91.287675018526102</v>
      </c>
      <c r="D69" s="19">
        <v>1.72358859947708E-3</v>
      </c>
      <c r="E69" s="20">
        <v>91.025302471729404</v>
      </c>
      <c r="F69" s="19">
        <v>1.3468031848027401E-3</v>
      </c>
      <c r="G69" s="20">
        <v>133.840389393886</v>
      </c>
      <c r="H69" s="19">
        <v>-1.0585680105164299E-2</v>
      </c>
      <c r="I69" s="20">
        <v>79.859411016423493</v>
      </c>
      <c r="J69" s="19">
        <v>3.1454394111327402E-2</v>
      </c>
      <c r="K69" s="20">
        <v>111.500732883438</v>
      </c>
      <c r="L69" s="19">
        <v>2.4251241165185199E-3</v>
      </c>
      <c r="M69" s="20">
        <v>216.78556157927301</v>
      </c>
      <c r="N69" s="19">
        <v>-6.8992176090361098E-3</v>
      </c>
      <c r="O69" s="20">
        <v>86.471574436519404</v>
      </c>
      <c r="P69" s="19">
        <v>4.6932202442393498E-3</v>
      </c>
      <c r="Q69" s="20">
        <v>63.753457519634601</v>
      </c>
      <c r="R69" s="19">
        <v>-5.7242382410065398E-3</v>
      </c>
      <c r="S69" s="20">
        <v>169.86568793639</v>
      </c>
      <c r="T69" s="19">
        <v>-5.2479128245030999E-3</v>
      </c>
      <c r="U69" s="20">
        <v>81.178607142091494</v>
      </c>
      <c r="V69" s="19">
        <v>1.06071914303285E-2</v>
      </c>
      <c r="W69" s="20">
        <v>104.408876378305</v>
      </c>
      <c r="X69" s="19">
        <v>4.35579865864955E-3</v>
      </c>
      <c r="Y69" s="20">
        <v>119.214830226986</v>
      </c>
      <c r="Z69" s="19">
        <v>2.3115719431854301E-4</v>
      </c>
      <c r="AA69" s="20">
        <v>62.963134451239704</v>
      </c>
      <c r="AB69" s="19">
        <v>-3.2666221091411899E-3</v>
      </c>
      <c r="AC69" s="20">
        <v>67.665642325959695</v>
      </c>
      <c r="AD69" s="19">
        <v>4.4811884872804101E-3</v>
      </c>
      <c r="AE69" s="20">
        <v>111.663979356174</v>
      </c>
      <c r="AF69" s="19">
        <v>3.6365428752964698E-3</v>
      </c>
      <c r="AG69" s="20">
        <v>117.52364098619</v>
      </c>
      <c r="AH69" s="19">
        <v>-2.6203304683018298E-2</v>
      </c>
      <c r="AI69" s="20">
        <v>111.157255196733</v>
      </c>
      <c r="AJ69" s="19">
        <v>-1.28863841369383E-2</v>
      </c>
      <c r="AK69" s="20">
        <v>149.755712862455</v>
      </c>
      <c r="AL69" s="19">
        <v>-3.8656540993488399E-2</v>
      </c>
      <c r="AM69" s="20">
        <v>69.394474960278103</v>
      </c>
      <c r="AN69" s="19">
        <v>4.1576546538437701E-3</v>
      </c>
      <c r="AO69" s="20">
        <v>78.766846598593105</v>
      </c>
      <c r="AP69" s="19">
        <v>1.9625476452678199E-3</v>
      </c>
      <c r="AQ69" s="20">
        <v>68.5261405163333</v>
      </c>
      <c r="AR69" s="19">
        <v>8.6416832840585708E-3</v>
      </c>
      <c r="AS69" s="20">
        <v>82.235969358032605</v>
      </c>
      <c r="AT69" s="19">
        <v>5.02095371722766E-3</v>
      </c>
      <c r="AU69" s="20">
        <v>61.295983592759299</v>
      </c>
      <c r="AV69" s="19">
        <v>2.4397096440264401E-2</v>
      </c>
      <c r="AW69" s="20">
        <v>65.728186090339406</v>
      </c>
      <c r="AX69" s="19">
        <v>2.7840254299276199E-2</v>
      </c>
      <c r="AY69" s="20">
        <v>86.949412660415305</v>
      </c>
      <c r="AZ69" s="19">
        <v>4.3403173714939803E-3</v>
      </c>
      <c r="BA69" s="20">
        <v>95.398363117215595</v>
      </c>
      <c r="BB69" s="19">
        <v>1.7622375540818198E-2</v>
      </c>
      <c r="BC69" s="20">
        <v>90.867186357577296</v>
      </c>
      <c r="BD69" s="19">
        <v>1.10580183980711E-2</v>
      </c>
      <c r="BE69" s="20">
        <v>81.430707305259006</v>
      </c>
      <c r="BF69" s="19">
        <v>4.2413796985187897E-3</v>
      </c>
      <c r="BG69" s="20"/>
      <c r="BH69" s="19"/>
    </row>
    <row r="70" spans="1:60" x14ac:dyDescent="0.15">
      <c r="A70" s="17">
        <v>1994</v>
      </c>
      <c r="B70" s="17">
        <v>3</v>
      </c>
      <c r="C70" s="20">
        <v>91.199146489010502</v>
      </c>
      <c r="D70" s="19">
        <v>-9.6977526810304603E-4</v>
      </c>
      <c r="E70" s="20">
        <v>91.115238736101205</v>
      </c>
      <c r="F70" s="19">
        <v>9.8803587496698597E-4</v>
      </c>
      <c r="G70" s="20">
        <v>136.09384179548201</v>
      </c>
      <c r="H70" s="19">
        <v>1.6836863758397502E-2</v>
      </c>
      <c r="I70" s="20">
        <v>80.507980779371806</v>
      </c>
      <c r="J70" s="19">
        <v>8.1213942689224404E-3</v>
      </c>
      <c r="K70" s="20">
        <v>111.610255779452</v>
      </c>
      <c r="L70" s="19">
        <v>9.8226166933112992E-4</v>
      </c>
      <c r="M70" s="20">
        <v>213.96388012038801</v>
      </c>
      <c r="N70" s="19">
        <v>-1.3016002718670301E-2</v>
      </c>
      <c r="O70" s="20">
        <v>86.846767380006</v>
      </c>
      <c r="P70" s="19">
        <v>4.33891652755847E-3</v>
      </c>
      <c r="Q70" s="20">
        <v>64.110574991855799</v>
      </c>
      <c r="R70" s="19">
        <v>5.6015388986745398E-3</v>
      </c>
      <c r="S70" s="20">
        <v>168.10731941513799</v>
      </c>
      <c r="T70" s="19">
        <v>-1.0351522680147201E-2</v>
      </c>
      <c r="U70" s="20">
        <v>81.550629202318802</v>
      </c>
      <c r="V70" s="19">
        <v>4.5827598344492203E-3</v>
      </c>
      <c r="W70" s="20">
        <v>105.46590266201299</v>
      </c>
      <c r="X70" s="19">
        <v>1.01239120692935E-2</v>
      </c>
      <c r="Y70" s="20">
        <v>121.338686921518</v>
      </c>
      <c r="Z70" s="19">
        <v>1.7815373225702699E-2</v>
      </c>
      <c r="AA70" s="20">
        <v>62.799466910054903</v>
      </c>
      <c r="AB70" s="19">
        <v>-2.5994185742391801E-3</v>
      </c>
      <c r="AC70" s="20">
        <v>68.572016335080207</v>
      </c>
      <c r="AD70" s="19">
        <v>1.33948925623779E-2</v>
      </c>
      <c r="AE70" s="20">
        <v>111.705670677559</v>
      </c>
      <c r="AF70" s="19">
        <v>3.7336410206201297E-4</v>
      </c>
      <c r="AG70" s="20">
        <v>113.886842932441</v>
      </c>
      <c r="AH70" s="19">
        <v>-3.0945246617886401E-2</v>
      </c>
      <c r="AI70" s="20">
        <v>107.04482122339</v>
      </c>
      <c r="AJ70" s="19">
        <v>-3.6996541215990802E-2</v>
      </c>
      <c r="AK70" s="20">
        <v>146.28834332647699</v>
      </c>
      <c r="AL70" s="19">
        <v>-2.3153504261720401E-2</v>
      </c>
      <c r="AM70" s="20">
        <v>69.633192238186993</v>
      </c>
      <c r="AN70" s="19">
        <v>3.4400040932021101E-3</v>
      </c>
      <c r="AO70" s="20">
        <v>78.894456656812395</v>
      </c>
      <c r="AP70" s="19">
        <v>1.6200986040428901E-3</v>
      </c>
      <c r="AQ70" s="20">
        <v>68.525670753988706</v>
      </c>
      <c r="AR70" s="19">
        <v>-6.85522839971586E-6</v>
      </c>
      <c r="AS70" s="20">
        <v>82.449671977993802</v>
      </c>
      <c r="AT70" s="19">
        <v>2.5986514371929598E-3</v>
      </c>
      <c r="AU70" s="20">
        <v>62.114474725656599</v>
      </c>
      <c r="AV70" s="19">
        <v>1.33530956666794E-2</v>
      </c>
      <c r="AW70" s="20">
        <v>66.700764423237501</v>
      </c>
      <c r="AX70" s="19">
        <v>1.47969750992563E-2</v>
      </c>
      <c r="AY70" s="20">
        <v>87.143147134979401</v>
      </c>
      <c r="AZ70" s="19">
        <v>2.2281286168164302E-3</v>
      </c>
      <c r="BA70" s="20">
        <v>87.905705393100504</v>
      </c>
      <c r="BB70" s="19">
        <v>-7.8540736751519402E-2</v>
      </c>
      <c r="BC70" s="20">
        <v>87.285792375170203</v>
      </c>
      <c r="BD70" s="19">
        <v>-3.9413501462604403E-2</v>
      </c>
      <c r="BE70" s="20">
        <v>81.787688967621193</v>
      </c>
      <c r="BF70" s="19">
        <v>4.3838703380534296E-3</v>
      </c>
      <c r="BG70" s="20"/>
      <c r="BH70" s="19"/>
    </row>
    <row r="71" spans="1:60" x14ac:dyDescent="0.15">
      <c r="A71" s="17">
        <v>1994</v>
      </c>
      <c r="B71" s="17">
        <v>4</v>
      </c>
      <c r="C71" s="20">
        <v>91.160990735419105</v>
      </c>
      <c r="D71" s="19">
        <v>-4.1837840660019499E-4</v>
      </c>
      <c r="E71" s="20">
        <v>91.030471754408495</v>
      </c>
      <c r="F71" s="19">
        <v>-9.3032716446239704E-4</v>
      </c>
      <c r="G71" s="20">
        <v>134.37496405680099</v>
      </c>
      <c r="H71" s="19">
        <v>-1.26300919718625E-2</v>
      </c>
      <c r="I71" s="20">
        <v>80.299768117234606</v>
      </c>
      <c r="J71" s="19">
        <v>-2.58623629758981E-3</v>
      </c>
      <c r="K71" s="20">
        <v>111.471173672982</v>
      </c>
      <c r="L71" s="19">
        <v>-1.24614091687181E-3</v>
      </c>
      <c r="M71" s="20">
        <v>209.13739310074499</v>
      </c>
      <c r="N71" s="19">
        <v>-2.25574850153554E-2</v>
      </c>
      <c r="O71" s="20">
        <v>87.221010397707502</v>
      </c>
      <c r="P71" s="19">
        <v>4.3092337111865203E-3</v>
      </c>
      <c r="Q71" s="20">
        <v>64.632165693730997</v>
      </c>
      <c r="R71" s="19">
        <v>8.1357982195835506E-3</v>
      </c>
      <c r="S71" s="20">
        <v>163.59321083251399</v>
      </c>
      <c r="T71" s="19">
        <v>-2.6852540379137601E-2</v>
      </c>
      <c r="U71" s="20">
        <v>81.457924358948006</v>
      </c>
      <c r="V71" s="19">
        <v>-1.1367765555898601E-3</v>
      </c>
      <c r="W71" s="20">
        <v>105.01990030998699</v>
      </c>
      <c r="X71" s="19">
        <v>-4.2288772083576296E-3</v>
      </c>
      <c r="Y71" s="20">
        <v>120.75452252676099</v>
      </c>
      <c r="Z71" s="19">
        <v>-4.8143292924771597E-3</v>
      </c>
      <c r="AA71" s="20">
        <v>62.876637040499197</v>
      </c>
      <c r="AB71" s="19">
        <v>1.22883416438646E-3</v>
      </c>
      <c r="AC71" s="20">
        <v>69.031388542210806</v>
      </c>
      <c r="AD71" s="19">
        <v>6.6991205987865197E-3</v>
      </c>
      <c r="AE71" s="20">
        <v>111.28490532482699</v>
      </c>
      <c r="AF71" s="19">
        <v>-3.7667322543283302E-3</v>
      </c>
      <c r="AG71" s="20">
        <v>113.25702372001901</v>
      </c>
      <c r="AH71" s="19">
        <v>-5.5302192615421797E-3</v>
      </c>
      <c r="AI71" s="20">
        <v>106.79243723121</v>
      </c>
      <c r="AJ71" s="19">
        <v>-2.3577412647891598E-3</v>
      </c>
      <c r="AK71" s="20">
        <v>145.30649440020801</v>
      </c>
      <c r="AL71" s="19">
        <v>-6.71173727135133E-3</v>
      </c>
      <c r="AM71" s="20">
        <v>69.798559627223895</v>
      </c>
      <c r="AN71" s="19">
        <v>2.3748356742163699E-3</v>
      </c>
      <c r="AO71" s="20">
        <v>79.143752201157099</v>
      </c>
      <c r="AP71" s="19">
        <v>3.1598613503243098E-3</v>
      </c>
      <c r="AQ71" s="20">
        <v>68.335155179386007</v>
      </c>
      <c r="AR71" s="19">
        <v>-2.7802073661803402E-3</v>
      </c>
      <c r="AS71" s="20">
        <v>82.579310258607407</v>
      </c>
      <c r="AT71" s="19">
        <v>1.57233227863274E-3</v>
      </c>
      <c r="AU71" s="20">
        <v>61.755760423306199</v>
      </c>
      <c r="AV71" s="19">
        <v>-5.7750516918118099E-3</v>
      </c>
      <c r="AW71" s="20">
        <v>66.557932336328605</v>
      </c>
      <c r="AX71" s="19">
        <v>-2.1413860567257598E-3</v>
      </c>
      <c r="AY71" s="20">
        <v>87.2220245224064</v>
      </c>
      <c r="AZ71" s="19">
        <v>9.0514733539404102E-4</v>
      </c>
      <c r="BA71" s="20">
        <v>89.8511465260721</v>
      </c>
      <c r="BB71" s="19">
        <v>2.2130999623652701E-2</v>
      </c>
      <c r="BC71" s="20">
        <v>88.4326995984988</v>
      </c>
      <c r="BD71" s="19">
        <v>1.3139678200995399E-2</v>
      </c>
      <c r="BE71" s="20">
        <v>82.1586416986177</v>
      </c>
      <c r="BF71" s="19">
        <v>4.53555707073905E-3</v>
      </c>
      <c r="BG71" s="20"/>
      <c r="BH71" s="19"/>
    </row>
    <row r="72" spans="1:60" x14ac:dyDescent="0.15">
      <c r="A72" s="17">
        <v>1995</v>
      </c>
      <c r="B72" s="17">
        <v>1</v>
      </c>
      <c r="C72" s="20">
        <v>91.4278730698271</v>
      </c>
      <c r="D72" s="19">
        <v>2.9275936149324401E-3</v>
      </c>
      <c r="E72" s="20">
        <v>90.645811623492406</v>
      </c>
      <c r="F72" s="19">
        <v>-4.2256194382238599E-3</v>
      </c>
      <c r="G72" s="20">
        <v>127.580924834792</v>
      </c>
      <c r="H72" s="19">
        <v>-5.0560305408804899E-2</v>
      </c>
      <c r="I72" s="20">
        <v>79.162828672748105</v>
      </c>
      <c r="J72" s="19">
        <v>-1.41586890117357E-2</v>
      </c>
      <c r="K72" s="20">
        <v>110.20465236793601</v>
      </c>
      <c r="L72" s="19">
        <v>-1.13618728799062E-2</v>
      </c>
      <c r="M72" s="20">
        <v>200.98642429863</v>
      </c>
      <c r="N72" s="19">
        <v>-3.8974229721747002E-2</v>
      </c>
      <c r="O72" s="20">
        <v>86.753553655954903</v>
      </c>
      <c r="P72" s="19">
        <v>-5.3594511187286002E-3</v>
      </c>
      <c r="Q72" s="20">
        <v>64.452739265422593</v>
      </c>
      <c r="R72" s="19">
        <v>-2.7761166035904501E-3</v>
      </c>
      <c r="S72" s="20">
        <v>155.47208708963501</v>
      </c>
      <c r="T72" s="19">
        <v>-4.9642180757692701E-2</v>
      </c>
      <c r="U72" s="20">
        <v>81.135574991612003</v>
      </c>
      <c r="V72" s="19">
        <v>-3.9572499529395601E-3</v>
      </c>
      <c r="W72" s="20">
        <v>104.13958979876401</v>
      </c>
      <c r="X72" s="19">
        <v>-8.3823209565454491E-3</v>
      </c>
      <c r="Y72" s="20">
        <v>120.12117043512301</v>
      </c>
      <c r="Z72" s="19">
        <v>-5.2449554549640603E-3</v>
      </c>
      <c r="AA72" s="20">
        <v>65.107355387221503</v>
      </c>
      <c r="AB72" s="19">
        <v>3.5477698104075001E-2</v>
      </c>
      <c r="AC72" s="20">
        <v>70.648449358273396</v>
      </c>
      <c r="AD72" s="19">
        <v>2.3425007814724199E-2</v>
      </c>
      <c r="AE72" s="20">
        <v>110.732087728851</v>
      </c>
      <c r="AF72" s="19">
        <v>-4.9675883208235598E-3</v>
      </c>
      <c r="AG72" s="20">
        <v>114.104636836986</v>
      </c>
      <c r="AH72" s="19">
        <v>7.4839783805569198E-3</v>
      </c>
      <c r="AI72" s="20">
        <v>105.83214976657599</v>
      </c>
      <c r="AJ72" s="19">
        <v>-8.9920924133847207E-3</v>
      </c>
      <c r="AK72" s="20">
        <v>148.06005978941701</v>
      </c>
      <c r="AL72" s="19">
        <v>1.8950050378508301E-2</v>
      </c>
      <c r="AM72" s="20">
        <v>69.477322282288398</v>
      </c>
      <c r="AN72" s="19">
        <v>-4.6023491981944699E-3</v>
      </c>
      <c r="AO72" s="20">
        <v>79.613353725102399</v>
      </c>
      <c r="AP72" s="19">
        <v>5.9335261582214001E-3</v>
      </c>
      <c r="AQ72" s="20">
        <v>67.823421821560302</v>
      </c>
      <c r="AR72" s="19">
        <v>-7.4885811919549504E-3</v>
      </c>
      <c r="AS72" s="20">
        <v>82.229394179781707</v>
      </c>
      <c r="AT72" s="19">
        <v>-4.2373335128369502E-3</v>
      </c>
      <c r="AU72" s="20">
        <v>60.456775365359398</v>
      </c>
      <c r="AV72" s="19">
        <v>-2.1034233066565499E-2</v>
      </c>
      <c r="AW72" s="20">
        <v>64.805863801761902</v>
      </c>
      <c r="AX72" s="19">
        <v>-2.6323962795496099E-2</v>
      </c>
      <c r="AY72" s="20">
        <v>86.951246458281105</v>
      </c>
      <c r="AZ72" s="19">
        <v>-3.1044689183494802E-3</v>
      </c>
      <c r="BA72" s="20">
        <v>117.30866860779599</v>
      </c>
      <c r="BB72" s="19">
        <v>0.30558900073418899</v>
      </c>
      <c r="BC72" s="20">
        <v>102.623394772655</v>
      </c>
      <c r="BD72" s="19">
        <v>0.160468867721832</v>
      </c>
      <c r="BE72" s="20">
        <v>82.816755878729793</v>
      </c>
      <c r="BF72" s="19">
        <v>8.0102855464216898E-3</v>
      </c>
      <c r="BG72" s="20"/>
      <c r="BH72" s="19"/>
    </row>
    <row r="73" spans="1:60" x14ac:dyDescent="0.15">
      <c r="A73" s="17">
        <v>1995</v>
      </c>
      <c r="B73" s="17">
        <v>2</v>
      </c>
      <c r="C73" s="20">
        <v>91.826046255571498</v>
      </c>
      <c r="D73" s="19">
        <v>4.3550524842719297E-3</v>
      </c>
      <c r="E73" s="20">
        <v>91.097868272958493</v>
      </c>
      <c r="F73" s="19">
        <v>4.9870660471746896E-3</v>
      </c>
      <c r="G73" s="20">
        <v>123.310837556274</v>
      </c>
      <c r="H73" s="19">
        <v>-3.3469637283534102E-2</v>
      </c>
      <c r="I73" s="20">
        <v>79.929977678788404</v>
      </c>
      <c r="J73" s="19">
        <v>9.6907730421247305E-3</v>
      </c>
      <c r="K73" s="20">
        <v>110.270666979319</v>
      </c>
      <c r="L73" s="19">
        <v>5.9901837141218604E-4</v>
      </c>
      <c r="M73" s="20">
        <v>199.504616927218</v>
      </c>
      <c r="N73" s="19">
        <v>-7.3726739334871701E-3</v>
      </c>
      <c r="O73" s="20">
        <v>87.003753259655696</v>
      </c>
      <c r="P73" s="19">
        <v>2.8840271453667299E-3</v>
      </c>
      <c r="Q73" s="20">
        <v>66.692113163035799</v>
      </c>
      <c r="R73" s="19">
        <v>3.4744433256609399E-2</v>
      </c>
      <c r="S73" s="20">
        <v>146.36530299307299</v>
      </c>
      <c r="T73" s="19">
        <v>-5.8575042421033299E-2</v>
      </c>
      <c r="U73" s="20">
        <v>81.021691433087398</v>
      </c>
      <c r="V73" s="19">
        <v>-1.40362052695586E-3</v>
      </c>
      <c r="W73" s="20">
        <v>104.133771420616</v>
      </c>
      <c r="X73" s="19">
        <v>-5.5870953202030699E-5</v>
      </c>
      <c r="Y73" s="20">
        <v>120.139339882003</v>
      </c>
      <c r="Z73" s="19">
        <v>1.5125932268067501E-4</v>
      </c>
      <c r="AA73" s="20">
        <v>65.734593588377294</v>
      </c>
      <c r="AB73" s="19">
        <v>9.6339069130557693E-3</v>
      </c>
      <c r="AC73" s="20">
        <v>72.543253848985799</v>
      </c>
      <c r="AD73" s="19">
        <v>2.6820185126830601E-2</v>
      </c>
      <c r="AE73" s="20">
        <v>112.130122451438</v>
      </c>
      <c r="AF73" s="19">
        <v>1.26253803324825E-2</v>
      </c>
      <c r="AG73" s="20">
        <v>115.502571340597</v>
      </c>
      <c r="AH73" s="19">
        <v>1.22513382660192E-2</v>
      </c>
      <c r="AI73" s="20">
        <v>108.906325089806</v>
      </c>
      <c r="AJ73" s="19">
        <v>2.9047650737607601E-2</v>
      </c>
      <c r="AK73" s="20">
        <v>147.289744634334</v>
      </c>
      <c r="AL73" s="19">
        <v>-5.2027208159850496E-3</v>
      </c>
      <c r="AM73" s="20">
        <v>69.942004378344706</v>
      </c>
      <c r="AN73" s="19">
        <v>6.68825568965259E-3</v>
      </c>
      <c r="AO73" s="20">
        <v>79.915223000986998</v>
      </c>
      <c r="AP73" s="19">
        <v>3.7916914909390501E-3</v>
      </c>
      <c r="AQ73" s="20">
        <v>68.292735893399595</v>
      </c>
      <c r="AR73" s="19">
        <v>6.9196460342855204E-3</v>
      </c>
      <c r="AS73" s="20">
        <v>82.696891274820203</v>
      </c>
      <c r="AT73" s="19">
        <v>5.6852795730972802E-3</v>
      </c>
      <c r="AU73" s="20">
        <v>61.631944331521503</v>
      </c>
      <c r="AV73" s="19">
        <v>1.9438168163289801E-2</v>
      </c>
      <c r="AW73" s="20">
        <v>66.580358575276605</v>
      </c>
      <c r="AX73" s="19">
        <v>2.7381700812487302E-2</v>
      </c>
      <c r="AY73" s="20">
        <v>87.664276526846393</v>
      </c>
      <c r="AZ73" s="19">
        <v>8.2003432683097604E-3</v>
      </c>
      <c r="BA73" s="20">
        <v>115.326055899105</v>
      </c>
      <c r="BB73" s="19">
        <v>-1.69008201373364E-2</v>
      </c>
      <c r="BC73" s="20">
        <v>101.683532479281</v>
      </c>
      <c r="BD73" s="19">
        <v>-9.1583629196455608E-3</v>
      </c>
      <c r="BE73" s="20">
        <v>82.926961153088499</v>
      </c>
      <c r="BF73" s="19">
        <v>1.3307122838777099E-3</v>
      </c>
      <c r="BG73" s="20"/>
      <c r="BH73" s="19"/>
    </row>
    <row r="74" spans="1:60" x14ac:dyDescent="0.15">
      <c r="A74" s="17">
        <v>1995</v>
      </c>
      <c r="B74" s="17">
        <v>3</v>
      </c>
      <c r="C74" s="20">
        <v>92.071785206973402</v>
      </c>
      <c r="D74" s="19">
        <v>2.6761356001097098E-3</v>
      </c>
      <c r="E74" s="20">
        <v>91.360794095253297</v>
      </c>
      <c r="F74" s="19">
        <v>2.8861907230031099E-3</v>
      </c>
      <c r="G74" s="20">
        <v>121.675363571609</v>
      </c>
      <c r="H74" s="19">
        <v>-1.3263019026351699E-2</v>
      </c>
      <c r="I74" s="20">
        <v>79.336221014550901</v>
      </c>
      <c r="J74" s="19">
        <v>-7.4284602783649704E-3</v>
      </c>
      <c r="K74" s="20">
        <v>110.263645374898</v>
      </c>
      <c r="L74" s="19">
        <v>-6.3676085522934605E-5</v>
      </c>
      <c r="M74" s="20">
        <v>198.132883651068</v>
      </c>
      <c r="N74" s="19">
        <v>-6.8756969000406398E-3</v>
      </c>
      <c r="O74" s="20">
        <v>87.187148787292102</v>
      </c>
      <c r="P74" s="19">
        <v>2.1079036336408802E-3</v>
      </c>
      <c r="Q74" s="20">
        <v>67.633878290161107</v>
      </c>
      <c r="R74" s="19">
        <v>1.41210869240733E-2</v>
      </c>
      <c r="S74" s="20">
        <v>147.79202817605599</v>
      </c>
      <c r="T74" s="19">
        <v>9.7477008130175697E-3</v>
      </c>
      <c r="U74" s="20">
        <v>79.6661750126664</v>
      </c>
      <c r="V74" s="19">
        <v>-1.6730290326517201E-2</v>
      </c>
      <c r="W74" s="20">
        <v>104.454340595895</v>
      </c>
      <c r="X74" s="19">
        <v>3.0784362354918699E-3</v>
      </c>
      <c r="Y74" s="20">
        <v>120.58924656441999</v>
      </c>
      <c r="Z74" s="19">
        <v>3.7448739343792798E-3</v>
      </c>
      <c r="AA74" s="20">
        <v>66.1646277640628</v>
      </c>
      <c r="AB74" s="19">
        <v>6.5419766398553403E-3</v>
      </c>
      <c r="AC74" s="20">
        <v>72.875183537642698</v>
      </c>
      <c r="AD74" s="19">
        <v>4.5756107018282101E-3</v>
      </c>
      <c r="AE74" s="20">
        <v>112.241376800458</v>
      </c>
      <c r="AF74" s="19">
        <v>9.9218966846925704E-4</v>
      </c>
      <c r="AG74" s="20">
        <v>117.36073251898</v>
      </c>
      <c r="AH74" s="19">
        <v>1.6087617416787901E-2</v>
      </c>
      <c r="AI74" s="20">
        <v>112.858523657973</v>
      </c>
      <c r="AJ74" s="19">
        <v>3.6289890095067702E-2</v>
      </c>
      <c r="AK74" s="20">
        <v>146.14215613176299</v>
      </c>
      <c r="AL74" s="19">
        <v>-7.7913673176694996E-3</v>
      </c>
      <c r="AM74" s="20">
        <v>70.3936952697712</v>
      </c>
      <c r="AN74" s="19">
        <v>6.4580775950184898E-3</v>
      </c>
      <c r="AO74" s="20">
        <v>79.817511883111806</v>
      </c>
      <c r="AP74" s="19">
        <v>-1.22268466765141E-3</v>
      </c>
      <c r="AQ74" s="20">
        <v>68.726157461796902</v>
      </c>
      <c r="AR74" s="19">
        <v>6.3465251864245299E-3</v>
      </c>
      <c r="AS74" s="20">
        <v>82.900995139647904</v>
      </c>
      <c r="AT74" s="19">
        <v>2.4680959789580301E-3</v>
      </c>
      <c r="AU74" s="20">
        <v>61.965513362655301</v>
      </c>
      <c r="AV74" s="19">
        <v>5.4122749939469203E-3</v>
      </c>
      <c r="AW74" s="20">
        <v>67.155067300881996</v>
      </c>
      <c r="AX74" s="19">
        <v>8.6318058043450795E-3</v>
      </c>
      <c r="AY74" s="20">
        <v>87.917294802129803</v>
      </c>
      <c r="AZ74" s="19">
        <v>2.8862187119735902E-3</v>
      </c>
      <c r="BA74" s="20">
        <v>114.664056981892</v>
      </c>
      <c r="BB74" s="19">
        <v>-5.7402372087722604E-3</v>
      </c>
      <c r="BC74" s="20">
        <v>101.478405288202</v>
      </c>
      <c r="BD74" s="19">
        <v>-2.0173098443522202E-3</v>
      </c>
      <c r="BE74" s="20">
        <v>83.127391065134802</v>
      </c>
      <c r="BF74" s="19">
        <v>2.41694509553203E-3</v>
      </c>
      <c r="BG74" s="20"/>
      <c r="BH74" s="19"/>
    </row>
    <row r="75" spans="1:60" x14ac:dyDescent="0.15">
      <c r="A75" s="17">
        <v>1995</v>
      </c>
      <c r="B75" s="17">
        <v>4</v>
      </c>
      <c r="C75" s="20">
        <v>92.107628904153202</v>
      </c>
      <c r="D75" s="19">
        <v>3.8930164218298202E-4</v>
      </c>
      <c r="E75" s="20">
        <v>91.481918946819505</v>
      </c>
      <c r="F75" s="19">
        <v>1.32578588841881E-3</v>
      </c>
      <c r="G75" s="20">
        <v>117.177718318563</v>
      </c>
      <c r="H75" s="19">
        <v>-3.6964305024653303E-2</v>
      </c>
      <c r="I75" s="20">
        <v>79.511604600164105</v>
      </c>
      <c r="J75" s="19">
        <v>2.2106369999776998E-3</v>
      </c>
      <c r="K75" s="20">
        <v>109.925237509342</v>
      </c>
      <c r="L75" s="19">
        <v>-3.0690792455293501E-3</v>
      </c>
      <c r="M75" s="20">
        <v>198.07444352137901</v>
      </c>
      <c r="N75" s="19">
        <v>-2.9495421765524099E-4</v>
      </c>
      <c r="O75" s="20">
        <v>86.861816176468096</v>
      </c>
      <c r="P75" s="19">
        <v>-3.7314284885913199E-3</v>
      </c>
      <c r="Q75" s="20">
        <v>68.108584919707198</v>
      </c>
      <c r="R75" s="19">
        <v>7.0187699056596404E-3</v>
      </c>
      <c r="S75" s="20">
        <v>147.485676089642</v>
      </c>
      <c r="T75" s="19">
        <v>-2.0728593429266699E-3</v>
      </c>
      <c r="U75" s="20">
        <v>78.920273458661399</v>
      </c>
      <c r="V75" s="19">
        <v>-9.3628387943367492E-3</v>
      </c>
      <c r="W75" s="20">
        <v>104.488113461781</v>
      </c>
      <c r="X75" s="19">
        <v>3.2332659124501001E-4</v>
      </c>
      <c r="Y75" s="20">
        <v>120.70143029665</v>
      </c>
      <c r="Z75" s="19">
        <v>9.3029631932672896E-4</v>
      </c>
      <c r="AA75" s="20">
        <v>65.739913405696299</v>
      </c>
      <c r="AB75" s="19">
        <v>-6.4190546024228698E-3</v>
      </c>
      <c r="AC75" s="20">
        <v>73.298595765369001</v>
      </c>
      <c r="AD75" s="19">
        <v>5.81010169953999E-3</v>
      </c>
      <c r="AE75" s="20">
        <v>113.366745668837</v>
      </c>
      <c r="AF75" s="19">
        <v>1.00263280838007E-2</v>
      </c>
      <c r="AG75" s="20">
        <v>119.190907093901</v>
      </c>
      <c r="AH75" s="19">
        <v>1.5594437216251301E-2</v>
      </c>
      <c r="AI75" s="20">
        <v>116.997141287731</v>
      </c>
      <c r="AJ75" s="19">
        <v>3.6670846787792803E-2</v>
      </c>
      <c r="AK75" s="20">
        <v>144.525339857723</v>
      </c>
      <c r="AL75" s="19">
        <v>-1.10633120301165E-2</v>
      </c>
      <c r="AM75" s="20">
        <v>70.645275013664403</v>
      </c>
      <c r="AN75" s="19">
        <v>3.5738959707836099E-3</v>
      </c>
      <c r="AO75" s="20">
        <v>79.825079068166005</v>
      </c>
      <c r="AP75" s="19">
        <v>9.4806075454645394E-5</v>
      </c>
      <c r="AQ75" s="20">
        <v>69.115649014739503</v>
      </c>
      <c r="AR75" s="19">
        <v>5.6672971009490399E-3</v>
      </c>
      <c r="AS75" s="20">
        <v>83.062766814870301</v>
      </c>
      <c r="AT75" s="19">
        <v>1.9513839966562899E-3</v>
      </c>
      <c r="AU75" s="20">
        <v>62.556448017754001</v>
      </c>
      <c r="AV75" s="19">
        <v>9.5365086647509808E-3</v>
      </c>
      <c r="AW75" s="20">
        <v>67.412581862998593</v>
      </c>
      <c r="AX75" s="19">
        <v>3.8346259257366899E-3</v>
      </c>
      <c r="AY75" s="20">
        <v>88.435491323323305</v>
      </c>
      <c r="AZ75" s="19">
        <v>5.89413632846325E-3</v>
      </c>
      <c r="BA75" s="20">
        <v>111.137952480961</v>
      </c>
      <c r="BB75" s="19">
        <v>-3.07516112175222E-2</v>
      </c>
      <c r="BC75" s="20">
        <v>99.818661909133795</v>
      </c>
      <c r="BD75" s="19">
        <v>-1.6355631273021198E-2</v>
      </c>
      <c r="BE75" s="20">
        <v>83.414378297418807</v>
      </c>
      <c r="BF75" s="19">
        <v>3.45237867574988E-3</v>
      </c>
      <c r="BG75" s="20"/>
      <c r="BH75" s="19"/>
    </row>
    <row r="76" spans="1:60" x14ac:dyDescent="0.15">
      <c r="A76" s="17">
        <v>1996</v>
      </c>
      <c r="B76" s="17">
        <v>1</v>
      </c>
      <c r="C76" s="20">
        <v>92.012585835730704</v>
      </c>
      <c r="D76" s="19">
        <v>-1.0318696676181499E-3</v>
      </c>
      <c r="E76" s="20">
        <v>91.543266605154301</v>
      </c>
      <c r="F76" s="19">
        <v>6.70598726404403E-4</v>
      </c>
      <c r="G76" s="20">
        <v>110.63258459408</v>
      </c>
      <c r="H76" s="19">
        <v>-5.5856470141271597E-2</v>
      </c>
      <c r="I76" s="20">
        <v>78.891541125131297</v>
      </c>
      <c r="J76" s="19">
        <v>-7.7984022351312897E-3</v>
      </c>
      <c r="K76" s="20">
        <v>109.611569879887</v>
      </c>
      <c r="L76" s="19">
        <v>-2.8534632861509901E-3</v>
      </c>
      <c r="M76" s="20">
        <v>197.41706021637901</v>
      </c>
      <c r="N76" s="19">
        <v>-3.3188698820138E-3</v>
      </c>
      <c r="O76" s="20">
        <v>86.587699237567193</v>
      </c>
      <c r="P76" s="19">
        <v>-3.15578180341147E-3</v>
      </c>
      <c r="Q76" s="20">
        <v>67.321167983108197</v>
      </c>
      <c r="R76" s="19">
        <v>-1.15611994806127E-2</v>
      </c>
      <c r="S76" s="20">
        <v>147.96145779944601</v>
      </c>
      <c r="T76" s="19">
        <v>3.22595198678943E-3</v>
      </c>
      <c r="U76" s="20">
        <v>78.586021923345797</v>
      </c>
      <c r="V76" s="19">
        <v>-4.2353063499030999E-3</v>
      </c>
      <c r="W76" s="20">
        <v>104.751512845462</v>
      </c>
      <c r="X76" s="19">
        <v>2.5208550040203299E-3</v>
      </c>
      <c r="Y76" s="20">
        <v>121.129352333629</v>
      </c>
      <c r="Z76" s="19">
        <v>3.5452938372659802E-3</v>
      </c>
      <c r="AA76" s="20">
        <v>65.702902247956004</v>
      </c>
      <c r="AB76" s="19">
        <v>-5.6299370995327403E-4</v>
      </c>
      <c r="AC76" s="20">
        <v>73.534206720056702</v>
      </c>
      <c r="AD76" s="19">
        <v>3.2143992968418598E-3</v>
      </c>
      <c r="AE76" s="20">
        <v>112.03803055684401</v>
      </c>
      <c r="AF76" s="19">
        <v>-1.1720501494101599E-2</v>
      </c>
      <c r="AG76" s="20">
        <v>121.53581471741199</v>
      </c>
      <c r="AH76" s="19">
        <v>1.96735445738652E-2</v>
      </c>
      <c r="AI76" s="20">
        <v>121.768582854266</v>
      </c>
      <c r="AJ76" s="19">
        <v>4.0782548308605698E-2</v>
      </c>
      <c r="AK76" s="20">
        <v>142.29178600010599</v>
      </c>
      <c r="AL76" s="19">
        <v>-1.5454410000459599E-2</v>
      </c>
      <c r="AM76" s="20">
        <v>70.686329263898799</v>
      </c>
      <c r="AN76" s="19">
        <v>5.8113228699951903E-4</v>
      </c>
      <c r="AO76" s="20">
        <v>79.847359814675002</v>
      </c>
      <c r="AP76" s="19">
        <v>2.7911962968385501E-4</v>
      </c>
      <c r="AQ76" s="20">
        <v>69.072926760182497</v>
      </c>
      <c r="AR76" s="19">
        <v>-6.1812708360520197E-4</v>
      </c>
      <c r="AS76" s="20">
        <v>84.078835617866901</v>
      </c>
      <c r="AT76" s="19">
        <v>1.2232542232325099E-2</v>
      </c>
      <c r="AU76" s="20">
        <v>63.235376597972603</v>
      </c>
      <c r="AV76" s="19">
        <v>1.0853055148301901E-2</v>
      </c>
      <c r="AW76" s="20">
        <v>67.486863246495204</v>
      </c>
      <c r="AX76" s="19">
        <v>1.10189198282851E-3</v>
      </c>
      <c r="AY76" s="20">
        <v>88.512683002397296</v>
      </c>
      <c r="AZ76" s="19">
        <v>8.7285859917729503E-4</v>
      </c>
      <c r="BA76" s="20">
        <v>104.74212360622199</v>
      </c>
      <c r="BB76" s="19">
        <v>-5.7548557733545801E-2</v>
      </c>
      <c r="BC76" s="20">
        <v>96.809394686523305</v>
      </c>
      <c r="BD76" s="19">
        <v>-3.0147340838428401E-2</v>
      </c>
      <c r="BE76" s="20">
        <v>83.767570214572899</v>
      </c>
      <c r="BF76" s="19">
        <v>4.2341850933025303E-3</v>
      </c>
      <c r="BG76" s="20"/>
      <c r="BH76" s="19"/>
    </row>
    <row r="77" spans="1:60" x14ac:dyDescent="0.15">
      <c r="A77" s="17">
        <v>1996</v>
      </c>
      <c r="B77" s="17">
        <v>2</v>
      </c>
      <c r="C77" s="20">
        <v>92.483107592016694</v>
      </c>
      <c r="D77" s="19">
        <v>5.1136673533551703E-3</v>
      </c>
      <c r="E77" s="20">
        <v>91.576220814399704</v>
      </c>
      <c r="F77" s="19">
        <v>3.5998507009393798E-4</v>
      </c>
      <c r="G77" s="20">
        <v>108.57749621809999</v>
      </c>
      <c r="H77" s="19">
        <v>-1.85757964845523E-2</v>
      </c>
      <c r="I77" s="20">
        <v>79.1229796357118</v>
      </c>
      <c r="J77" s="19">
        <v>2.9336289706076699E-3</v>
      </c>
      <c r="K77" s="20">
        <v>109.041076982116</v>
      </c>
      <c r="L77" s="19">
        <v>-5.2046777397354296E-3</v>
      </c>
      <c r="M77" s="20">
        <v>197.61069018383901</v>
      </c>
      <c r="N77" s="19">
        <v>9.8081679084494099E-4</v>
      </c>
      <c r="O77" s="20">
        <v>86.012089238462295</v>
      </c>
      <c r="P77" s="19">
        <v>-6.6477109817363296E-3</v>
      </c>
      <c r="Q77" s="20">
        <v>67.144475592999299</v>
      </c>
      <c r="R77" s="19">
        <v>-2.6246186066348799E-3</v>
      </c>
      <c r="S77" s="20">
        <v>151.61460324349201</v>
      </c>
      <c r="T77" s="19">
        <v>2.4689844898650101E-2</v>
      </c>
      <c r="U77" s="20">
        <v>78.420381893005001</v>
      </c>
      <c r="V77" s="19">
        <v>-2.1077543599590199E-3</v>
      </c>
      <c r="W77" s="20">
        <v>105.131595299523</v>
      </c>
      <c r="X77" s="19">
        <v>3.62841971191208E-3</v>
      </c>
      <c r="Y77" s="20">
        <v>121.695367710893</v>
      </c>
      <c r="Z77" s="19">
        <v>4.6728176644144099E-3</v>
      </c>
      <c r="AA77" s="20">
        <v>66.309228142352097</v>
      </c>
      <c r="AB77" s="19">
        <v>9.2282969800607795E-3</v>
      </c>
      <c r="AC77" s="20">
        <v>73.786164575544007</v>
      </c>
      <c r="AD77" s="19">
        <v>3.4264033940896201E-3</v>
      </c>
      <c r="AE77" s="20">
        <v>113.137551212665</v>
      </c>
      <c r="AF77" s="19">
        <v>9.8138163475016693E-3</v>
      </c>
      <c r="AG77" s="20">
        <v>122.080755406801</v>
      </c>
      <c r="AH77" s="19">
        <v>4.4837868627989304E-3</v>
      </c>
      <c r="AI77" s="20">
        <v>123.233505538072</v>
      </c>
      <c r="AJ77" s="19">
        <v>1.2030382956483799E-2</v>
      </c>
      <c r="AK77" s="20">
        <v>140.91390915969799</v>
      </c>
      <c r="AL77" s="19">
        <v>-9.6834601570513507E-3</v>
      </c>
      <c r="AM77" s="20">
        <v>70.547324238771196</v>
      </c>
      <c r="AN77" s="19">
        <v>-1.96650507354357E-3</v>
      </c>
      <c r="AO77" s="20">
        <v>79.759702685249593</v>
      </c>
      <c r="AP77" s="19">
        <v>-1.09780873943544E-3</v>
      </c>
      <c r="AQ77" s="20">
        <v>69.140760970840802</v>
      </c>
      <c r="AR77" s="19">
        <v>9.8206654676391602E-4</v>
      </c>
      <c r="AS77" s="20">
        <v>84.145808897504097</v>
      </c>
      <c r="AT77" s="19">
        <v>7.9655336738393401E-4</v>
      </c>
      <c r="AU77" s="20">
        <v>63.599205865240997</v>
      </c>
      <c r="AV77" s="19">
        <v>5.7535716056764698E-3</v>
      </c>
      <c r="AW77" s="20">
        <v>67.542910706168797</v>
      </c>
      <c r="AX77" s="19">
        <v>8.3049436553217504E-4</v>
      </c>
      <c r="AY77" s="20">
        <v>88.222283913836904</v>
      </c>
      <c r="AZ77" s="19">
        <v>-3.2808754486922699E-3</v>
      </c>
      <c r="BA77" s="20">
        <v>123.124051411083</v>
      </c>
      <c r="BB77" s="19">
        <v>0.17549699368295199</v>
      </c>
      <c r="BC77" s="20">
        <v>106.19504094321201</v>
      </c>
      <c r="BD77" s="19">
        <v>9.6949746324515695E-2</v>
      </c>
      <c r="BE77" s="20">
        <v>84.036364116161394</v>
      </c>
      <c r="BF77" s="19">
        <v>3.2088062349191499E-3</v>
      </c>
      <c r="BG77" s="20"/>
      <c r="BH77" s="19"/>
    </row>
    <row r="78" spans="1:60" x14ac:dyDescent="0.15">
      <c r="A78" s="17">
        <v>1996</v>
      </c>
      <c r="B78" s="17">
        <v>3</v>
      </c>
      <c r="C78" s="20">
        <v>91.956188302586199</v>
      </c>
      <c r="D78" s="19">
        <v>-5.6974652252704799E-3</v>
      </c>
      <c r="E78" s="20">
        <v>91.551319840589102</v>
      </c>
      <c r="F78" s="19">
        <v>-2.7191528094472301E-4</v>
      </c>
      <c r="G78" s="20">
        <v>106.342857955285</v>
      </c>
      <c r="H78" s="19">
        <v>-2.0581044329168501E-2</v>
      </c>
      <c r="I78" s="20">
        <v>79.358780529264195</v>
      </c>
      <c r="J78" s="19">
        <v>2.9801821751152002E-3</v>
      </c>
      <c r="K78" s="20">
        <v>108.64307462006001</v>
      </c>
      <c r="L78" s="19">
        <v>-3.6500222950044399E-3</v>
      </c>
      <c r="M78" s="20">
        <v>197.822394746312</v>
      </c>
      <c r="N78" s="19">
        <v>1.07132140612443E-3</v>
      </c>
      <c r="O78" s="20">
        <v>85.604792371445598</v>
      </c>
      <c r="P78" s="19">
        <v>-4.73534442219525E-3</v>
      </c>
      <c r="Q78" s="20">
        <v>68.216352092624604</v>
      </c>
      <c r="R78" s="19">
        <v>1.5963733280493799E-2</v>
      </c>
      <c r="S78" s="20">
        <v>152.910796418703</v>
      </c>
      <c r="T78" s="19">
        <v>8.5492633788646407E-3</v>
      </c>
      <c r="U78" s="20">
        <v>78.231172406223394</v>
      </c>
      <c r="V78" s="19">
        <v>-2.4127590584783801E-3</v>
      </c>
      <c r="W78" s="20">
        <v>105.220288793073</v>
      </c>
      <c r="X78" s="19">
        <v>8.4364261093061699E-4</v>
      </c>
      <c r="Y78" s="20">
        <v>121.42056449246699</v>
      </c>
      <c r="Z78" s="19">
        <v>-2.2581239006477199E-3</v>
      </c>
      <c r="AA78" s="20">
        <v>66.823716163785406</v>
      </c>
      <c r="AB78" s="19">
        <v>7.7589203772487902E-3</v>
      </c>
      <c r="AC78" s="20">
        <v>73.997765550628003</v>
      </c>
      <c r="AD78" s="19">
        <v>2.8677595088621999E-3</v>
      </c>
      <c r="AE78" s="20">
        <v>113.378699073218</v>
      </c>
      <c r="AF78" s="19">
        <v>2.1314573098674102E-3</v>
      </c>
      <c r="AG78" s="20">
        <v>121.74442448863</v>
      </c>
      <c r="AH78" s="19">
        <v>-2.7549871972073498E-3</v>
      </c>
      <c r="AI78" s="20">
        <v>122.620443086433</v>
      </c>
      <c r="AJ78" s="19">
        <v>-4.9748033131220603E-3</v>
      </c>
      <c r="AK78" s="20">
        <v>140.27269173732199</v>
      </c>
      <c r="AL78" s="19">
        <v>-4.5504196583570104E-3</v>
      </c>
      <c r="AM78" s="20">
        <v>70.345134265199803</v>
      </c>
      <c r="AN78" s="19">
        <v>-2.8660190269875802E-3</v>
      </c>
      <c r="AO78" s="20">
        <v>79.645904561981197</v>
      </c>
      <c r="AP78" s="19">
        <v>-1.42676212971116E-3</v>
      </c>
      <c r="AQ78" s="20">
        <v>69.710658317274493</v>
      </c>
      <c r="AR78" s="19">
        <v>8.2425668799634994E-3</v>
      </c>
      <c r="AS78" s="20">
        <v>84.233318699644101</v>
      </c>
      <c r="AT78" s="19">
        <v>1.0399781437311401E-3</v>
      </c>
      <c r="AU78" s="20">
        <v>63.901904935822202</v>
      </c>
      <c r="AV78" s="19">
        <v>4.7594787774960503E-3</v>
      </c>
      <c r="AW78" s="20">
        <v>67.651762365781096</v>
      </c>
      <c r="AX78" s="19">
        <v>1.6115926671540499E-3</v>
      </c>
      <c r="AY78" s="20">
        <v>88.136695166446501</v>
      </c>
      <c r="AZ78" s="19">
        <v>-9.70148851212715E-4</v>
      </c>
      <c r="BA78" s="20">
        <v>102.418066449344</v>
      </c>
      <c r="BB78" s="19">
        <v>-0.168171731878824</v>
      </c>
      <c r="BC78" s="20">
        <v>95.792879284810496</v>
      </c>
      <c r="BD78" s="19">
        <v>-9.7953365486847702E-2</v>
      </c>
      <c r="BE78" s="20">
        <v>84.197391327926496</v>
      </c>
      <c r="BF78" s="19">
        <v>1.91616109833692E-3</v>
      </c>
      <c r="BG78" s="20"/>
      <c r="BH78" s="19"/>
    </row>
    <row r="79" spans="1:60" x14ac:dyDescent="0.15">
      <c r="A79" s="17">
        <v>1996</v>
      </c>
      <c r="B79" s="17">
        <v>4</v>
      </c>
      <c r="C79" s="20">
        <v>91.842563274188706</v>
      </c>
      <c r="D79" s="19">
        <v>-1.23564308715896E-3</v>
      </c>
      <c r="E79" s="20">
        <v>91.448449568048602</v>
      </c>
      <c r="F79" s="19">
        <v>-1.1236350575792901E-3</v>
      </c>
      <c r="G79" s="20">
        <v>107.546611053437</v>
      </c>
      <c r="H79" s="19">
        <v>1.1319548122906E-2</v>
      </c>
      <c r="I79" s="20">
        <v>78.942628326069595</v>
      </c>
      <c r="J79" s="19">
        <v>-5.2439339468073297E-3</v>
      </c>
      <c r="K79" s="20">
        <v>108.207009306016</v>
      </c>
      <c r="L79" s="19">
        <v>-4.0137423905630704E-3</v>
      </c>
      <c r="M79" s="20">
        <v>195.94763444695599</v>
      </c>
      <c r="N79" s="19">
        <v>-9.4769871821607198E-3</v>
      </c>
      <c r="O79" s="20">
        <v>85.370223907854097</v>
      </c>
      <c r="P79" s="19">
        <v>-2.7401323815342501E-3</v>
      </c>
      <c r="Q79" s="20">
        <v>66.876327237037998</v>
      </c>
      <c r="R79" s="19">
        <v>-1.9643748375273901E-2</v>
      </c>
      <c r="S79" s="20">
        <v>150.780323447505</v>
      </c>
      <c r="T79" s="19">
        <v>-1.39327831722534E-2</v>
      </c>
      <c r="U79" s="20">
        <v>77.540118827048303</v>
      </c>
      <c r="V79" s="19">
        <v>-8.8334810526252694E-3</v>
      </c>
      <c r="W79" s="20">
        <v>105.396788863034</v>
      </c>
      <c r="X79" s="19">
        <v>1.6774338103999801E-3</v>
      </c>
      <c r="Y79" s="20">
        <v>121.234831082802</v>
      </c>
      <c r="Z79" s="19">
        <v>-1.52967012171112E-3</v>
      </c>
      <c r="AA79" s="20">
        <v>66.142162720018504</v>
      </c>
      <c r="AB79" s="19">
        <v>-1.0199274791848701E-2</v>
      </c>
      <c r="AC79" s="20">
        <v>73.984330394940201</v>
      </c>
      <c r="AD79" s="19">
        <v>-1.81561640243966E-4</v>
      </c>
      <c r="AE79" s="20">
        <v>113.996949174584</v>
      </c>
      <c r="AF79" s="19">
        <v>5.4529652079282603E-3</v>
      </c>
      <c r="AG79" s="20">
        <v>123.33683868760799</v>
      </c>
      <c r="AH79" s="19">
        <v>1.3079976398641099E-2</v>
      </c>
      <c r="AI79" s="20">
        <v>125.048215273593</v>
      </c>
      <c r="AJ79" s="19">
        <v>1.9799081833753E-2</v>
      </c>
      <c r="AK79" s="20">
        <v>140.33647925476899</v>
      </c>
      <c r="AL79" s="19">
        <v>4.5473938410500698E-4</v>
      </c>
      <c r="AM79" s="20">
        <v>69.984143946291098</v>
      </c>
      <c r="AN79" s="19">
        <v>-5.1317027493010797E-3</v>
      </c>
      <c r="AO79" s="20">
        <v>79.372625320526893</v>
      </c>
      <c r="AP79" s="19">
        <v>-3.43117757224609E-3</v>
      </c>
      <c r="AQ79" s="20">
        <v>69.949952556461298</v>
      </c>
      <c r="AR79" s="19">
        <v>3.4326779428432998E-3</v>
      </c>
      <c r="AS79" s="20">
        <v>84.224949589797603</v>
      </c>
      <c r="AT79" s="19">
        <v>-9.9356287697194303E-5</v>
      </c>
      <c r="AU79" s="20">
        <v>63.935205199097197</v>
      </c>
      <c r="AV79" s="19">
        <v>5.2111534559795602E-4</v>
      </c>
      <c r="AW79" s="20">
        <v>67.801460725489505</v>
      </c>
      <c r="AX79" s="19">
        <v>2.21277841808365E-3</v>
      </c>
      <c r="AY79" s="20">
        <v>88.103541296389693</v>
      </c>
      <c r="AZ79" s="19">
        <v>-3.76164207135599E-4</v>
      </c>
      <c r="BA79" s="20">
        <v>102.353014512249</v>
      </c>
      <c r="BB79" s="19">
        <v>-6.3516076166847402E-4</v>
      </c>
      <c r="BC79" s="20">
        <v>95.625707904534806</v>
      </c>
      <c r="BD79" s="19">
        <v>-1.7451336834615201E-3</v>
      </c>
      <c r="BE79" s="20">
        <v>84.2481556467296</v>
      </c>
      <c r="BF79" s="19">
        <v>6.02920328082179E-4</v>
      </c>
      <c r="BG79" s="20"/>
      <c r="BH79" s="19"/>
    </row>
    <row r="80" spans="1:60" x14ac:dyDescent="0.15">
      <c r="A80" s="17">
        <v>1997</v>
      </c>
      <c r="B80" s="17">
        <v>1</v>
      </c>
      <c r="C80" s="20">
        <v>91.681241002731397</v>
      </c>
      <c r="D80" s="19">
        <v>-1.75650880927192E-3</v>
      </c>
      <c r="E80" s="20">
        <v>91.239306287347603</v>
      </c>
      <c r="F80" s="19">
        <v>-2.28700739803589E-3</v>
      </c>
      <c r="G80" s="20">
        <v>109.77146414037701</v>
      </c>
      <c r="H80" s="19">
        <v>2.0687337937912002E-2</v>
      </c>
      <c r="I80" s="20">
        <v>77.388546916206295</v>
      </c>
      <c r="J80" s="19">
        <v>-1.9686213175525501E-2</v>
      </c>
      <c r="K80" s="20">
        <v>107.86973058573101</v>
      </c>
      <c r="L80" s="19">
        <v>-3.11697663994681E-3</v>
      </c>
      <c r="M80" s="20">
        <v>195.97657649194301</v>
      </c>
      <c r="N80" s="19">
        <v>1.4770295680621701E-4</v>
      </c>
      <c r="O80" s="20">
        <v>85.039112681623195</v>
      </c>
      <c r="P80" s="19">
        <v>-3.8785329483062001E-3</v>
      </c>
      <c r="Q80" s="20">
        <v>66.106503649220997</v>
      </c>
      <c r="R80" s="19">
        <v>-1.15111522959154E-2</v>
      </c>
      <c r="S80" s="20">
        <v>147.35870134788399</v>
      </c>
      <c r="T80" s="19">
        <v>-2.2692762698658699E-2</v>
      </c>
      <c r="U80" s="20">
        <v>76.433359742043095</v>
      </c>
      <c r="V80" s="19">
        <v>-1.42733735999797E-2</v>
      </c>
      <c r="W80" s="20">
        <v>105.275701284204</v>
      </c>
      <c r="X80" s="19">
        <v>-1.1488735106301999E-3</v>
      </c>
      <c r="Y80" s="20">
        <v>120.98815904308501</v>
      </c>
      <c r="Z80" s="19">
        <v>-2.0346631204381E-3</v>
      </c>
      <c r="AA80" s="20">
        <v>66.176630841806002</v>
      </c>
      <c r="AB80" s="19">
        <v>5.21121783293665E-4</v>
      </c>
      <c r="AC80" s="20">
        <v>73.8384343208172</v>
      </c>
      <c r="AD80" s="19">
        <v>-1.9719861400946401E-3</v>
      </c>
      <c r="AE80" s="20">
        <v>113.216540201725</v>
      </c>
      <c r="AF80" s="19">
        <v>-6.8458759511486099E-3</v>
      </c>
      <c r="AG80" s="20">
        <v>125.271495862574</v>
      </c>
      <c r="AH80" s="19">
        <v>1.5685963703563101E-2</v>
      </c>
      <c r="AI80" s="20">
        <v>128.36340390031199</v>
      </c>
      <c r="AJ80" s="19">
        <v>2.65112830236429E-2</v>
      </c>
      <c r="AK80" s="20">
        <v>141.15722859991101</v>
      </c>
      <c r="AL80" s="19">
        <v>5.8484390480659804E-3</v>
      </c>
      <c r="AM80" s="20">
        <v>69.498659216349793</v>
      </c>
      <c r="AN80" s="19">
        <v>-6.9370674922292199E-3</v>
      </c>
      <c r="AO80" s="20">
        <v>79.007257441292495</v>
      </c>
      <c r="AP80" s="19">
        <v>-4.6031976107502297E-3</v>
      </c>
      <c r="AQ80" s="20">
        <v>69.469707444660699</v>
      </c>
      <c r="AR80" s="19">
        <v>-6.8655530740061596E-3</v>
      </c>
      <c r="AS80" s="20">
        <v>84.408199100316494</v>
      </c>
      <c r="AT80" s="19">
        <v>2.1757152887753599E-3</v>
      </c>
      <c r="AU80" s="20">
        <v>63.713000187697503</v>
      </c>
      <c r="AV80" s="19">
        <v>-3.4754719361228502E-3</v>
      </c>
      <c r="AW80" s="20">
        <v>67.758834627514801</v>
      </c>
      <c r="AX80" s="19">
        <v>-6.2868996506237895E-4</v>
      </c>
      <c r="AY80" s="20">
        <v>87.798011109919102</v>
      </c>
      <c r="AZ80" s="19">
        <v>-3.4678536410105401E-3</v>
      </c>
      <c r="BA80" s="20">
        <v>103.900731885002</v>
      </c>
      <c r="BB80" s="19">
        <v>1.51213657959037E-2</v>
      </c>
      <c r="BC80" s="20">
        <v>96.434515373208697</v>
      </c>
      <c r="BD80" s="19">
        <v>8.4580547051360498E-3</v>
      </c>
      <c r="BE80" s="20">
        <v>84.206595034247002</v>
      </c>
      <c r="BF80" s="19">
        <v>-4.9331183767209496E-4</v>
      </c>
      <c r="BG80" s="20"/>
      <c r="BH80" s="19"/>
    </row>
    <row r="81" spans="1:60" x14ac:dyDescent="0.15">
      <c r="A81" s="17">
        <v>1997</v>
      </c>
      <c r="B81" s="17">
        <v>2</v>
      </c>
      <c r="C81" s="20">
        <v>91.696245271821894</v>
      </c>
      <c r="D81" s="19">
        <v>1.63656915267874E-4</v>
      </c>
      <c r="E81" s="20">
        <v>91.262867901009301</v>
      </c>
      <c r="F81" s="19">
        <v>2.58239728253784E-4</v>
      </c>
      <c r="G81" s="20">
        <v>112.303657969779</v>
      </c>
      <c r="H81" s="19">
        <v>2.30678696802602E-2</v>
      </c>
      <c r="I81" s="20">
        <v>76.131585828228395</v>
      </c>
      <c r="J81" s="19">
        <v>-1.62422107413247E-2</v>
      </c>
      <c r="K81" s="20">
        <v>107.87640527038199</v>
      </c>
      <c r="L81" s="19">
        <v>6.1877271914978493E-5</v>
      </c>
      <c r="M81" s="20">
        <v>191.02861740635299</v>
      </c>
      <c r="N81" s="19">
        <v>-2.5247706507381999E-2</v>
      </c>
      <c r="O81" s="20">
        <v>85.550921665938503</v>
      </c>
      <c r="P81" s="19">
        <v>6.0185127546123996E-3</v>
      </c>
      <c r="Q81" s="20">
        <v>68.2454682687857</v>
      </c>
      <c r="R81" s="19">
        <v>3.2356341683332998E-2</v>
      </c>
      <c r="S81" s="20">
        <v>149.41079350525899</v>
      </c>
      <c r="T81" s="19">
        <v>1.3925829547930301E-2</v>
      </c>
      <c r="U81" s="20">
        <v>75.653470254491793</v>
      </c>
      <c r="V81" s="19">
        <v>-1.0203522260218799E-2</v>
      </c>
      <c r="W81" s="20">
        <v>104.424977433089</v>
      </c>
      <c r="X81" s="19">
        <v>-8.0809136461473807E-3</v>
      </c>
      <c r="Y81" s="20">
        <v>120.417303947872</v>
      </c>
      <c r="Z81" s="19">
        <v>-4.7182724303569401E-3</v>
      </c>
      <c r="AA81" s="20">
        <v>66.011091826912903</v>
      </c>
      <c r="AB81" s="19">
        <v>-2.5014723896852301E-3</v>
      </c>
      <c r="AC81" s="20">
        <v>73.793210108980901</v>
      </c>
      <c r="AD81" s="19">
        <v>-6.1247522719432002E-4</v>
      </c>
      <c r="AE81" s="20">
        <v>113.163276170467</v>
      </c>
      <c r="AF81" s="19">
        <v>-4.70461570043823E-4</v>
      </c>
      <c r="AG81" s="20">
        <v>128.01142105897</v>
      </c>
      <c r="AH81" s="19">
        <v>2.1871896535844398E-2</v>
      </c>
      <c r="AI81" s="20">
        <v>132.901369885919</v>
      </c>
      <c r="AJ81" s="19">
        <v>3.5352490255956097E-2</v>
      </c>
      <c r="AK81" s="20">
        <v>141.75326565293699</v>
      </c>
      <c r="AL81" s="19">
        <v>4.22250464208052E-3</v>
      </c>
      <c r="AM81" s="20">
        <v>68.906267860456694</v>
      </c>
      <c r="AN81" s="19">
        <v>-8.5237810710713201E-3</v>
      </c>
      <c r="AO81" s="20">
        <v>78.877570533749406</v>
      </c>
      <c r="AP81" s="19">
        <v>-1.6414556300653499E-3</v>
      </c>
      <c r="AQ81" s="20">
        <v>69.038094342332698</v>
      </c>
      <c r="AR81" s="19">
        <v>-6.2129684750980001E-3</v>
      </c>
      <c r="AS81" s="20">
        <v>84.608589421157106</v>
      </c>
      <c r="AT81" s="19">
        <v>2.3740622709222899E-3</v>
      </c>
      <c r="AU81" s="20">
        <v>63.807200640468103</v>
      </c>
      <c r="AV81" s="19">
        <v>1.4785122736824499E-3</v>
      </c>
      <c r="AW81" s="20">
        <v>67.699969588846002</v>
      </c>
      <c r="AX81" s="19">
        <v>-8.6874337482933895E-4</v>
      </c>
      <c r="AY81" s="20">
        <v>87.575502041091795</v>
      </c>
      <c r="AZ81" s="19">
        <v>-2.5343292634351102E-3</v>
      </c>
      <c r="BA81" s="20">
        <v>103.672892335207</v>
      </c>
      <c r="BB81" s="19">
        <v>-2.19285798724689E-3</v>
      </c>
      <c r="BC81" s="20">
        <v>96.2966943526595</v>
      </c>
      <c r="BD81" s="19">
        <v>-1.4291669327719499E-3</v>
      </c>
      <c r="BE81" s="20">
        <v>84.230199625108895</v>
      </c>
      <c r="BF81" s="19">
        <v>2.8031760282232199E-4</v>
      </c>
      <c r="BG81" s="20"/>
      <c r="BH81" s="19"/>
    </row>
    <row r="82" spans="1:60" x14ac:dyDescent="0.15">
      <c r="A82" s="17">
        <v>1997</v>
      </c>
      <c r="B82" s="17">
        <v>3</v>
      </c>
      <c r="C82" s="20">
        <v>91.605734628048197</v>
      </c>
      <c r="D82" s="19">
        <v>-9.8707033756273411E-4</v>
      </c>
      <c r="E82" s="20">
        <v>91.159056932843399</v>
      </c>
      <c r="F82" s="19">
        <v>-1.1374940384129E-3</v>
      </c>
      <c r="G82" s="20">
        <v>112.568972107341</v>
      </c>
      <c r="H82" s="19">
        <v>2.3624710215015602E-3</v>
      </c>
      <c r="I82" s="20">
        <v>75.240372742929395</v>
      </c>
      <c r="J82" s="19">
        <v>-1.17062199033889E-2</v>
      </c>
      <c r="K82" s="20">
        <v>107.444705363303</v>
      </c>
      <c r="L82" s="19">
        <v>-4.0018010054859703E-3</v>
      </c>
      <c r="M82" s="20">
        <v>188.40411731402099</v>
      </c>
      <c r="N82" s="19">
        <v>-1.37387797072798E-2</v>
      </c>
      <c r="O82" s="20">
        <v>85.407560187304995</v>
      </c>
      <c r="P82" s="19">
        <v>-1.6757444086140699E-3</v>
      </c>
      <c r="Q82" s="20">
        <v>67.840799485384807</v>
      </c>
      <c r="R82" s="19">
        <v>-5.9296066635089496E-3</v>
      </c>
      <c r="S82" s="20">
        <v>151.47248134486901</v>
      </c>
      <c r="T82" s="19">
        <v>1.3798787833474E-2</v>
      </c>
      <c r="U82" s="20">
        <v>75.514023412338901</v>
      </c>
      <c r="V82" s="19">
        <v>-1.84323127126607E-3</v>
      </c>
      <c r="W82" s="20">
        <v>104.05303181526401</v>
      </c>
      <c r="X82" s="19">
        <v>-3.5618453263587301E-3</v>
      </c>
      <c r="Y82" s="20">
        <v>120.406655030832</v>
      </c>
      <c r="Z82" s="19">
        <v>-8.8433445118441006E-5</v>
      </c>
      <c r="AA82" s="20">
        <v>66.214958856548193</v>
      </c>
      <c r="AB82" s="19">
        <v>3.0883753622779099E-3</v>
      </c>
      <c r="AC82" s="20">
        <v>73.795666565279603</v>
      </c>
      <c r="AD82" s="19">
        <v>3.3288378363138797E-5</v>
      </c>
      <c r="AE82" s="20">
        <v>110.022592299287</v>
      </c>
      <c r="AF82" s="19">
        <v>-2.77535608499807E-2</v>
      </c>
      <c r="AG82" s="20">
        <v>130.662483349995</v>
      </c>
      <c r="AH82" s="19">
        <v>2.0709576294781502E-2</v>
      </c>
      <c r="AI82" s="20">
        <v>137.41118380948799</v>
      </c>
      <c r="AJ82" s="19">
        <v>3.3933539793003203E-2</v>
      </c>
      <c r="AK82" s="20">
        <v>142.239568498756</v>
      </c>
      <c r="AL82" s="19">
        <v>3.4306288717853598E-3</v>
      </c>
      <c r="AM82" s="20">
        <v>68.564598923486002</v>
      </c>
      <c r="AN82" s="19">
        <v>-4.9584594780628403E-3</v>
      </c>
      <c r="AO82" s="20">
        <v>78.797495120430298</v>
      </c>
      <c r="AP82" s="19">
        <v>-1.0151861014132701E-3</v>
      </c>
      <c r="AQ82" s="20">
        <v>68.448970116793902</v>
      </c>
      <c r="AR82" s="19">
        <v>-8.5333210765873302E-3</v>
      </c>
      <c r="AS82" s="20">
        <v>84.629944496777497</v>
      </c>
      <c r="AT82" s="19">
        <v>2.52398435744761E-4</v>
      </c>
      <c r="AU82" s="20">
        <v>64.123277492129901</v>
      </c>
      <c r="AV82" s="19">
        <v>4.95362354858253E-3</v>
      </c>
      <c r="AW82" s="20">
        <v>67.782542816932406</v>
      </c>
      <c r="AX82" s="19">
        <v>1.2196937249437901E-3</v>
      </c>
      <c r="AY82" s="20">
        <v>87.636742483430595</v>
      </c>
      <c r="AZ82" s="19">
        <v>6.9928736817348501E-4</v>
      </c>
      <c r="BA82" s="20">
        <v>104.08226835478401</v>
      </c>
      <c r="BB82" s="19">
        <v>3.9487276794878401E-3</v>
      </c>
      <c r="BC82" s="20">
        <v>96.571445852504795</v>
      </c>
      <c r="BD82" s="19">
        <v>2.8531768581709898E-3</v>
      </c>
      <c r="BE82" s="20">
        <v>84.336468147272896</v>
      </c>
      <c r="BF82" s="19">
        <v>1.26164395474615E-3</v>
      </c>
      <c r="BG82" s="20"/>
      <c r="BH82" s="19"/>
    </row>
    <row r="83" spans="1:60" x14ac:dyDescent="0.15">
      <c r="A83" s="17">
        <v>1997</v>
      </c>
      <c r="B83" s="17">
        <v>4</v>
      </c>
      <c r="C83" s="20">
        <v>91.549346138855796</v>
      </c>
      <c r="D83" s="19">
        <v>-6.1555632320819996E-4</v>
      </c>
      <c r="E83" s="20">
        <v>91.061428531967806</v>
      </c>
      <c r="F83" s="19">
        <v>-1.0709676488598299E-3</v>
      </c>
      <c r="G83" s="20">
        <v>114.0038361063</v>
      </c>
      <c r="H83" s="19">
        <v>1.27465319447946E-2</v>
      </c>
      <c r="I83" s="20">
        <v>75.374662572378895</v>
      </c>
      <c r="J83" s="19">
        <v>1.78481079444293E-3</v>
      </c>
      <c r="K83" s="20">
        <v>107.37029219663</v>
      </c>
      <c r="L83" s="19">
        <v>-6.92571741167325E-4</v>
      </c>
      <c r="M83" s="20">
        <v>186.03693883268201</v>
      </c>
      <c r="N83" s="19">
        <v>-1.2564367037656E-2</v>
      </c>
      <c r="O83" s="20">
        <v>85.6200409265372</v>
      </c>
      <c r="P83" s="19">
        <v>2.4878446213225701E-3</v>
      </c>
      <c r="Q83" s="20">
        <v>66.420299075338605</v>
      </c>
      <c r="R83" s="19">
        <v>-2.0938733340726799E-2</v>
      </c>
      <c r="S83" s="20">
        <v>157.939965242233</v>
      </c>
      <c r="T83" s="19">
        <v>4.2697418302930501E-2</v>
      </c>
      <c r="U83" s="20">
        <v>75.336104693784506</v>
      </c>
      <c r="V83" s="19">
        <v>-2.35610169495193E-3</v>
      </c>
      <c r="W83" s="20">
        <v>104.07161710075199</v>
      </c>
      <c r="X83" s="19">
        <v>1.7861358928428201E-4</v>
      </c>
      <c r="Y83" s="20">
        <v>120.81755430135</v>
      </c>
      <c r="Z83" s="19">
        <v>3.4125960098552199E-3</v>
      </c>
      <c r="AA83" s="20">
        <v>65.991084149600397</v>
      </c>
      <c r="AB83" s="19">
        <v>-3.38102916340699E-3</v>
      </c>
      <c r="AC83" s="20">
        <v>73.736820624106102</v>
      </c>
      <c r="AD83" s="19">
        <v>-7.9741729985560695E-4</v>
      </c>
      <c r="AE83" s="20">
        <v>108.99211135522999</v>
      </c>
      <c r="AF83" s="19">
        <v>-9.3660849333040402E-3</v>
      </c>
      <c r="AG83" s="20">
        <v>131.06041718706501</v>
      </c>
      <c r="AH83" s="19">
        <v>3.0455095209238601E-3</v>
      </c>
      <c r="AI83" s="20">
        <v>138.45720918141299</v>
      </c>
      <c r="AJ83" s="19">
        <v>7.6123743564810997E-3</v>
      </c>
      <c r="AK83" s="20">
        <v>142.71767571580801</v>
      </c>
      <c r="AL83" s="19">
        <v>3.3612814078278798E-3</v>
      </c>
      <c r="AM83" s="20">
        <v>68.372938818379595</v>
      </c>
      <c r="AN83" s="19">
        <v>-2.7953216107966502E-3</v>
      </c>
      <c r="AO83" s="20">
        <v>78.961150613660607</v>
      </c>
      <c r="AP83" s="19">
        <v>2.0769123812895999E-3</v>
      </c>
      <c r="AQ83" s="20">
        <v>68.1346688951717</v>
      </c>
      <c r="AR83" s="19">
        <v>-4.5917596873391604E-3</v>
      </c>
      <c r="AS83" s="20">
        <v>84.921701059308504</v>
      </c>
      <c r="AT83" s="19">
        <v>3.4474388972585098E-3</v>
      </c>
      <c r="AU83" s="20">
        <v>64.419705700932397</v>
      </c>
      <c r="AV83" s="19">
        <v>4.6227863015730897E-3</v>
      </c>
      <c r="AW83" s="20">
        <v>67.834345078101194</v>
      </c>
      <c r="AX83" s="19">
        <v>7.6424192743451702E-4</v>
      </c>
      <c r="AY83" s="20">
        <v>88.028008303684501</v>
      </c>
      <c r="AZ83" s="19">
        <v>4.4646321755723601E-3</v>
      </c>
      <c r="BA83" s="20">
        <v>105.513555220518</v>
      </c>
      <c r="BB83" s="19">
        <v>1.3751495700072201E-2</v>
      </c>
      <c r="BC83" s="20">
        <v>97.462102729508601</v>
      </c>
      <c r="BD83" s="19">
        <v>9.2227766617898298E-3</v>
      </c>
      <c r="BE83" s="20">
        <v>84.524599998384502</v>
      </c>
      <c r="BF83" s="19">
        <v>2.2307295437493701E-3</v>
      </c>
      <c r="BG83" s="20"/>
      <c r="BH83" s="19"/>
    </row>
    <row r="84" spans="1:60" x14ac:dyDescent="0.15">
      <c r="A84" s="17">
        <v>1998</v>
      </c>
      <c r="B84" s="17">
        <v>1</v>
      </c>
      <c r="C84" s="20">
        <v>91.554191222098297</v>
      </c>
      <c r="D84" s="19">
        <v>5.2923187842335302E-5</v>
      </c>
      <c r="E84" s="20">
        <v>90.9890443090232</v>
      </c>
      <c r="F84" s="19">
        <v>-7.9489443677160899E-4</v>
      </c>
      <c r="G84" s="20">
        <v>110.90547894017701</v>
      </c>
      <c r="H84" s="19">
        <v>-2.7177657102996602E-2</v>
      </c>
      <c r="I84" s="20">
        <v>74.607731050004304</v>
      </c>
      <c r="J84" s="19">
        <v>-1.0174924785077999E-2</v>
      </c>
      <c r="K84" s="20">
        <v>106.980919249721</v>
      </c>
      <c r="L84" s="19">
        <v>-3.6264495415147002E-3</v>
      </c>
      <c r="M84" s="20">
        <v>185.09017814099201</v>
      </c>
      <c r="N84" s="19">
        <v>-5.0891005712669904E-3</v>
      </c>
      <c r="O84" s="20">
        <v>85.335316170935201</v>
      </c>
      <c r="P84" s="19">
        <v>-3.3254452172745098E-3</v>
      </c>
      <c r="Q84" s="20">
        <v>65.571588876755499</v>
      </c>
      <c r="R84" s="19">
        <v>-1.27778737885594E-2</v>
      </c>
      <c r="S84" s="20">
        <v>161.73248914166899</v>
      </c>
      <c r="T84" s="19">
        <v>2.4012439749615502E-2</v>
      </c>
      <c r="U84" s="20">
        <v>75.509662590254393</v>
      </c>
      <c r="V84" s="19">
        <v>2.3037811309121201E-3</v>
      </c>
      <c r="W84" s="20">
        <v>104.09388746725401</v>
      </c>
      <c r="X84" s="19">
        <v>2.13990779833528E-4</v>
      </c>
      <c r="Y84" s="20">
        <v>120.78139602252401</v>
      </c>
      <c r="Z84" s="19">
        <v>-2.9928000972634399E-4</v>
      </c>
      <c r="AA84" s="20">
        <v>65.927299712999698</v>
      </c>
      <c r="AB84" s="19">
        <v>-9.6656142905737796E-4</v>
      </c>
      <c r="AC84" s="20">
        <v>73.6020474447797</v>
      </c>
      <c r="AD84" s="19">
        <v>-1.8277595668713101E-3</v>
      </c>
      <c r="AE84" s="20">
        <v>108.55946949595599</v>
      </c>
      <c r="AF84" s="19">
        <v>-3.9694786521136099E-3</v>
      </c>
      <c r="AG84" s="20">
        <v>131.15342840443299</v>
      </c>
      <c r="AH84" s="19">
        <v>7.0968198762555402E-4</v>
      </c>
      <c r="AI84" s="20">
        <v>138.51109869485799</v>
      </c>
      <c r="AJ84" s="19">
        <v>3.8921421111748301E-4</v>
      </c>
      <c r="AK84" s="20">
        <v>143.28773054255899</v>
      </c>
      <c r="AL84" s="19">
        <v>3.9942832861565901E-3</v>
      </c>
      <c r="AM84" s="20">
        <v>68.432414315777905</v>
      </c>
      <c r="AN84" s="19">
        <v>8.6986896316232397E-4</v>
      </c>
      <c r="AO84" s="20">
        <v>79.271603923706195</v>
      </c>
      <c r="AP84" s="19">
        <v>3.9317222157087004E-3</v>
      </c>
      <c r="AQ84" s="20">
        <v>67.909110952566905</v>
      </c>
      <c r="AR84" s="19">
        <v>-3.3104724255987898E-3</v>
      </c>
      <c r="AS84" s="20">
        <v>85.1580605072362</v>
      </c>
      <c r="AT84" s="19">
        <v>2.7832632292965598E-3</v>
      </c>
      <c r="AU84" s="20">
        <v>64.530567211258202</v>
      </c>
      <c r="AV84" s="19">
        <v>1.7209254391883401E-3</v>
      </c>
      <c r="AW84" s="20">
        <v>68.076067416783303</v>
      </c>
      <c r="AX84" s="19">
        <v>3.5634211313424501E-3</v>
      </c>
      <c r="AY84" s="20">
        <v>88.441197010718696</v>
      </c>
      <c r="AZ84" s="19">
        <v>4.69383228129794E-3</v>
      </c>
      <c r="BA84" s="20">
        <v>108.486671895998</v>
      </c>
      <c r="BB84" s="19">
        <v>2.81775803048827E-2</v>
      </c>
      <c r="BC84" s="20">
        <v>99.076023558785195</v>
      </c>
      <c r="BD84" s="19">
        <v>1.6559470646306602E-2</v>
      </c>
      <c r="BE84" s="20">
        <v>84.773285093312197</v>
      </c>
      <c r="BF84" s="19">
        <v>2.9421623401051401E-3</v>
      </c>
      <c r="BG84" s="20"/>
      <c r="BH84" s="19"/>
    </row>
    <row r="85" spans="1:60" x14ac:dyDescent="0.15">
      <c r="A85" s="17">
        <v>1998</v>
      </c>
      <c r="B85" s="17">
        <v>2</v>
      </c>
      <c r="C85" s="20">
        <v>91.622288561767704</v>
      </c>
      <c r="D85" s="19">
        <v>7.4379270637869898E-4</v>
      </c>
      <c r="E85" s="20">
        <v>90.932057129068298</v>
      </c>
      <c r="F85" s="19">
        <v>-6.2630814937925095E-4</v>
      </c>
      <c r="G85" s="20">
        <v>108.447912879866</v>
      </c>
      <c r="H85" s="19">
        <v>-2.2159104165055701E-2</v>
      </c>
      <c r="I85" s="20">
        <v>72.615769145023094</v>
      </c>
      <c r="J85" s="19">
        <v>-2.6699135289962001E-2</v>
      </c>
      <c r="K85" s="20">
        <v>106.766401730646</v>
      </c>
      <c r="L85" s="19">
        <v>-2.0051942026612099E-3</v>
      </c>
      <c r="M85" s="20">
        <v>184.01030952148599</v>
      </c>
      <c r="N85" s="19">
        <v>-5.8342837548274202E-3</v>
      </c>
      <c r="O85" s="20">
        <v>85.248861773193596</v>
      </c>
      <c r="P85" s="19">
        <v>-1.0131139324361901E-3</v>
      </c>
      <c r="Q85" s="20">
        <v>67.995252201977095</v>
      </c>
      <c r="R85" s="19">
        <v>3.6962095424848601E-2</v>
      </c>
      <c r="S85" s="20">
        <v>157.85132249412999</v>
      </c>
      <c r="T85" s="19">
        <v>-2.39974458325404E-2</v>
      </c>
      <c r="U85" s="20">
        <v>75.450109851887404</v>
      </c>
      <c r="V85" s="19">
        <v>-7.8867705567886603E-4</v>
      </c>
      <c r="W85" s="20">
        <v>104.07571599998499</v>
      </c>
      <c r="X85" s="19">
        <v>-1.74568053048163E-4</v>
      </c>
      <c r="Y85" s="20">
        <v>120.59466570506601</v>
      </c>
      <c r="Z85" s="19">
        <v>-1.5460188705195301E-3</v>
      </c>
      <c r="AA85" s="20">
        <v>66.152410873971604</v>
      </c>
      <c r="AB85" s="19">
        <v>3.4145363446083099E-3</v>
      </c>
      <c r="AC85" s="20">
        <v>73.663467188560503</v>
      </c>
      <c r="AD85" s="19">
        <v>8.3448417419163001E-4</v>
      </c>
      <c r="AE85" s="20">
        <v>108.511614386044</v>
      </c>
      <c r="AF85" s="19">
        <v>-4.4081930515971202E-4</v>
      </c>
      <c r="AG85" s="20">
        <v>130.24669969834099</v>
      </c>
      <c r="AH85" s="19">
        <v>-6.9134960261653102E-3</v>
      </c>
      <c r="AI85" s="20">
        <v>137.16308618642</v>
      </c>
      <c r="AJ85" s="19">
        <v>-9.7321624125448203E-3</v>
      </c>
      <c r="AK85" s="20">
        <v>143.17737937061801</v>
      </c>
      <c r="AL85" s="19">
        <v>-7.7013692326288697E-4</v>
      </c>
      <c r="AM85" s="20">
        <v>68.408479533629702</v>
      </c>
      <c r="AN85" s="19">
        <v>-3.49757967587294E-4</v>
      </c>
      <c r="AO85" s="20">
        <v>79.446914596284998</v>
      </c>
      <c r="AP85" s="19">
        <v>2.2115191809097801E-3</v>
      </c>
      <c r="AQ85" s="20">
        <v>67.603072276285204</v>
      </c>
      <c r="AR85" s="19">
        <v>-4.50659229651051E-3</v>
      </c>
      <c r="AS85" s="20">
        <v>85.256346730740503</v>
      </c>
      <c r="AT85" s="19">
        <v>1.15416230617305E-3</v>
      </c>
      <c r="AU85" s="20">
        <v>64.607775635969006</v>
      </c>
      <c r="AV85" s="19">
        <v>1.1964628244796E-3</v>
      </c>
      <c r="AW85" s="20">
        <v>68.1793978618213</v>
      </c>
      <c r="AX85" s="19">
        <v>1.5178674232956301E-3</v>
      </c>
      <c r="AY85" s="20">
        <v>88.576422975294605</v>
      </c>
      <c r="AZ85" s="19">
        <v>1.52899292576958E-3</v>
      </c>
      <c r="BA85" s="20">
        <v>113.375734304193</v>
      </c>
      <c r="BB85" s="19">
        <v>4.5066018919646803E-2</v>
      </c>
      <c r="BC85" s="20">
        <v>101.592225684905</v>
      </c>
      <c r="BD85" s="19">
        <v>2.5396680606857101E-2</v>
      </c>
      <c r="BE85" s="20">
        <v>84.868224775128994</v>
      </c>
      <c r="BF85" s="19">
        <v>1.1199245341533301E-3</v>
      </c>
      <c r="BG85" s="20"/>
      <c r="BH85" s="19"/>
    </row>
    <row r="86" spans="1:60" x14ac:dyDescent="0.15">
      <c r="A86" s="17">
        <v>1998</v>
      </c>
      <c r="B86" s="17">
        <v>3</v>
      </c>
      <c r="C86" s="20">
        <v>91.426660545031993</v>
      </c>
      <c r="D86" s="19">
        <v>-2.1351575015919901E-3</v>
      </c>
      <c r="E86" s="20">
        <v>90.699623505181194</v>
      </c>
      <c r="F86" s="19">
        <v>-2.5561241131623101E-3</v>
      </c>
      <c r="G86" s="20">
        <v>106.59987333229699</v>
      </c>
      <c r="H86" s="19">
        <v>-1.7040803262077998E-2</v>
      </c>
      <c r="I86" s="20">
        <v>72.246215224029697</v>
      </c>
      <c r="J86" s="19">
        <v>-5.0891689965484304E-3</v>
      </c>
      <c r="K86" s="20">
        <v>106.301525746397</v>
      </c>
      <c r="L86" s="19">
        <v>-4.3541411597062298E-3</v>
      </c>
      <c r="M86" s="20">
        <v>181.959054431384</v>
      </c>
      <c r="N86" s="19">
        <v>-1.11475008951222E-2</v>
      </c>
      <c r="O86" s="20">
        <v>85.007997321621005</v>
      </c>
      <c r="P86" s="19">
        <v>-2.82542718533263E-3</v>
      </c>
      <c r="Q86" s="20">
        <v>67.470511354714404</v>
      </c>
      <c r="R86" s="19">
        <v>-7.7173159929464497E-3</v>
      </c>
      <c r="S86" s="20">
        <v>152.14610924583101</v>
      </c>
      <c r="T86" s="19">
        <v>-3.6142955017122197E-2</v>
      </c>
      <c r="U86" s="20">
        <v>75.267001308419594</v>
      </c>
      <c r="V86" s="19">
        <v>-2.4268823972204401E-3</v>
      </c>
      <c r="W86" s="20">
        <v>103.99613454541699</v>
      </c>
      <c r="X86" s="19">
        <v>-7.6464959960331801E-4</v>
      </c>
      <c r="Y86" s="20">
        <v>120.17253232894799</v>
      </c>
      <c r="Z86" s="19">
        <v>-3.50043157920088E-3</v>
      </c>
      <c r="AA86" s="20">
        <v>66.518397568440903</v>
      </c>
      <c r="AB86" s="19">
        <v>5.5324770425453397E-3</v>
      </c>
      <c r="AC86" s="20">
        <v>73.967198381617607</v>
      </c>
      <c r="AD86" s="19">
        <v>4.1232269488427099E-3</v>
      </c>
      <c r="AE86" s="20">
        <v>107.583848936073</v>
      </c>
      <c r="AF86" s="19">
        <v>-8.5499184139925504E-3</v>
      </c>
      <c r="AG86" s="20">
        <v>129.38743104420701</v>
      </c>
      <c r="AH86" s="19">
        <v>-6.5972393628693799E-3</v>
      </c>
      <c r="AI86" s="20">
        <v>136.08623082453701</v>
      </c>
      <c r="AJ86" s="19">
        <v>-7.8509123104668604E-3</v>
      </c>
      <c r="AK86" s="20">
        <v>142.41693202703399</v>
      </c>
      <c r="AL86" s="19">
        <v>-5.3112254668077298E-3</v>
      </c>
      <c r="AM86" s="20">
        <v>68.471444327951403</v>
      </c>
      <c r="AN86" s="19">
        <v>9.2042382393153798E-4</v>
      </c>
      <c r="AO86" s="20">
        <v>79.427010297080599</v>
      </c>
      <c r="AP86" s="19">
        <v>-2.5053583648238002E-4</v>
      </c>
      <c r="AQ86" s="20">
        <v>67.210206891585202</v>
      </c>
      <c r="AR86" s="19">
        <v>-5.81135400318E-3</v>
      </c>
      <c r="AS86" s="20">
        <v>85.461656100468204</v>
      </c>
      <c r="AT86" s="19">
        <v>2.4081417700920799E-3</v>
      </c>
      <c r="AU86" s="20">
        <v>64.607726551431796</v>
      </c>
      <c r="AV86" s="19">
        <v>-7.5973111302030105E-7</v>
      </c>
      <c r="AW86" s="20">
        <v>68.197507536872394</v>
      </c>
      <c r="AX86" s="19">
        <v>2.6561799633029198E-4</v>
      </c>
      <c r="AY86" s="20">
        <v>88.824988604112207</v>
      </c>
      <c r="AZ86" s="19">
        <v>2.80622789302432E-3</v>
      </c>
      <c r="BA86" s="20">
        <v>114.517376826158</v>
      </c>
      <c r="BB86" s="19">
        <v>1.00695490880127E-2</v>
      </c>
      <c r="BC86" s="20">
        <v>102.16155721856001</v>
      </c>
      <c r="BD86" s="19">
        <v>5.6040856454935301E-3</v>
      </c>
      <c r="BE86" s="20">
        <v>84.791855949883399</v>
      </c>
      <c r="BF86" s="19">
        <v>-8.9985180493623595E-4</v>
      </c>
      <c r="BG86" s="20"/>
      <c r="BH86" s="19"/>
    </row>
    <row r="87" spans="1:60" x14ac:dyDescent="0.15">
      <c r="A87" s="17">
        <v>1998</v>
      </c>
      <c r="B87" s="17">
        <v>4</v>
      </c>
      <c r="C87" s="20">
        <v>91.237971267824193</v>
      </c>
      <c r="D87" s="19">
        <v>-2.0638321041477302E-3</v>
      </c>
      <c r="E87" s="20">
        <v>90.476637269742994</v>
      </c>
      <c r="F87" s="19">
        <v>-2.4585133523236098E-3</v>
      </c>
      <c r="G87" s="20">
        <v>101.763293308398</v>
      </c>
      <c r="H87" s="19">
        <v>-4.5371348695904402E-2</v>
      </c>
      <c r="I87" s="20">
        <v>73.253469018963997</v>
      </c>
      <c r="J87" s="19">
        <v>1.39419593373968E-2</v>
      </c>
      <c r="K87" s="20">
        <v>105.781205454158</v>
      </c>
      <c r="L87" s="19">
        <v>-4.8947584579448504E-3</v>
      </c>
      <c r="M87" s="20">
        <v>180.90238022174501</v>
      </c>
      <c r="N87" s="19">
        <v>-5.8072087313283402E-3</v>
      </c>
      <c r="O87" s="20">
        <v>84.605249797654096</v>
      </c>
      <c r="P87" s="19">
        <v>-4.73776040674234E-3</v>
      </c>
      <c r="Q87" s="20">
        <v>67.135540146867996</v>
      </c>
      <c r="R87" s="19">
        <v>-4.9647053374960396E-3</v>
      </c>
      <c r="S87" s="20">
        <v>142.358862369262</v>
      </c>
      <c r="T87" s="19">
        <v>-6.4327947162652305E-2</v>
      </c>
      <c r="U87" s="20">
        <v>75.413940798177094</v>
      </c>
      <c r="V87" s="19">
        <v>1.9522431769991599E-3</v>
      </c>
      <c r="W87" s="20">
        <v>103.754318230953</v>
      </c>
      <c r="X87" s="19">
        <v>-2.32524329409567E-3</v>
      </c>
      <c r="Y87" s="20">
        <v>119.266015924741</v>
      </c>
      <c r="Z87" s="19">
        <v>-7.54345761580288E-3</v>
      </c>
      <c r="AA87" s="20">
        <v>67.053511031879296</v>
      </c>
      <c r="AB87" s="19">
        <v>8.04459342075803E-3</v>
      </c>
      <c r="AC87" s="20">
        <v>74.354202818586202</v>
      </c>
      <c r="AD87" s="19">
        <v>5.2321089001090603E-3</v>
      </c>
      <c r="AE87" s="20">
        <v>108.18150962865499</v>
      </c>
      <c r="AF87" s="19">
        <v>5.5553012695856996E-3</v>
      </c>
      <c r="AG87" s="20">
        <v>128.40058903904901</v>
      </c>
      <c r="AH87" s="19">
        <v>-7.6270314449711201E-3</v>
      </c>
      <c r="AI87" s="20">
        <v>134.91445866365299</v>
      </c>
      <c r="AJ87" s="19">
        <v>-8.6105122743477293E-3</v>
      </c>
      <c r="AK87" s="20">
        <v>140.96032488338</v>
      </c>
      <c r="AL87" s="19">
        <v>-1.02277666210155E-2</v>
      </c>
      <c r="AM87" s="20">
        <v>68.562525856671201</v>
      </c>
      <c r="AN87" s="19">
        <v>1.3302118804956499E-3</v>
      </c>
      <c r="AO87" s="20">
        <v>79.317796706247705</v>
      </c>
      <c r="AP87" s="19">
        <v>-1.3750182768361701E-3</v>
      </c>
      <c r="AQ87" s="20">
        <v>66.835997809357494</v>
      </c>
      <c r="AR87" s="19">
        <v>-5.5677418584844096E-3</v>
      </c>
      <c r="AS87" s="20">
        <v>85.615520571217004</v>
      </c>
      <c r="AT87" s="19">
        <v>1.80039186893177E-3</v>
      </c>
      <c r="AU87" s="20">
        <v>64.614909285516802</v>
      </c>
      <c r="AV87" s="19">
        <v>1.1117453698616899E-4</v>
      </c>
      <c r="AW87" s="20">
        <v>68.1454347395985</v>
      </c>
      <c r="AX87" s="19">
        <v>-7.6355865712163197E-4</v>
      </c>
      <c r="AY87" s="20">
        <v>88.752938504911299</v>
      </c>
      <c r="AZ87" s="19">
        <v>-8.11146731716339E-4</v>
      </c>
      <c r="BA87" s="20">
        <v>115.13406286315001</v>
      </c>
      <c r="BB87" s="19">
        <v>5.3850869980041098E-3</v>
      </c>
      <c r="BC87" s="20">
        <v>102.525308886301</v>
      </c>
      <c r="BD87" s="19">
        <v>3.5605532809481798E-3</v>
      </c>
      <c r="BE87" s="20">
        <v>84.564223753102297</v>
      </c>
      <c r="BF87" s="19">
        <v>-2.6845997676430101E-3</v>
      </c>
      <c r="BG87" s="20"/>
      <c r="BH87" s="19"/>
    </row>
    <row r="88" spans="1:60" x14ac:dyDescent="0.15">
      <c r="A88" s="17">
        <v>1999</v>
      </c>
      <c r="B88" s="17">
        <v>1</v>
      </c>
      <c r="C88" s="20">
        <v>91.264338102307804</v>
      </c>
      <c r="D88" s="19">
        <v>2.88989705900633E-4</v>
      </c>
      <c r="E88" s="20">
        <v>90.443248530634506</v>
      </c>
      <c r="F88" s="19">
        <v>-3.69031609882775E-4</v>
      </c>
      <c r="G88" s="20">
        <v>98.309157682794904</v>
      </c>
      <c r="H88" s="19">
        <v>-3.3942844352877803E-2</v>
      </c>
      <c r="I88" s="20">
        <v>72.579967089720199</v>
      </c>
      <c r="J88" s="19">
        <v>-9.19413016562254E-3</v>
      </c>
      <c r="K88" s="20">
        <v>105.485485321513</v>
      </c>
      <c r="L88" s="19">
        <v>-2.7955829334233E-3</v>
      </c>
      <c r="M88" s="20">
        <v>183.56753327746401</v>
      </c>
      <c r="N88" s="19">
        <v>1.4732548308382399E-2</v>
      </c>
      <c r="O88" s="20">
        <v>84.035553898467796</v>
      </c>
      <c r="P88" s="19">
        <v>-6.7335762325492201E-3</v>
      </c>
      <c r="Q88" s="20">
        <v>66.634975344332105</v>
      </c>
      <c r="R88" s="19">
        <v>-7.4560329959492098E-3</v>
      </c>
      <c r="S88" s="20">
        <v>148.44969892515999</v>
      </c>
      <c r="T88" s="19">
        <v>4.2785088715438201E-2</v>
      </c>
      <c r="U88" s="20">
        <v>75.796754980843303</v>
      </c>
      <c r="V88" s="19">
        <v>5.0761726361803197E-3</v>
      </c>
      <c r="W88" s="20">
        <v>103.833207778032</v>
      </c>
      <c r="X88" s="19">
        <v>7.6034952977832603E-4</v>
      </c>
      <c r="Y88" s="20">
        <v>119.647156876672</v>
      </c>
      <c r="Z88" s="19">
        <v>3.1957213375153298E-3</v>
      </c>
      <c r="AA88" s="20">
        <v>67.609524218100205</v>
      </c>
      <c r="AB88" s="19">
        <v>8.2920816175691102E-3</v>
      </c>
      <c r="AC88" s="20">
        <v>74.787123479995401</v>
      </c>
      <c r="AD88" s="19">
        <v>5.8224100992043696E-3</v>
      </c>
      <c r="AE88" s="20">
        <v>108.521509494173</v>
      </c>
      <c r="AF88" s="19">
        <v>3.14286486374193E-3</v>
      </c>
      <c r="AG88" s="20">
        <v>127.27925551991</v>
      </c>
      <c r="AH88" s="19">
        <v>-8.7330870327843001E-3</v>
      </c>
      <c r="AI88" s="20">
        <v>133.801400243514</v>
      </c>
      <c r="AJ88" s="19">
        <v>-8.2501047787160199E-3</v>
      </c>
      <c r="AK88" s="20">
        <v>138.67967101504101</v>
      </c>
      <c r="AL88" s="19">
        <v>-1.61794027519894E-2</v>
      </c>
      <c r="AM88" s="20">
        <v>68.811229133707499</v>
      </c>
      <c r="AN88" s="19">
        <v>3.62739373920218E-3</v>
      </c>
      <c r="AO88" s="20">
        <v>79.185773902183797</v>
      </c>
      <c r="AP88" s="19">
        <v>-1.66447896369148E-3</v>
      </c>
      <c r="AQ88" s="20">
        <v>66.781060284241093</v>
      </c>
      <c r="AR88" s="19">
        <v>-8.2197508703518696E-4</v>
      </c>
      <c r="AS88" s="20">
        <v>85.673289048772006</v>
      </c>
      <c r="AT88" s="19">
        <v>6.7474305090442499E-4</v>
      </c>
      <c r="AU88" s="20">
        <v>64.8738253162728</v>
      </c>
      <c r="AV88" s="19">
        <v>4.0070632864603901E-3</v>
      </c>
      <c r="AW88" s="20">
        <v>68.622001686041301</v>
      </c>
      <c r="AX88" s="19">
        <v>6.9933803821771202E-3</v>
      </c>
      <c r="AY88" s="20">
        <v>89.0160653262555</v>
      </c>
      <c r="AZ88" s="19">
        <v>2.9647110932518E-3</v>
      </c>
      <c r="BA88" s="20">
        <v>117.34635957050099</v>
      </c>
      <c r="BB88" s="19">
        <v>1.9214962560474499E-2</v>
      </c>
      <c r="BC88" s="20">
        <v>103.586848402089</v>
      </c>
      <c r="BD88" s="19">
        <v>1.0353926531112299E-2</v>
      </c>
      <c r="BE88" s="20">
        <v>84.250479983727402</v>
      </c>
      <c r="BF88" s="19">
        <v>-3.71012415712468E-3</v>
      </c>
      <c r="BG88" s="20"/>
      <c r="BH88" s="19"/>
    </row>
    <row r="89" spans="1:60" x14ac:dyDescent="0.15">
      <c r="A89" s="17">
        <v>1999</v>
      </c>
      <c r="B89" s="17">
        <v>2</v>
      </c>
      <c r="C89" s="20">
        <v>91.534702237389595</v>
      </c>
      <c r="D89" s="19">
        <v>2.9624291448724399E-3</v>
      </c>
      <c r="E89" s="20">
        <v>90.686897448812203</v>
      </c>
      <c r="F89" s="19">
        <v>2.6939425787555499E-3</v>
      </c>
      <c r="G89" s="20">
        <v>96.115235367294403</v>
      </c>
      <c r="H89" s="19">
        <v>-2.23165610123464E-2</v>
      </c>
      <c r="I89" s="20">
        <v>71.636574535160307</v>
      </c>
      <c r="J89" s="19">
        <v>-1.29979744051653E-2</v>
      </c>
      <c r="K89" s="20">
        <v>106.101966189943</v>
      </c>
      <c r="L89" s="19">
        <v>5.8442246016210397E-3</v>
      </c>
      <c r="M89" s="20">
        <v>184.44279943938099</v>
      </c>
      <c r="N89" s="19">
        <v>4.7680880507043897E-3</v>
      </c>
      <c r="O89" s="20">
        <v>84.547134244464601</v>
      </c>
      <c r="P89" s="19">
        <v>6.0876655446926399E-3</v>
      </c>
      <c r="Q89" s="20">
        <v>67.746773883778602</v>
      </c>
      <c r="R89" s="19">
        <v>1.6684909594418599E-2</v>
      </c>
      <c r="S89" s="20">
        <v>154.18384393298501</v>
      </c>
      <c r="T89" s="19">
        <v>3.86268550852076E-2</v>
      </c>
      <c r="U89" s="20">
        <v>76.411453389189305</v>
      </c>
      <c r="V89" s="19">
        <v>8.1098248665305607E-3</v>
      </c>
      <c r="W89" s="20">
        <v>103.76190993153</v>
      </c>
      <c r="X89" s="19">
        <v>-6.8665745793994304E-4</v>
      </c>
      <c r="Y89" s="20">
        <v>119.473359616602</v>
      </c>
      <c r="Z89" s="19">
        <v>-1.45258161252493E-3</v>
      </c>
      <c r="AA89" s="20">
        <v>68.241601009874898</v>
      </c>
      <c r="AB89" s="19">
        <v>9.3489312206316306E-3</v>
      </c>
      <c r="AC89" s="20">
        <v>75.187950865641895</v>
      </c>
      <c r="AD89" s="19">
        <v>5.3595775180972404E-3</v>
      </c>
      <c r="AE89" s="20">
        <v>107.00552162448</v>
      </c>
      <c r="AF89" s="19">
        <v>-1.39694690643287E-2</v>
      </c>
      <c r="AG89" s="20">
        <v>127.50857567717399</v>
      </c>
      <c r="AH89" s="19">
        <v>1.8017088199278101E-3</v>
      </c>
      <c r="AI89" s="20">
        <v>134.57328365563799</v>
      </c>
      <c r="AJ89" s="19">
        <v>5.7688739484005299E-3</v>
      </c>
      <c r="AK89" s="20">
        <v>137.758357833254</v>
      </c>
      <c r="AL89" s="19">
        <v>-6.6434624126500098E-3</v>
      </c>
      <c r="AM89" s="20">
        <v>69.0776063493945</v>
      </c>
      <c r="AN89" s="19">
        <v>3.8711300327072301E-3</v>
      </c>
      <c r="AO89" s="20">
        <v>79.143223524148794</v>
      </c>
      <c r="AP89" s="19">
        <v>-5.3734876781741403E-4</v>
      </c>
      <c r="AQ89" s="20">
        <v>67.096571635373195</v>
      </c>
      <c r="AR89" s="19">
        <v>4.7245633685537598E-3</v>
      </c>
      <c r="AS89" s="20">
        <v>85.718848716681293</v>
      </c>
      <c r="AT89" s="19">
        <v>5.3178380817553396E-4</v>
      </c>
      <c r="AU89" s="20">
        <v>65.284306477685703</v>
      </c>
      <c r="AV89" s="19">
        <v>6.3273771727148098E-3</v>
      </c>
      <c r="AW89" s="20">
        <v>68.976501806739805</v>
      </c>
      <c r="AX89" s="19">
        <v>5.1659833870834103E-3</v>
      </c>
      <c r="AY89" s="20">
        <v>89.584894717469098</v>
      </c>
      <c r="AZ89" s="19">
        <v>6.3901879860539497E-3</v>
      </c>
      <c r="BA89" s="20">
        <v>118.27504053437799</v>
      </c>
      <c r="BB89" s="19">
        <v>7.9140159718300608E-3</v>
      </c>
      <c r="BC89" s="20">
        <v>104.24446523965101</v>
      </c>
      <c r="BD89" s="19">
        <v>6.3484587831916803E-3</v>
      </c>
      <c r="BE89" s="20">
        <v>84.266498324068095</v>
      </c>
      <c r="BF89" s="19">
        <v>1.9012758554914899E-4</v>
      </c>
      <c r="BG89" s="20"/>
      <c r="BH89" s="19"/>
    </row>
    <row r="90" spans="1:60" x14ac:dyDescent="0.15">
      <c r="A90" s="17">
        <v>1999</v>
      </c>
      <c r="B90" s="17">
        <v>3</v>
      </c>
      <c r="C90" s="20">
        <v>91.876607494480297</v>
      </c>
      <c r="D90" s="19">
        <v>3.7352528465546299E-3</v>
      </c>
      <c r="E90" s="20">
        <v>90.906420710317803</v>
      </c>
      <c r="F90" s="19">
        <v>2.42067230968512E-3</v>
      </c>
      <c r="G90" s="20">
        <v>99.878281124029797</v>
      </c>
      <c r="H90" s="19">
        <v>3.91513971989483E-2</v>
      </c>
      <c r="I90" s="20">
        <v>71.499119305943196</v>
      </c>
      <c r="J90" s="19">
        <v>-1.91878562185677E-3</v>
      </c>
      <c r="K90" s="20">
        <v>105.839904126337</v>
      </c>
      <c r="L90" s="19">
        <v>-2.4699077030962998E-3</v>
      </c>
      <c r="M90" s="20">
        <v>176.941129403031</v>
      </c>
      <c r="N90" s="19">
        <v>-4.0672067758413998E-2</v>
      </c>
      <c r="O90" s="20">
        <v>85.134751884778794</v>
      </c>
      <c r="P90" s="19">
        <v>6.9501780937371001E-3</v>
      </c>
      <c r="Q90" s="20">
        <v>66.766052023661999</v>
      </c>
      <c r="R90" s="19">
        <v>-1.4476288742532799E-2</v>
      </c>
      <c r="S90" s="20">
        <v>160.05834137196001</v>
      </c>
      <c r="T90" s="19">
        <v>3.81006030795841E-2</v>
      </c>
      <c r="U90" s="20">
        <v>77.416143260177805</v>
      </c>
      <c r="V90" s="19">
        <v>1.3148419856265E-2</v>
      </c>
      <c r="W90" s="20">
        <v>104.084151282761</v>
      </c>
      <c r="X90" s="19">
        <v>3.1055842307068401E-3</v>
      </c>
      <c r="Y90" s="20">
        <v>119.71899964741699</v>
      </c>
      <c r="Z90" s="19">
        <v>2.0560234649997801E-3</v>
      </c>
      <c r="AA90" s="20">
        <v>68.850862856953697</v>
      </c>
      <c r="AB90" s="19">
        <v>8.9280122104795599E-3</v>
      </c>
      <c r="AC90" s="20">
        <v>75.621782793628398</v>
      </c>
      <c r="AD90" s="19">
        <v>5.7699661048313802E-3</v>
      </c>
      <c r="AE90" s="20">
        <v>104.788175613494</v>
      </c>
      <c r="AF90" s="19">
        <v>-2.0721790589157602E-2</v>
      </c>
      <c r="AG90" s="20">
        <v>127.756347315585</v>
      </c>
      <c r="AH90" s="19">
        <v>1.94317626947904E-3</v>
      </c>
      <c r="AI90" s="20">
        <v>134.69500800886601</v>
      </c>
      <c r="AJ90" s="19">
        <v>9.0452094146575802E-4</v>
      </c>
      <c r="AK90" s="20">
        <v>138.131353631069</v>
      </c>
      <c r="AL90" s="19">
        <v>2.7076092055797799E-3</v>
      </c>
      <c r="AM90" s="20">
        <v>69.565063345731602</v>
      </c>
      <c r="AN90" s="19">
        <v>7.0566573177355298E-3</v>
      </c>
      <c r="AO90" s="20">
        <v>79.306036990974803</v>
      </c>
      <c r="AP90" s="19">
        <v>2.05720034610879E-3</v>
      </c>
      <c r="AQ90" s="20">
        <v>67.724200670493303</v>
      </c>
      <c r="AR90" s="19">
        <v>9.3541148202156404E-3</v>
      </c>
      <c r="AS90" s="20">
        <v>85.851822498254293</v>
      </c>
      <c r="AT90" s="19">
        <v>1.5512782026803099E-3</v>
      </c>
      <c r="AU90" s="20">
        <v>66.017448463923401</v>
      </c>
      <c r="AV90" s="19">
        <v>1.12299881210851E-2</v>
      </c>
      <c r="AW90" s="20">
        <v>69.198849693939096</v>
      </c>
      <c r="AX90" s="19">
        <v>3.2235309326400499E-3</v>
      </c>
      <c r="AY90" s="20">
        <v>89.997125294837801</v>
      </c>
      <c r="AZ90" s="19">
        <v>4.6015634518383804E-3</v>
      </c>
      <c r="BA90" s="20">
        <v>122.30960651087101</v>
      </c>
      <c r="BB90" s="19">
        <v>3.4111727700657297E-2</v>
      </c>
      <c r="BC90" s="20">
        <v>106.900247973148</v>
      </c>
      <c r="BD90" s="19">
        <v>2.5476486712189699E-2</v>
      </c>
      <c r="BE90" s="20">
        <v>84.649115869863707</v>
      </c>
      <c r="BF90" s="19">
        <v>4.5405653896313201E-3</v>
      </c>
      <c r="BG90" s="20"/>
      <c r="BH90" s="19"/>
    </row>
    <row r="91" spans="1:60" x14ac:dyDescent="0.15">
      <c r="A91" s="17">
        <v>1999</v>
      </c>
      <c r="B91" s="17">
        <v>4</v>
      </c>
      <c r="C91" s="20">
        <v>92.038656203459396</v>
      </c>
      <c r="D91" s="19">
        <v>1.76376461210581E-3</v>
      </c>
      <c r="E91" s="20">
        <v>90.993601728890397</v>
      </c>
      <c r="F91" s="19">
        <v>9.5901937279441196E-4</v>
      </c>
      <c r="G91" s="20">
        <v>100.631448359855</v>
      </c>
      <c r="H91" s="19">
        <v>7.5408509973224902E-3</v>
      </c>
      <c r="I91" s="20">
        <v>71.578937752911798</v>
      </c>
      <c r="J91" s="19">
        <v>1.11635566624413E-3</v>
      </c>
      <c r="K91" s="20">
        <v>104.944177067506</v>
      </c>
      <c r="L91" s="19">
        <v>-8.4630373225015303E-3</v>
      </c>
      <c r="M91" s="20">
        <v>171.79070884644699</v>
      </c>
      <c r="N91" s="19">
        <v>-2.91081026438599E-2</v>
      </c>
      <c r="O91" s="20">
        <v>84.915967143306105</v>
      </c>
      <c r="P91" s="19">
        <v>-2.5698640875674301E-3</v>
      </c>
      <c r="Q91" s="20">
        <v>64.8274787369145</v>
      </c>
      <c r="R91" s="19">
        <v>-2.9035314025462999E-2</v>
      </c>
      <c r="S91" s="20">
        <v>159.10928770054201</v>
      </c>
      <c r="T91" s="19">
        <v>-5.9294233795184103E-3</v>
      </c>
      <c r="U91" s="20">
        <v>78.479972969896806</v>
      </c>
      <c r="V91" s="19">
        <v>1.3741703796115799E-2</v>
      </c>
      <c r="W91" s="20">
        <v>104.73778485788399</v>
      </c>
      <c r="X91" s="19">
        <v>6.2798568952835403E-3</v>
      </c>
      <c r="Y91" s="20">
        <v>120.38315971922199</v>
      </c>
      <c r="Z91" s="19">
        <v>5.5476580472721996E-3</v>
      </c>
      <c r="AA91" s="20">
        <v>69.799395104530205</v>
      </c>
      <c r="AB91" s="19">
        <v>1.3776621064969199E-2</v>
      </c>
      <c r="AC91" s="20">
        <v>75.846007694347904</v>
      </c>
      <c r="AD91" s="19">
        <v>2.9650835041990001E-3</v>
      </c>
      <c r="AE91" s="20">
        <v>103.38321955021701</v>
      </c>
      <c r="AF91" s="19">
        <v>-1.34075820582913E-2</v>
      </c>
      <c r="AG91" s="20">
        <v>128.381076645626</v>
      </c>
      <c r="AH91" s="19">
        <v>4.8900061966963299E-3</v>
      </c>
      <c r="AI91" s="20">
        <v>134.93347450151401</v>
      </c>
      <c r="AJ91" s="19">
        <v>1.77041819272361E-3</v>
      </c>
      <c r="AK91" s="20">
        <v>139.88672270826501</v>
      </c>
      <c r="AL91" s="19">
        <v>1.2707969849370599E-2</v>
      </c>
      <c r="AM91" s="20">
        <v>69.768879802356693</v>
      </c>
      <c r="AN91" s="19">
        <v>2.9298680519003199E-3</v>
      </c>
      <c r="AO91" s="20">
        <v>79.609546577114301</v>
      </c>
      <c r="AP91" s="19">
        <v>3.82706787093667E-3</v>
      </c>
      <c r="AQ91" s="20">
        <v>68.568438654168901</v>
      </c>
      <c r="AR91" s="19">
        <v>1.2465824259532399E-2</v>
      </c>
      <c r="AS91" s="20">
        <v>85.970062549998801</v>
      </c>
      <c r="AT91" s="19">
        <v>1.37725732900917E-3</v>
      </c>
      <c r="AU91" s="20">
        <v>66.984172605668405</v>
      </c>
      <c r="AV91" s="19">
        <v>1.46434641786153E-2</v>
      </c>
      <c r="AW91" s="20">
        <v>69.503848144044994</v>
      </c>
      <c r="AX91" s="19">
        <v>4.4075653201578503E-3</v>
      </c>
      <c r="AY91" s="20">
        <v>90.328818541920299</v>
      </c>
      <c r="AZ91" s="19">
        <v>3.6855982454531101E-3</v>
      </c>
      <c r="BA91" s="20">
        <v>124.457895441663</v>
      </c>
      <c r="BB91" s="19">
        <v>1.7564351583460501E-2</v>
      </c>
      <c r="BC91" s="20">
        <v>108.644541132144</v>
      </c>
      <c r="BD91" s="19">
        <v>1.6317016958030901E-2</v>
      </c>
      <c r="BE91" s="20">
        <v>85.389622936125306</v>
      </c>
      <c r="BF91" s="19">
        <v>8.7479598416590997E-3</v>
      </c>
      <c r="BG91" s="20"/>
      <c r="BH91" s="19"/>
    </row>
    <row r="92" spans="1:60" x14ac:dyDescent="0.15">
      <c r="A92" s="17">
        <v>2000</v>
      </c>
      <c r="B92" s="17">
        <v>1</v>
      </c>
      <c r="C92" s="20">
        <v>92.401555775048095</v>
      </c>
      <c r="D92" s="19">
        <v>3.9429038466884904E-3</v>
      </c>
      <c r="E92" s="20">
        <v>91.376945997186994</v>
      </c>
      <c r="F92" s="19">
        <v>4.2128705866464299E-3</v>
      </c>
      <c r="G92" s="20">
        <v>102.436033567929</v>
      </c>
      <c r="H92" s="19">
        <v>1.79326168656617E-2</v>
      </c>
      <c r="I92" s="20">
        <v>72.6148493278301</v>
      </c>
      <c r="J92" s="19">
        <v>1.4472296005484799E-2</v>
      </c>
      <c r="K92" s="20">
        <v>104.872636123387</v>
      </c>
      <c r="L92" s="19">
        <v>-6.8170475121243101E-4</v>
      </c>
      <c r="M92" s="20">
        <v>171.68805930980301</v>
      </c>
      <c r="N92" s="19">
        <v>-5.9752670754698001E-4</v>
      </c>
      <c r="O92" s="20">
        <v>84.811335012481393</v>
      </c>
      <c r="P92" s="19">
        <v>-1.2321844094186399E-3</v>
      </c>
      <c r="Q92" s="20">
        <v>66.3386850066139</v>
      </c>
      <c r="R92" s="19">
        <v>2.3311199188112301E-2</v>
      </c>
      <c r="S92" s="20">
        <v>158.12518250619399</v>
      </c>
      <c r="T92" s="19">
        <v>-6.1850895605781702E-3</v>
      </c>
      <c r="U92" s="20">
        <v>79.122719376092107</v>
      </c>
      <c r="V92" s="19">
        <v>8.1899417376438705E-3</v>
      </c>
      <c r="W92" s="20">
        <v>105.400511075769</v>
      </c>
      <c r="X92" s="19">
        <v>6.3274797990493497E-3</v>
      </c>
      <c r="Y92" s="20">
        <v>120.435518158973</v>
      </c>
      <c r="Z92" s="19">
        <v>4.3493159568797101E-4</v>
      </c>
      <c r="AA92" s="20">
        <v>67.466014472746707</v>
      </c>
      <c r="AB92" s="19">
        <v>-3.3429811652222301E-2</v>
      </c>
      <c r="AC92" s="20">
        <v>75.686019834407702</v>
      </c>
      <c r="AD92" s="19">
        <v>-2.1093774715870198E-3</v>
      </c>
      <c r="AE92" s="20">
        <v>101.05149374853301</v>
      </c>
      <c r="AF92" s="19">
        <v>-2.2554199915892002E-2</v>
      </c>
      <c r="AG92" s="20">
        <v>130.57847154687801</v>
      </c>
      <c r="AH92" s="19">
        <v>1.7116190007645998E-2</v>
      </c>
      <c r="AI92" s="20">
        <v>137.330393006951</v>
      </c>
      <c r="AJ92" s="19">
        <v>1.77637055170476E-2</v>
      </c>
      <c r="AK92" s="20">
        <v>143.276091507411</v>
      </c>
      <c r="AL92" s="19">
        <v>2.4229381699181901E-2</v>
      </c>
      <c r="AM92" s="20">
        <v>70.156533304059295</v>
      </c>
      <c r="AN92" s="19">
        <v>5.5562523405958703E-3</v>
      </c>
      <c r="AO92" s="20">
        <v>79.983399339049498</v>
      </c>
      <c r="AP92" s="19">
        <v>4.6960795282642298E-3</v>
      </c>
      <c r="AQ92" s="20">
        <v>69.797604417900104</v>
      </c>
      <c r="AR92" s="19">
        <v>1.7926115686119001E-2</v>
      </c>
      <c r="AS92" s="20">
        <v>86.257101324767305</v>
      </c>
      <c r="AT92" s="19">
        <v>3.3388224488215502E-3</v>
      </c>
      <c r="AU92" s="20">
        <v>67.108501797699205</v>
      </c>
      <c r="AV92" s="19">
        <v>1.85609804815723E-3</v>
      </c>
      <c r="AW92" s="20">
        <v>69.795487324615607</v>
      </c>
      <c r="AX92" s="19">
        <v>4.1960148733954901E-3</v>
      </c>
      <c r="AY92" s="20">
        <v>90.834339578069404</v>
      </c>
      <c r="AZ92" s="19">
        <v>5.5964535384078803E-3</v>
      </c>
      <c r="BA92" s="20">
        <v>124.560300618437</v>
      </c>
      <c r="BB92" s="19">
        <v>8.2280980576232598E-4</v>
      </c>
      <c r="BC92" s="20">
        <v>108.90185225120899</v>
      </c>
      <c r="BD92" s="19">
        <v>2.36837595689932E-3</v>
      </c>
      <c r="BE92" s="20">
        <v>86.429552848593005</v>
      </c>
      <c r="BF92" s="19">
        <v>1.2178645094213E-2</v>
      </c>
      <c r="BG92" s="20"/>
      <c r="BH92" s="19"/>
    </row>
    <row r="93" spans="1:60" x14ac:dyDescent="0.15">
      <c r="A93" s="17">
        <v>2000</v>
      </c>
      <c r="B93" s="17">
        <v>2</v>
      </c>
      <c r="C93" s="20">
        <v>92.775568763514002</v>
      </c>
      <c r="D93" s="19">
        <v>4.0476914628631002E-3</v>
      </c>
      <c r="E93" s="20">
        <v>91.7190337194817</v>
      </c>
      <c r="F93" s="19">
        <v>3.7436983536876002E-3</v>
      </c>
      <c r="G93" s="20">
        <v>101.03066203451399</v>
      </c>
      <c r="H93" s="19">
        <v>-1.3719503620599E-2</v>
      </c>
      <c r="I93" s="20">
        <v>73.258323023339997</v>
      </c>
      <c r="J93" s="19">
        <v>8.8614615531987795E-3</v>
      </c>
      <c r="K93" s="20">
        <v>105.545540240119</v>
      </c>
      <c r="L93" s="19">
        <v>6.4163936523991003E-3</v>
      </c>
      <c r="M93" s="20">
        <v>172.364884314573</v>
      </c>
      <c r="N93" s="19">
        <v>3.9421786668865097E-3</v>
      </c>
      <c r="O93" s="20">
        <v>85.398879730338393</v>
      </c>
      <c r="P93" s="19">
        <v>6.9276673662843598E-3</v>
      </c>
      <c r="Q93" s="20">
        <v>64.630365352287299</v>
      </c>
      <c r="R93" s="19">
        <v>-2.5751485037067801E-2</v>
      </c>
      <c r="S93" s="20">
        <v>156.537075233796</v>
      </c>
      <c r="T93" s="19">
        <v>-1.00433545576212E-2</v>
      </c>
      <c r="U93" s="20">
        <v>79.851954738797801</v>
      </c>
      <c r="V93" s="19">
        <v>9.2165103582881897E-3</v>
      </c>
      <c r="W93" s="20">
        <v>105.670647589072</v>
      </c>
      <c r="X93" s="19">
        <v>2.5629525943038399E-3</v>
      </c>
      <c r="Y93" s="20">
        <v>120.447335691584</v>
      </c>
      <c r="Z93" s="19">
        <v>9.8123317706422201E-5</v>
      </c>
      <c r="AA93" s="20">
        <v>68.093708244147805</v>
      </c>
      <c r="AB93" s="19">
        <v>9.3038513732675004E-3</v>
      </c>
      <c r="AC93" s="20">
        <v>75.877740488839507</v>
      </c>
      <c r="AD93" s="19">
        <v>2.5331052531400999E-3</v>
      </c>
      <c r="AE93" s="20">
        <v>97.178577020715906</v>
      </c>
      <c r="AF93" s="19">
        <v>-3.8326169996606201E-2</v>
      </c>
      <c r="AG93" s="20">
        <v>132.66610847770599</v>
      </c>
      <c r="AH93" s="19">
        <v>1.5987604281907999E-2</v>
      </c>
      <c r="AI93" s="20">
        <v>140.578995969723</v>
      </c>
      <c r="AJ93" s="19">
        <v>2.36553824076473E-2</v>
      </c>
      <c r="AK93" s="20">
        <v>144.62971086683399</v>
      </c>
      <c r="AL93" s="19">
        <v>9.4476290159883902E-3</v>
      </c>
      <c r="AM93" s="20">
        <v>70.650348717949001</v>
      </c>
      <c r="AN93" s="19">
        <v>7.0387658943959997E-3</v>
      </c>
      <c r="AO93" s="20">
        <v>80.251488900075302</v>
      </c>
      <c r="AP93" s="19">
        <v>3.3518150421365501E-3</v>
      </c>
      <c r="AQ93" s="20">
        <v>71.021616203894496</v>
      </c>
      <c r="AR93" s="19">
        <v>1.7536587339957999E-2</v>
      </c>
      <c r="AS93" s="20">
        <v>86.376506649743604</v>
      </c>
      <c r="AT93" s="19">
        <v>1.3842955900715799E-3</v>
      </c>
      <c r="AU93" s="20">
        <v>67.418692801485903</v>
      </c>
      <c r="AV93" s="19">
        <v>4.6222310955741398E-3</v>
      </c>
      <c r="AW93" s="20">
        <v>70.062771976920502</v>
      </c>
      <c r="AX93" s="19">
        <v>3.8295405985460098E-3</v>
      </c>
      <c r="AY93" s="20">
        <v>91.255314945759096</v>
      </c>
      <c r="AZ93" s="19">
        <v>4.6345398628442301E-3</v>
      </c>
      <c r="BA93" s="20">
        <v>125.88386591913699</v>
      </c>
      <c r="BB93" s="19">
        <v>1.0625900018933701E-2</v>
      </c>
      <c r="BC93" s="20">
        <v>110.043464209115</v>
      </c>
      <c r="BD93" s="19">
        <v>1.04829434422544E-2</v>
      </c>
      <c r="BE93" s="20">
        <v>87.303309594081398</v>
      </c>
      <c r="BF93" s="19">
        <v>1.01094673834425E-2</v>
      </c>
      <c r="BG93" s="20"/>
      <c r="BH93" s="19"/>
    </row>
    <row r="94" spans="1:60" x14ac:dyDescent="0.15">
      <c r="A94" s="17">
        <v>2000</v>
      </c>
      <c r="B94" s="17">
        <v>3</v>
      </c>
      <c r="C94" s="20">
        <v>93.203103030620596</v>
      </c>
      <c r="D94" s="19">
        <v>4.6082634987272301E-3</v>
      </c>
      <c r="E94" s="20">
        <v>92.125221688155904</v>
      </c>
      <c r="F94" s="19">
        <v>4.4286115128131503E-3</v>
      </c>
      <c r="G94" s="20">
        <v>96.871494326413995</v>
      </c>
      <c r="H94" s="19">
        <v>-4.11673805193793E-2</v>
      </c>
      <c r="I94" s="20">
        <v>72.304094603036603</v>
      </c>
      <c r="J94" s="19">
        <v>-1.3025529126559E-2</v>
      </c>
      <c r="K94" s="20">
        <v>105.911302246418</v>
      </c>
      <c r="L94" s="19">
        <v>3.4654425517795001E-3</v>
      </c>
      <c r="M94" s="20">
        <v>172.77185157793301</v>
      </c>
      <c r="N94" s="19">
        <v>2.3610798973232598E-3</v>
      </c>
      <c r="O94" s="20">
        <v>85.727670798701993</v>
      </c>
      <c r="P94" s="19">
        <v>3.8500630148985398E-3</v>
      </c>
      <c r="Q94" s="20">
        <v>66.961461732552706</v>
      </c>
      <c r="R94" s="19">
        <v>3.6068129393344001E-2</v>
      </c>
      <c r="S94" s="20">
        <v>151.441541984396</v>
      </c>
      <c r="T94" s="19">
        <v>-3.2551606332174098E-2</v>
      </c>
      <c r="U94" s="20">
        <v>80.756783945479398</v>
      </c>
      <c r="V94" s="19">
        <v>1.1331334463149399E-2</v>
      </c>
      <c r="W94" s="20">
        <v>106.115803537631</v>
      </c>
      <c r="X94" s="19">
        <v>4.2126736110310601E-3</v>
      </c>
      <c r="Y94" s="20">
        <v>120.871628790827</v>
      </c>
      <c r="Z94" s="19">
        <v>3.5226441233140401E-3</v>
      </c>
      <c r="AA94" s="20">
        <v>69.334631446443595</v>
      </c>
      <c r="AB94" s="19">
        <v>1.8223757147231501E-2</v>
      </c>
      <c r="AC94" s="20">
        <v>76.121090477776093</v>
      </c>
      <c r="AD94" s="19">
        <v>3.2071327818792299E-3</v>
      </c>
      <c r="AE94" s="20">
        <v>97.3796799471951</v>
      </c>
      <c r="AF94" s="19">
        <v>2.0694162504175701E-3</v>
      </c>
      <c r="AG94" s="20">
        <v>132.230674928338</v>
      </c>
      <c r="AH94" s="19">
        <v>-3.2821762420299802E-3</v>
      </c>
      <c r="AI94" s="20">
        <v>140.00917105089599</v>
      </c>
      <c r="AJ94" s="19">
        <v>-4.0534143446978596E-3</v>
      </c>
      <c r="AK94" s="20">
        <v>144.15082711577699</v>
      </c>
      <c r="AL94" s="19">
        <v>-3.3111021807793501E-3</v>
      </c>
      <c r="AM94" s="20">
        <v>71.0771793516504</v>
      </c>
      <c r="AN94" s="19">
        <v>6.0414511951723E-3</v>
      </c>
      <c r="AO94" s="20">
        <v>80.682851635066598</v>
      </c>
      <c r="AP94" s="19">
        <v>5.3751368467243E-3</v>
      </c>
      <c r="AQ94" s="20">
        <v>72.003038543184999</v>
      </c>
      <c r="AR94" s="19">
        <v>1.3818642713972399E-2</v>
      </c>
      <c r="AS94" s="20">
        <v>86.510439422911602</v>
      </c>
      <c r="AT94" s="19">
        <v>1.55056945878984E-3</v>
      </c>
      <c r="AU94" s="20">
        <v>67.766689330263603</v>
      </c>
      <c r="AV94" s="19">
        <v>5.1617216875201599E-3</v>
      </c>
      <c r="AW94" s="20">
        <v>70.252249827046597</v>
      </c>
      <c r="AX94" s="19">
        <v>2.7044012787340601E-3</v>
      </c>
      <c r="AY94" s="20">
        <v>91.304905590575402</v>
      </c>
      <c r="AZ94" s="19">
        <v>5.4342746880875503E-4</v>
      </c>
      <c r="BA94" s="20">
        <v>126.968396435047</v>
      </c>
      <c r="BB94" s="19">
        <v>8.6153257845371593E-3</v>
      </c>
      <c r="BC94" s="20">
        <v>110.942970227272</v>
      </c>
      <c r="BD94" s="19">
        <v>8.1740976133486392E-3</v>
      </c>
      <c r="BE94" s="20">
        <v>87.928352153226797</v>
      </c>
      <c r="BF94" s="19">
        <v>7.1594371628238597E-3</v>
      </c>
      <c r="BG94" s="20"/>
      <c r="BH94" s="19"/>
    </row>
    <row r="95" spans="1:60" x14ac:dyDescent="0.15">
      <c r="A95" s="17">
        <v>2000</v>
      </c>
      <c r="B95" s="17">
        <v>4</v>
      </c>
      <c r="C95" s="20">
        <v>93.631318552938893</v>
      </c>
      <c r="D95" s="19">
        <v>4.5944341807771004E-3</v>
      </c>
      <c r="E95" s="20">
        <v>92.579361134156997</v>
      </c>
      <c r="F95" s="19">
        <v>4.9295886368490001E-3</v>
      </c>
      <c r="G95" s="20">
        <v>93.081258682496099</v>
      </c>
      <c r="H95" s="19">
        <v>-3.9126428990003403E-2</v>
      </c>
      <c r="I95" s="20">
        <v>72.063046388034294</v>
      </c>
      <c r="J95" s="19">
        <v>-3.3338114020480302E-3</v>
      </c>
      <c r="K95" s="20">
        <v>106.07783379255901</v>
      </c>
      <c r="L95" s="19">
        <v>1.57236803447058E-3</v>
      </c>
      <c r="M95" s="20">
        <v>171.53801239866601</v>
      </c>
      <c r="N95" s="19">
        <v>-7.1414363393030901E-3</v>
      </c>
      <c r="O95" s="20">
        <v>86.042820353837499</v>
      </c>
      <c r="P95" s="19">
        <v>3.6761707415977601E-3</v>
      </c>
      <c r="Q95" s="20">
        <v>68.927118955496198</v>
      </c>
      <c r="R95" s="19">
        <v>2.9355052474727701E-2</v>
      </c>
      <c r="S95" s="20">
        <v>155.80276524070501</v>
      </c>
      <c r="T95" s="19">
        <v>2.8798064250818999E-2</v>
      </c>
      <c r="U95" s="20">
        <v>81.782083426974197</v>
      </c>
      <c r="V95" s="19">
        <v>1.26961405767099E-2</v>
      </c>
      <c r="W95" s="20">
        <v>106.132358966981</v>
      </c>
      <c r="X95" s="19">
        <v>1.5601285386690499E-4</v>
      </c>
      <c r="Y95" s="20">
        <v>120.628451483467</v>
      </c>
      <c r="Z95" s="19">
        <v>-2.0118642380525498E-3</v>
      </c>
      <c r="AA95" s="20">
        <v>70.717498248784196</v>
      </c>
      <c r="AB95" s="19">
        <v>1.99448208419306E-2</v>
      </c>
      <c r="AC95" s="20">
        <v>76.492558308840003</v>
      </c>
      <c r="AD95" s="19">
        <v>4.8799594006381196E-3</v>
      </c>
      <c r="AE95" s="20">
        <v>97.730262848232798</v>
      </c>
      <c r="AF95" s="19">
        <v>3.60016485192638E-3</v>
      </c>
      <c r="AG95" s="20">
        <v>131.97051077914301</v>
      </c>
      <c r="AH95" s="19">
        <v>-1.9675022405817302E-3</v>
      </c>
      <c r="AI95" s="20">
        <v>140.80440612058101</v>
      </c>
      <c r="AJ95" s="19">
        <v>5.6798784230778204E-3</v>
      </c>
      <c r="AK95" s="20">
        <v>141.82740007337</v>
      </c>
      <c r="AL95" s="19">
        <v>-1.6118027824714099E-2</v>
      </c>
      <c r="AM95" s="20">
        <v>71.987859296292001</v>
      </c>
      <c r="AN95" s="19">
        <v>1.28125504268539E-2</v>
      </c>
      <c r="AO95" s="20">
        <v>81.100735158081704</v>
      </c>
      <c r="AP95" s="19">
        <v>5.1793350699254103E-3</v>
      </c>
      <c r="AQ95" s="20">
        <v>72.906505167560198</v>
      </c>
      <c r="AR95" s="19">
        <v>1.2547618026332899E-2</v>
      </c>
      <c r="AS95" s="20">
        <v>86.588276280545699</v>
      </c>
      <c r="AT95" s="19">
        <v>8.9973947830190902E-4</v>
      </c>
      <c r="AU95" s="20">
        <v>68.210551915997399</v>
      </c>
      <c r="AV95" s="19">
        <v>6.5498638065471003E-3</v>
      </c>
      <c r="AW95" s="20">
        <v>70.460598093222103</v>
      </c>
      <c r="AX95" s="19">
        <v>2.9657166380934199E-3</v>
      </c>
      <c r="AY95" s="20">
        <v>90.995754964334594</v>
      </c>
      <c r="AZ95" s="19">
        <v>-3.3859147462139698E-3</v>
      </c>
      <c r="BA95" s="20">
        <v>126.63683344006201</v>
      </c>
      <c r="BB95" s="19">
        <v>-2.6113820784925399E-3</v>
      </c>
      <c r="BC95" s="20">
        <v>110.866983550046</v>
      </c>
      <c r="BD95" s="19">
        <v>-6.8491655730806801E-4</v>
      </c>
      <c r="BE95" s="20">
        <v>88.271892958774501</v>
      </c>
      <c r="BF95" s="19">
        <v>3.9070538357082202E-3</v>
      </c>
      <c r="BG95" s="20"/>
      <c r="BH95" s="19"/>
    </row>
    <row r="96" spans="1:60" x14ac:dyDescent="0.15">
      <c r="A96" s="17">
        <v>2001</v>
      </c>
      <c r="B96" s="17">
        <v>1</v>
      </c>
      <c r="C96" s="20">
        <v>94.032930631439399</v>
      </c>
      <c r="D96" s="19">
        <v>4.28929213758122E-3</v>
      </c>
      <c r="E96" s="20">
        <v>93.009306154820706</v>
      </c>
      <c r="F96" s="19">
        <v>4.6440698595948699E-3</v>
      </c>
      <c r="G96" s="20">
        <v>92.941028402515002</v>
      </c>
      <c r="H96" s="19">
        <v>-1.50653613805762E-3</v>
      </c>
      <c r="I96" s="20">
        <v>74.921996342603407</v>
      </c>
      <c r="J96" s="19">
        <v>3.9672898910970901E-2</v>
      </c>
      <c r="K96" s="20">
        <v>106.232964387306</v>
      </c>
      <c r="L96" s="19">
        <v>1.4624223478185701E-3</v>
      </c>
      <c r="M96" s="20">
        <v>170.09753031515501</v>
      </c>
      <c r="N96" s="19">
        <v>-8.3974511734644704E-3</v>
      </c>
      <c r="O96" s="20">
        <v>86.398713946866806</v>
      </c>
      <c r="P96" s="19">
        <v>4.1362381145317898E-3</v>
      </c>
      <c r="Q96" s="20">
        <v>69.2430509267557</v>
      </c>
      <c r="R96" s="19">
        <v>4.5835655986652402E-3</v>
      </c>
      <c r="S96" s="20">
        <v>156.23083918400101</v>
      </c>
      <c r="T96" s="19">
        <v>2.7475375204950598E-3</v>
      </c>
      <c r="U96" s="20">
        <v>83.130626968059502</v>
      </c>
      <c r="V96" s="19">
        <v>1.6489474033630502E-2</v>
      </c>
      <c r="W96" s="20">
        <v>106.284835994041</v>
      </c>
      <c r="X96" s="19">
        <v>1.4366685951783299E-3</v>
      </c>
      <c r="Y96" s="20">
        <v>120.220588574549</v>
      </c>
      <c r="Z96" s="19">
        <v>-3.38115016732898E-3</v>
      </c>
      <c r="AA96" s="20">
        <v>71.210162762933507</v>
      </c>
      <c r="AB96" s="19">
        <v>6.9666564336896596E-3</v>
      </c>
      <c r="AC96" s="20">
        <v>77.202822537289705</v>
      </c>
      <c r="AD96" s="19">
        <v>9.2854029745215207E-3</v>
      </c>
      <c r="AE96" s="20">
        <v>98.097674446870798</v>
      </c>
      <c r="AF96" s="19">
        <v>3.7594455180027801E-3</v>
      </c>
      <c r="AG96" s="20">
        <v>131.11213292063999</v>
      </c>
      <c r="AH96" s="19">
        <v>-6.5043156492677898E-3</v>
      </c>
      <c r="AI96" s="20">
        <v>141.774209312995</v>
      </c>
      <c r="AJ96" s="19">
        <v>6.8875912276713499E-3</v>
      </c>
      <c r="AK96" s="20">
        <v>137.430712706549</v>
      </c>
      <c r="AL96" s="19">
        <v>-3.1000267681322399E-2</v>
      </c>
      <c r="AM96" s="20">
        <v>72.671865359440602</v>
      </c>
      <c r="AN96" s="19">
        <v>9.5016863931647304E-3</v>
      </c>
      <c r="AO96" s="20">
        <v>81.512397545828904</v>
      </c>
      <c r="AP96" s="19">
        <v>5.07593903982273E-3</v>
      </c>
      <c r="AQ96" s="20">
        <v>74.324122895577801</v>
      </c>
      <c r="AR96" s="19">
        <v>1.9444324272018601E-2</v>
      </c>
      <c r="AS96" s="20">
        <v>86.861797106321305</v>
      </c>
      <c r="AT96" s="19">
        <v>3.1588667372182098E-3</v>
      </c>
      <c r="AU96" s="20">
        <v>68.825503811008801</v>
      </c>
      <c r="AV96" s="19">
        <v>9.0154950771936804E-3</v>
      </c>
      <c r="AW96" s="20">
        <v>71.374818955195096</v>
      </c>
      <c r="AX96" s="19">
        <v>1.2974923385740101E-2</v>
      </c>
      <c r="AY96" s="20">
        <v>91.111119060437801</v>
      </c>
      <c r="AZ96" s="19">
        <v>1.26779646092734E-3</v>
      </c>
      <c r="BA96" s="20">
        <v>126.144828950175</v>
      </c>
      <c r="BB96" s="19">
        <v>-3.8851610271807301E-3</v>
      </c>
      <c r="BC96" s="20">
        <v>110.604646989803</v>
      </c>
      <c r="BD96" s="19">
        <v>-2.3662279954186302E-3</v>
      </c>
      <c r="BE96" s="20">
        <v>88.347954155364704</v>
      </c>
      <c r="BF96" s="19">
        <v>8.6166948550370204E-4</v>
      </c>
      <c r="BG96" s="20"/>
      <c r="BH96" s="19"/>
    </row>
    <row r="97" spans="1:60" x14ac:dyDescent="0.15">
      <c r="A97" s="17">
        <v>2001</v>
      </c>
      <c r="B97" s="17">
        <v>2</v>
      </c>
      <c r="C97" s="20">
        <v>94.057341669489503</v>
      </c>
      <c r="D97" s="19">
        <v>2.5960094922239401E-4</v>
      </c>
      <c r="E97" s="20">
        <v>93.082350316547704</v>
      </c>
      <c r="F97" s="19">
        <v>7.8534250761364E-4</v>
      </c>
      <c r="G97" s="20">
        <v>97.360721508196605</v>
      </c>
      <c r="H97" s="19">
        <v>4.7553735757479301E-2</v>
      </c>
      <c r="I97" s="20">
        <v>74.631679007482603</v>
      </c>
      <c r="J97" s="19">
        <v>-3.8749279156039501E-3</v>
      </c>
      <c r="K97" s="20">
        <v>106.78609563744099</v>
      </c>
      <c r="L97" s="19">
        <v>5.2067760071081697E-3</v>
      </c>
      <c r="M97" s="20">
        <v>171.26488855036601</v>
      </c>
      <c r="N97" s="19">
        <v>6.8628758633249003E-3</v>
      </c>
      <c r="O97" s="20">
        <v>86.825979370429593</v>
      </c>
      <c r="P97" s="19">
        <v>4.9452752714067598E-3</v>
      </c>
      <c r="Q97" s="20">
        <v>65.286301368106706</v>
      </c>
      <c r="R97" s="19">
        <v>-5.7142911897894701E-2</v>
      </c>
      <c r="S97" s="20">
        <v>156.11615092067399</v>
      </c>
      <c r="T97" s="19">
        <v>-7.3409490677856003E-4</v>
      </c>
      <c r="U97" s="20">
        <v>83.631428358635304</v>
      </c>
      <c r="V97" s="19">
        <v>6.0242705828290602E-3</v>
      </c>
      <c r="W97" s="20">
        <v>106.221096766812</v>
      </c>
      <c r="X97" s="19">
        <v>-5.9970198602099501E-4</v>
      </c>
      <c r="Y97" s="20">
        <v>120.246006704236</v>
      </c>
      <c r="Z97" s="19">
        <v>2.1142909037852301E-4</v>
      </c>
      <c r="AA97" s="20">
        <v>71.520510113060993</v>
      </c>
      <c r="AB97" s="19">
        <v>4.35818902929097E-3</v>
      </c>
      <c r="AC97" s="20">
        <v>77.782787344355299</v>
      </c>
      <c r="AD97" s="19">
        <v>7.5122228437374296E-3</v>
      </c>
      <c r="AE97" s="20">
        <v>98.235966819628501</v>
      </c>
      <c r="AF97" s="19">
        <v>1.4097416023108899E-3</v>
      </c>
      <c r="AG97" s="20">
        <v>128.92007280764801</v>
      </c>
      <c r="AH97" s="19">
        <v>-1.67189722580421E-2</v>
      </c>
      <c r="AI97" s="20">
        <v>140.33841112992999</v>
      </c>
      <c r="AJ97" s="19">
        <v>-1.0127358071838E-2</v>
      </c>
      <c r="AK97" s="20">
        <v>133.15334495127499</v>
      </c>
      <c r="AL97" s="19">
        <v>-3.1123812654652101E-2</v>
      </c>
      <c r="AM97" s="20">
        <v>73.1575057098961</v>
      </c>
      <c r="AN97" s="19">
        <v>6.6826460013582603E-3</v>
      </c>
      <c r="AO97" s="20">
        <v>81.802638238210605</v>
      </c>
      <c r="AP97" s="19">
        <v>3.56069384682844E-3</v>
      </c>
      <c r="AQ97" s="20">
        <v>75.1670000365975</v>
      </c>
      <c r="AR97" s="19">
        <v>1.13405595408627E-2</v>
      </c>
      <c r="AS97" s="20">
        <v>87.139494726136604</v>
      </c>
      <c r="AT97" s="19">
        <v>3.1970052320624601E-3</v>
      </c>
      <c r="AU97" s="20">
        <v>69.441642416318103</v>
      </c>
      <c r="AV97" s="19">
        <v>8.9521844547795198E-3</v>
      </c>
      <c r="AW97" s="20">
        <v>71.9526186987015</v>
      </c>
      <c r="AX97" s="19">
        <v>8.0952883939240401E-3</v>
      </c>
      <c r="AY97" s="20">
        <v>91.287497415111105</v>
      </c>
      <c r="AZ97" s="19">
        <v>1.9358598214154199E-3</v>
      </c>
      <c r="BA97" s="20">
        <v>124.610191593588</v>
      </c>
      <c r="BB97" s="19">
        <v>-1.2165677890712901E-2</v>
      </c>
      <c r="BC97" s="20">
        <v>109.72107798689601</v>
      </c>
      <c r="BD97" s="19">
        <v>-7.9885341796548399E-3</v>
      </c>
      <c r="BE97" s="20">
        <v>88.414953599181899</v>
      </c>
      <c r="BF97" s="19">
        <v>7.5835874704410799E-4</v>
      </c>
      <c r="BG97" s="20"/>
      <c r="BH97" s="19"/>
    </row>
    <row r="98" spans="1:60" x14ac:dyDescent="0.15">
      <c r="A98" s="17">
        <v>2001</v>
      </c>
      <c r="B98" s="17">
        <v>3</v>
      </c>
      <c r="C98" s="20">
        <v>94.023472128257197</v>
      </c>
      <c r="D98" s="19">
        <v>-3.60094604324956E-4</v>
      </c>
      <c r="E98" s="20">
        <v>93.049182891827499</v>
      </c>
      <c r="F98" s="19">
        <v>-3.56323455600771E-4</v>
      </c>
      <c r="G98" s="20">
        <v>95.675117820269406</v>
      </c>
      <c r="H98" s="19">
        <v>-1.7312974491312302E-2</v>
      </c>
      <c r="I98" s="20">
        <v>74.281959383411305</v>
      </c>
      <c r="J98" s="19">
        <v>-4.6859407254700204E-3</v>
      </c>
      <c r="K98" s="20">
        <v>106.610396234014</v>
      </c>
      <c r="L98" s="19">
        <v>-1.6453397081202001E-3</v>
      </c>
      <c r="M98" s="20">
        <v>170.260257660874</v>
      </c>
      <c r="N98" s="19">
        <v>-5.86594776077676E-3</v>
      </c>
      <c r="O98" s="20">
        <v>86.789835370404901</v>
      </c>
      <c r="P98" s="19">
        <v>-4.1628093672885198E-4</v>
      </c>
      <c r="Q98" s="20">
        <v>68.951009863098804</v>
      </c>
      <c r="R98" s="19">
        <v>5.6132885738605601E-2</v>
      </c>
      <c r="S98" s="20">
        <v>160.147946102932</v>
      </c>
      <c r="T98" s="19">
        <v>2.5825612266767502E-2</v>
      </c>
      <c r="U98" s="20">
        <v>83.3152220478771</v>
      </c>
      <c r="V98" s="19">
        <v>-3.7809507378280299E-3</v>
      </c>
      <c r="W98" s="20">
        <v>106.083553759126</v>
      </c>
      <c r="X98" s="19">
        <v>-1.29487467058842E-3</v>
      </c>
      <c r="Y98" s="20">
        <v>120.476442698277</v>
      </c>
      <c r="Z98" s="19">
        <v>1.9163712821410599E-3</v>
      </c>
      <c r="AA98" s="20">
        <v>71.677872578569307</v>
      </c>
      <c r="AB98" s="19">
        <v>2.20024249351036E-3</v>
      </c>
      <c r="AC98" s="20">
        <v>78.322634950515706</v>
      </c>
      <c r="AD98" s="19">
        <v>6.9404507679884401E-3</v>
      </c>
      <c r="AE98" s="20">
        <v>98.396814662862795</v>
      </c>
      <c r="AF98" s="19">
        <v>1.6373620420475599E-3</v>
      </c>
      <c r="AG98" s="20">
        <v>125.998281997379</v>
      </c>
      <c r="AH98" s="19">
        <v>-2.2663583308923499E-2</v>
      </c>
      <c r="AI98" s="20">
        <v>137.62369108469599</v>
      </c>
      <c r="AJ98" s="19">
        <v>-1.9344098478649999E-2</v>
      </c>
      <c r="AK98" s="20">
        <v>128.533392933127</v>
      </c>
      <c r="AL98" s="19">
        <v>-3.46964773572839E-2</v>
      </c>
      <c r="AM98" s="20">
        <v>73.426632787327705</v>
      </c>
      <c r="AN98" s="19">
        <v>3.6787350090750101E-3</v>
      </c>
      <c r="AO98" s="20">
        <v>81.9966782551639</v>
      </c>
      <c r="AP98" s="19">
        <v>2.3720508425204602E-3</v>
      </c>
      <c r="AQ98" s="20">
        <v>75.6534318437336</v>
      </c>
      <c r="AR98" s="19">
        <v>6.4713478906865997E-3</v>
      </c>
      <c r="AS98" s="20">
        <v>87.262020261259707</v>
      </c>
      <c r="AT98" s="19">
        <v>1.40608498486494E-3</v>
      </c>
      <c r="AU98" s="20">
        <v>69.912376794724693</v>
      </c>
      <c r="AV98" s="19">
        <v>6.7788485702062803E-3</v>
      </c>
      <c r="AW98" s="20">
        <v>72.136733949555506</v>
      </c>
      <c r="AX98" s="19">
        <v>2.5588401670959501E-3</v>
      </c>
      <c r="AY98" s="20">
        <v>91.207453130004595</v>
      </c>
      <c r="AZ98" s="19">
        <v>-8.7683732573473605E-4</v>
      </c>
      <c r="BA98" s="20">
        <v>124.513273214278</v>
      </c>
      <c r="BB98" s="19">
        <v>-7.7777249252897196E-4</v>
      </c>
      <c r="BC98" s="20">
        <v>109.721635163443</v>
      </c>
      <c r="BD98" s="19">
        <v>5.0781176952341403E-6</v>
      </c>
      <c r="BE98" s="20">
        <v>88.513659171443507</v>
      </c>
      <c r="BF98" s="19">
        <v>1.1163900250290601E-3</v>
      </c>
      <c r="BG98" s="20"/>
      <c r="BH98" s="19"/>
    </row>
    <row r="99" spans="1:60" x14ac:dyDescent="0.15">
      <c r="A99" s="17">
        <v>2001</v>
      </c>
      <c r="B99" s="17">
        <v>4</v>
      </c>
      <c r="C99" s="20">
        <v>93.971756272428905</v>
      </c>
      <c r="D99" s="19">
        <v>-5.5003133427888905E-4</v>
      </c>
      <c r="E99" s="20">
        <v>93.042842340777199</v>
      </c>
      <c r="F99" s="19">
        <v>-6.8141931538479001E-5</v>
      </c>
      <c r="G99" s="20">
        <v>95.770620740304494</v>
      </c>
      <c r="H99" s="19">
        <v>9.98200182146469E-4</v>
      </c>
      <c r="I99" s="20">
        <v>75.061180414717299</v>
      </c>
      <c r="J99" s="19">
        <v>1.0490044120726299E-2</v>
      </c>
      <c r="K99" s="20">
        <v>106.655898354139</v>
      </c>
      <c r="L99" s="19">
        <v>4.2680753221047097E-4</v>
      </c>
      <c r="M99" s="20">
        <v>171.55331332172199</v>
      </c>
      <c r="N99" s="19">
        <v>7.5945830143389096E-3</v>
      </c>
      <c r="O99" s="20">
        <v>86.666572709486999</v>
      </c>
      <c r="P99" s="19">
        <v>-1.4202430548674299E-3</v>
      </c>
      <c r="Q99" s="20">
        <v>69.172106176390798</v>
      </c>
      <c r="R99" s="19">
        <v>3.2065710673554499E-3</v>
      </c>
      <c r="S99" s="20">
        <v>160.486464245104</v>
      </c>
      <c r="T99" s="19">
        <v>2.1137838505540501E-3</v>
      </c>
      <c r="U99" s="20">
        <v>83.209552587875507</v>
      </c>
      <c r="V99" s="19">
        <v>-1.26830916853227E-3</v>
      </c>
      <c r="W99" s="20">
        <v>105.80518281960001</v>
      </c>
      <c r="X99" s="19">
        <v>-2.6240725320945098E-3</v>
      </c>
      <c r="Y99" s="20">
        <v>119.86839385121</v>
      </c>
      <c r="Z99" s="19">
        <v>-5.0470351999819503E-3</v>
      </c>
      <c r="AA99" s="20">
        <v>71.863780311535393</v>
      </c>
      <c r="AB99" s="19">
        <v>2.5936558421475499E-3</v>
      </c>
      <c r="AC99" s="20">
        <v>78.903522171060402</v>
      </c>
      <c r="AD99" s="19">
        <v>7.41659446099718E-3</v>
      </c>
      <c r="AE99" s="20">
        <v>98.583277885083405</v>
      </c>
      <c r="AF99" s="19">
        <v>1.8950127893815299E-3</v>
      </c>
      <c r="AG99" s="20">
        <v>124.679196905304</v>
      </c>
      <c r="AH99" s="19">
        <v>-1.046907204737E-2</v>
      </c>
      <c r="AI99" s="20">
        <v>138.67067205884899</v>
      </c>
      <c r="AJ99" s="19">
        <v>7.6075635372179198E-3</v>
      </c>
      <c r="AK99" s="20">
        <v>123.067555788909</v>
      </c>
      <c r="AL99" s="19">
        <v>-4.25246468601473E-2</v>
      </c>
      <c r="AM99" s="20">
        <v>73.585309060260599</v>
      </c>
      <c r="AN99" s="19">
        <v>2.1610179700390902E-3</v>
      </c>
      <c r="AO99" s="20">
        <v>82.3405008536444</v>
      </c>
      <c r="AP99" s="19">
        <v>4.1931283778418003E-3</v>
      </c>
      <c r="AQ99" s="20">
        <v>75.694165840604796</v>
      </c>
      <c r="AR99" s="19">
        <v>5.3842893677846803E-4</v>
      </c>
      <c r="AS99" s="20">
        <v>87.751381816883594</v>
      </c>
      <c r="AT99" s="19">
        <v>5.6079558341501903E-3</v>
      </c>
      <c r="AU99" s="20">
        <v>70.169705532064199</v>
      </c>
      <c r="AV99" s="19">
        <v>3.6807322127680999E-3</v>
      </c>
      <c r="AW99" s="20">
        <v>72.325184725415397</v>
      </c>
      <c r="AX99" s="19">
        <v>2.6124107031466602E-3</v>
      </c>
      <c r="AY99" s="20">
        <v>91.211078311780398</v>
      </c>
      <c r="AZ99" s="19">
        <v>3.9746551969033199E-5</v>
      </c>
      <c r="BA99" s="20">
        <v>122.981038360536</v>
      </c>
      <c r="BB99" s="19">
        <v>-1.23057953115149E-2</v>
      </c>
      <c r="BC99" s="20">
        <v>108.894163310324</v>
      </c>
      <c r="BD99" s="19">
        <v>-7.5415559737738204E-3</v>
      </c>
      <c r="BE99" s="20">
        <v>88.665250731430902</v>
      </c>
      <c r="BF99" s="19">
        <v>1.71263465330096E-3</v>
      </c>
      <c r="BG99" s="20"/>
      <c r="BH99" s="19"/>
    </row>
    <row r="100" spans="1:60" x14ac:dyDescent="0.15">
      <c r="A100" s="17">
        <v>2002</v>
      </c>
      <c r="B100" s="17">
        <v>1</v>
      </c>
      <c r="C100" s="20">
        <v>93.523512022778903</v>
      </c>
      <c r="D100" s="19">
        <v>-4.7699890629960802E-3</v>
      </c>
      <c r="E100" s="20">
        <v>92.662060844642596</v>
      </c>
      <c r="F100" s="19">
        <v>-4.0925393781500201E-3</v>
      </c>
      <c r="G100" s="20">
        <v>93.671752949814305</v>
      </c>
      <c r="H100" s="19">
        <v>-2.1915570498196601E-2</v>
      </c>
      <c r="I100" s="20">
        <v>75.519836308193405</v>
      </c>
      <c r="J100" s="19">
        <v>6.1104273999159596E-3</v>
      </c>
      <c r="K100" s="20">
        <v>106.28320428589799</v>
      </c>
      <c r="L100" s="19">
        <v>-3.4943596556013001E-3</v>
      </c>
      <c r="M100" s="20">
        <v>169.72550921119699</v>
      </c>
      <c r="N100" s="19">
        <v>-1.0654437825386699E-2</v>
      </c>
      <c r="O100" s="20">
        <v>86.528641225237806</v>
      </c>
      <c r="P100" s="19">
        <v>-1.5915188513511099E-3</v>
      </c>
      <c r="Q100" s="20">
        <v>68.551340456410202</v>
      </c>
      <c r="R100" s="19">
        <v>-8.9742203077872694E-3</v>
      </c>
      <c r="S100" s="20">
        <v>156.69933175005201</v>
      </c>
      <c r="T100" s="19">
        <v>-2.3597831211909798E-2</v>
      </c>
      <c r="U100" s="20">
        <v>83.125730070146403</v>
      </c>
      <c r="V100" s="19">
        <v>-1.0073665237004801E-3</v>
      </c>
      <c r="W100" s="20">
        <v>105.382776517617</v>
      </c>
      <c r="X100" s="19">
        <v>-3.99230255765071E-3</v>
      </c>
      <c r="Y100" s="20">
        <v>120.04868563680201</v>
      </c>
      <c r="Z100" s="19">
        <v>1.5040810992728E-3</v>
      </c>
      <c r="AA100" s="20">
        <v>71.075928656068498</v>
      </c>
      <c r="AB100" s="19">
        <v>-1.0963125680996401E-2</v>
      </c>
      <c r="AC100" s="20">
        <v>79.9260956816657</v>
      </c>
      <c r="AD100" s="19">
        <v>1.29597954878165E-2</v>
      </c>
      <c r="AE100" s="20">
        <v>98.535059378738893</v>
      </c>
      <c r="AF100" s="19">
        <v>-4.8911445611110604E-4</v>
      </c>
      <c r="AG100" s="20">
        <v>121.41790400725399</v>
      </c>
      <c r="AH100" s="19">
        <v>-2.61574743742236E-2</v>
      </c>
      <c r="AI100" s="20">
        <v>137.30781246924599</v>
      </c>
      <c r="AJ100" s="19">
        <v>-9.8280304650468792E-3</v>
      </c>
      <c r="AK100" s="20">
        <v>116.151399726346</v>
      </c>
      <c r="AL100" s="19">
        <v>-5.6198045197431802E-2</v>
      </c>
      <c r="AM100" s="20">
        <v>73.6849526202585</v>
      </c>
      <c r="AN100" s="19">
        <v>1.3541230073021999E-3</v>
      </c>
      <c r="AO100" s="20">
        <v>82.668724585068105</v>
      </c>
      <c r="AP100" s="19">
        <v>3.9861760375619103E-3</v>
      </c>
      <c r="AQ100" s="20">
        <v>75.669486631201394</v>
      </c>
      <c r="AR100" s="19">
        <v>-3.2603846187317898E-4</v>
      </c>
      <c r="AS100" s="20">
        <v>87.905754266620306</v>
      </c>
      <c r="AT100" s="19">
        <v>1.7592024939145901E-3</v>
      </c>
      <c r="AU100" s="20">
        <v>70.275326406099197</v>
      </c>
      <c r="AV100" s="19">
        <v>1.5052204257390801E-3</v>
      </c>
      <c r="AW100" s="20">
        <v>72.687839552619494</v>
      </c>
      <c r="AX100" s="19">
        <v>5.01422607603397E-3</v>
      </c>
      <c r="AY100" s="20">
        <v>90.984050646345594</v>
      </c>
      <c r="AZ100" s="19">
        <v>-2.48903608680973E-3</v>
      </c>
      <c r="BA100" s="20">
        <v>120.371065051023</v>
      </c>
      <c r="BB100" s="19">
        <v>-2.1222566863202001E-2</v>
      </c>
      <c r="BC100" s="20">
        <v>107.450635934324</v>
      </c>
      <c r="BD100" s="19">
        <v>-1.3256241951980101E-2</v>
      </c>
      <c r="BE100" s="20">
        <v>88.878244440994706</v>
      </c>
      <c r="BF100" s="19">
        <v>2.4022230558955501E-3</v>
      </c>
      <c r="BG100" s="20"/>
      <c r="BH100" s="19"/>
    </row>
    <row r="101" spans="1:60" x14ac:dyDescent="0.15">
      <c r="A101" s="17">
        <v>2002</v>
      </c>
      <c r="B101" s="17">
        <v>2</v>
      </c>
      <c r="C101" s="20">
        <v>93.471732493899594</v>
      </c>
      <c r="D101" s="19">
        <v>-5.5365252821892896E-4</v>
      </c>
      <c r="E101" s="20">
        <v>92.696045418893405</v>
      </c>
      <c r="F101" s="19">
        <v>3.6675823892862202E-4</v>
      </c>
      <c r="G101" s="20">
        <v>93.798789128975599</v>
      </c>
      <c r="H101" s="19">
        <v>1.35618449704245E-3</v>
      </c>
      <c r="I101" s="20">
        <v>75.864071701507598</v>
      </c>
      <c r="J101" s="19">
        <v>4.5582115923741302E-3</v>
      </c>
      <c r="K101" s="20">
        <v>106.31609335750299</v>
      </c>
      <c r="L101" s="19">
        <v>3.0944749761552303E-4</v>
      </c>
      <c r="M101" s="20">
        <v>165.92466195281099</v>
      </c>
      <c r="N101" s="19">
        <v>-2.23940836946123E-2</v>
      </c>
      <c r="O101" s="20">
        <v>87.164913907681395</v>
      </c>
      <c r="P101" s="19">
        <v>7.35331877900824E-3</v>
      </c>
      <c r="Q101" s="20">
        <v>65.587670777819497</v>
      </c>
      <c r="R101" s="19">
        <v>-4.3232847948104197E-2</v>
      </c>
      <c r="S101" s="20">
        <v>160.32314957023601</v>
      </c>
      <c r="T101" s="19">
        <v>2.3125930274959999E-2</v>
      </c>
      <c r="U101" s="20">
        <v>82.774155244747703</v>
      </c>
      <c r="V101" s="19">
        <v>-4.2294344374722596E-3</v>
      </c>
      <c r="W101" s="20">
        <v>105.182289152137</v>
      </c>
      <c r="X101" s="19">
        <v>-1.90246805128214E-3</v>
      </c>
      <c r="Y101" s="20">
        <v>120.097375309206</v>
      </c>
      <c r="Z101" s="19">
        <v>4.0558271959412201E-4</v>
      </c>
      <c r="AA101" s="20">
        <v>72.361282803599195</v>
      </c>
      <c r="AB101" s="19">
        <v>1.8084239936567902E-2</v>
      </c>
      <c r="AC101" s="20">
        <v>80.411229776877207</v>
      </c>
      <c r="AD101" s="19">
        <v>6.0697834802758699E-3</v>
      </c>
      <c r="AE101" s="20">
        <v>99.225423431487101</v>
      </c>
      <c r="AF101" s="19">
        <v>7.0062783449957901E-3</v>
      </c>
      <c r="AG101" s="20">
        <v>121.017128662331</v>
      </c>
      <c r="AH101" s="19">
        <v>-3.3007928130582799E-3</v>
      </c>
      <c r="AI101" s="20">
        <v>138.600431012092</v>
      </c>
      <c r="AJ101" s="19">
        <v>9.4140203649020204E-3</v>
      </c>
      <c r="AK101" s="20">
        <v>113.50966720009799</v>
      </c>
      <c r="AL101" s="19">
        <v>-2.2743871640568E-2</v>
      </c>
      <c r="AM101" s="20">
        <v>73.775315233111797</v>
      </c>
      <c r="AN101" s="19">
        <v>1.22633739508471E-3</v>
      </c>
      <c r="AO101" s="20">
        <v>82.9573162349472</v>
      </c>
      <c r="AP101" s="19">
        <v>3.4909411186343502E-3</v>
      </c>
      <c r="AQ101" s="20">
        <v>75.627449598969804</v>
      </c>
      <c r="AR101" s="19">
        <v>-5.5553478823600099E-4</v>
      </c>
      <c r="AS101" s="20">
        <v>88.164522768520598</v>
      </c>
      <c r="AT101" s="19">
        <v>2.9437037888941902E-3</v>
      </c>
      <c r="AU101" s="20">
        <v>70.437054514829299</v>
      </c>
      <c r="AV101" s="19">
        <v>2.3013498051291902E-3</v>
      </c>
      <c r="AW101" s="20">
        <v>72.9768498391511</v>
      </c>
      <c r="AX101" s="19">
        <v>3.97604727710221E-3</v>
      </c>
      <c r="AY101" s="20">
        <v>91.284113626730303</v>
      </c>
      <c r="AZ101" s="19">
        <v>3.2979734168037101E-3</v>
      </c>
      <c r="BA101" s="20">
        <v>117.478548063668</v>
      </c>
      <c r="BB101" s="19">
        <v>-2.4030002443937201E-2</v>
      </c>
      <c r="BC101" s="20">
        <v>105.89710563821799</v>
      </c>
      <c r="BD101" s="19">
        <v>-1.4458083775843801E-2</v>
      </c>
      <c r="BE101" s="20">
        <v>89.128731026117507</v>
      </c>
      <c r="BF101" s="19">
        <v>2.8183115755511202E-3</v>
      </c>
      <c r="BG101" s="20"/>
      <c r="BH101" s="19"/>
    </row>
    <row r="102" spans="1:60" x14ac:dyDescent="0.15">
      <c r="A102" s="17">
        <v>2002</v>
      </c>
      <c r="B102" s="17">
        <v>3</v>
      </c>
      <c r="C102" s="20">
        <v>93.5825334853143</v>
      </c>
      <c r="D102" s="19">
        <v>1.18539571759757E-3</v>
      </c>
      <c r="E102" s="20">
        <v>92.858080797416505</v>
      </c>
      <c r="F102" s="19">
        <v>1.74802903177596E-3</v>
      </c>
      <c r="G102" s="20">
        <v>94.182125842548999</v>
      </c>
      <c r="H102" s="19">
        <v>4.0867981040377801E-3</v>
      </c>
      <c r="I102" s="20">
        <v>74.947121042403694</v>
      </c>
      <c r="J102" s="19">
        <v>-1.2086757783206401E-2</v>
      </c>
      <c r="K102" s="20">
        <v>105.841371073706</v>
      </c>
      <c r="L102" s="19">
        <v>-4.46519683713775E-3</v>
      </c>
      <c r="M102" s="20">
        <v>165.24281246035699</v>
      </c>
      <c r="N102" s="19">
        <v>-4.1093920845080003E-3</v>
      </c>
      <c r="O102" s="20">
        <v>86.783410048539295</v>
      </c>
      <c r="P102" s="19">
        <v>-4.3768053226804797E-3</v>
      </c>
      <c r="Q102" s="20">
        <v>65.488746756172603</v>
      </c>
      <c r="R102" s="19">
        <v>-1.50827160766243E-3</v>
      </c>
      <c r="S102" s="20">
        <v>161.96327204096301</v>
      </c>
      <c r="T102" s="19">
        <v>1.02301038566404E-2</v>
      </c>
      <c r="U102" s="20">
        <v>82.354011159820402</v>
      </c>
      <c r="V102" s="19">
        <v>-5.0757882540151096E-3</v>
      </c>
      <c r="W102" s="20">
        <v>105.028752567312</v>
      </c>
      <c r="X102" s="19">
        <v>-1.4597189894036699E-3</v>
      </c>
      <c r="Y102" s="20">
        <v>119.589315442692</v>
      </c>
      <c r="Z102" s="19">
        <v>-4.23039941719194E-3</v>
      </c>
      <c r="AA102" s="20">
        <v>72.593248888810095</v>
      </c>
      <c r="AB102" s="19">
        <v>3.2056657403438699E-3</v>
      </c>
      <c r="AC102" s="20">
        <v>80.499643217132004</v>
      </c>
      <c r="AD102" s="19">
        <v>1.09951608127457E-3</v>
      </c>
      <c r="AE102" s="20">
        <v>99.283564321511193</v>
      </c>
      <c r="AF102" s="19">
        <v>5.8594751237550603E-4</v>
      </c>
      <c r="AG102" s="20">
        <v>123.684355710856</v>
      </c>
      <c r="AH102" s="19">
        <v>2.2040078772381299E-2</v>
      </c>
      <c r="AI102" s="20">
        <v>142.71172584000101</v>
      </c>
      <c r="AJ102" s="19">
        <v>2.9662929601931301E-2</v>
      </c>
      <c r="AK102" s="20">
        <v>114.873681737385</v>
      </c>
      <c r="AL102" s="19">
        <v>1.2016725719777001E-2</v>
      </c>
      <c r="AM102" s="20">
        <v>73.883982266580603</v>
      </c>
      <c r="AN102" s="19">
        <v>1.4729457017630401E-3</v>
      </c>
      <c r="AO102" s="20">
        <v>83.169279040693993</v>
      </c>
      <c r="AP102" s="19">
        <v>2.5550827264775298E-3</v>
      </c>
      <c r="AQ102" s="20">
        <v>75.649649081005293</v>
      </c>
      <c r="AR102" s="19">
        <v>2.9353736180670598E-4</v>
      </c>
      <c r="AS102" s="20">
        <v>88.457941323635595</v>
      </c>
      <c r="AT102" s="19">
        <v>3.32807966176341E-3</v>
      </c>
      <c r="AU102" s="20">
        <v>70.568445498457706</v>
      </c>
      <c r="AV102" s="19">
        <v>1.86536737706389E-3</v>
      </c>
      <c r="AW102" s="20">
        <v>73.289025285135395</v>
      </c>
      <c r="AX102" s="19">
        <v>4.2777325504226296E-3</v>
      </c>
      <c r="AY102" s="20">
        <v>91.378783185091507</v>
      </c>
      <c r="AZ102" s="19">
        <v>1.03708689935167E-3</v>
      </c>
      <c r="BA102" s="20">
        <v>115.878043245399</v>
      </c>
      <c r="BB102" s="19">
        <v>-1.3623804895861499E-2</v>
      </c>
      <c r="BC102" s="20">
        <v>105.118939111895</v>
      </c>
      <c r="BD102" s="19">
        <v>-7.3483266764783296E-3</v>
      </c>
      <c r="BE102" s="20">
        <v>89.413192227920106</v>
      </c>
      <c r="BF102" s="19">
        <v>3.1915769306674101E-3</v>
      </c>
      <c r="BG102" s="20"/>
      <c r="BH102" s="19"/>
    </row>
    <row r="103" spans="1:60" x14ac:dyDescent="0.15">
      <c r="A103" s="17">
        <v>2002</v>
      </c>
      <c r="B103" s="17">
        <v>4</v>
      </c>
      <c r="C103" s="20">
        <v>93.790498151203593</v>
      </c>
      <c r="D103" s="19">
        <v>2.2222594125638202E-3</v>
      </c>
      <c r="E103" s="20">
        <v>93.059335311210901</v>
      </c>
      <c r="F103" s="19">
        <v>2.1673344103829702E-3</v>
      </c>
      <c r="G103" s="20">
        <v>93.809326567575397</v>
      </c>
      <c r="H103" s="19">
        <v>-3.9582805297556601E-3</v>
      </c>
      <c r="I103" s="20">
        <v>74.377577335608706</v>
      </c>
      <c r="J103" s="19">
        <v>-7.5992739797536802E-3</v>
      </c>
      <c r="K103" s="20">
        <v>105.98770181224</v>
      </c>
      <c r="L103" s="19">
        <v>1.3825476470081799E-3</v>
      </c>
      <c r="M103" s="20">
        <v>166.075930807037</v>
      </c>
      <c r="N103" s="19">
        <v>5.0417826607711503E-3</v>
      </c>
      <c r="O103" s="20">
        <v>86.798817223702997</v>
      </c>
      <c r="P103" s="19">
        <v>1.77535950189656E-4</v>
      </c>
      <c r="Q103" s="20">
        <v>64.847700145781801</v>
      </c>
      <c r="R103" s="19">
        <v>-9.7886528929553903E-3</v>
      </c>
      <c r="S103" s="20">
        <v>162.700166143312</v>
      </c>
      <c r="T103" s="19">
        <v>4.5497605294271297E-3</v>
      </c>
      <c r="U103" s="20">
        <v>81.905529693681402</v>
      </c>
      <c r="V103" s="19">
        <v>-5.44577561946158E-3</v>
      </c>
      <c r="W103" s="20">
        <v>105.026107518004</v>
      </c>
      <c r="X103" s="19">
        <v>-2.5184049543547401E-5</v>
      </c>
      <c r="Y103" s="20">
        <v>120.004444341826</v>
      </c>
      <c r="Z103" s="19">
        <v>3.4712875276352601E-3</v>
      </c>
      <c r="AA103" s="20">
        <v>72.295643077909602</v>
      </c>
      <c r="AB103" s="19">
        <v>-4.09963482081199E-3</v>
      </c>
      <c r="AC103" s="20">
        <v>80.813870878249901</v>
      </c>
      <c r="AD103" s="19">
        <v>3.9034665069304099E-3</v>
      </c>
      <c r="AE103" s="20">
        <v>99.662483155032803</v>
      </c>
      <c r="AF103" s="19">
        <v>3.8165313273255102E-3</v>
      </c>
      <c r="AG103" s="20">
        <v>125.71895534644899</v>
      </c>
      <c r="AH103" s="19">
        <v>1.6449935191073899E-2</v>
      </c>
      <c r="AI103" s="20">
        <v>142.53304372740899</v>
      </c>
      <c r="AJ103" s="19">
        <v>-1.2520492730371301E-3</v>
      </c>
      <c r="AK103" s="20">
        <v>120.448751439766</v>
      </c>
      <c r="AL103" s="19">
        <v>4.8532175673859299E-2</v>
      </c>
      <c r="AM103" s="20">
        <v>73.980323133876396</v>
      </c>
      <c r="AN103" s="19">
        <v>1.30394795110278E-3</v>
      </c>
      <c r="AO103" s="20">
        <v>83.273891989633796</v>
      </c>
      <c r="AP103" s="19">
        <v>1.25783161939652E-3</v>
      </c>
      <c r="AQ103" s="20">
        <v>75.936206728051204</v>
      </c>
      <c r="AR103" s="19">
        <v>3.7879573868098101E-3</v>
      </c>
      <c r="AS103" s="20">
        <v>88.654727184128205</v>
      </c>
      <c r="AT103" s="19">
        <v>2.22462627490594E-3</v>
      </c>
      <c r="AU103" s="20">
        <v>70.734787889397793</v>
      </c>
      <c r="AV103" s="19">
        <v>2.35717805267188E-3</v>
      </c>
      <c r="AW103" s="20">
        <v>73.654473658062898</v>
      </c>
      <c r="AX103" s="19">
        <v>4.9863996895274099E-3</v>
      </c>
      <c r="AY103" s="20">
        <v>91.420050569029399</v>
      </c>
      <c r="AZ103" s="19">
        <v>4.5160793894916102E-4</v>
      </c>
      <c r="BA103" s="20">
        <v>116.33761296932499</v>
      </c>
      <c r="BB103" s="19">
        <v>3.9659776007079399E-3</v>
      </c>
      <c r="BC103" s="20">
        <v>105.533577462625</v>
      </c>
      <c r="BD103" s="19">
        <v>3.94446856325548E-3</v>
      </c>
      <c r="BE103" s="20">
        <v>89.724004076726601</v>
      </c>
      <c r="BF103" s="19">
        <v>3.4761296522580801E-3</v>
      </c>
      <c r="BG103" s="20"/>
      <c r="BH103" s="19"/>
    </row>
    <row r="104" spans="1:60" x14ac:dyDescent="0.15">
      <c r="A104" s="17">
        <v>2003</v>
      </c>
      <c r="B104" s="17">
        <v>1</v>
      </c>
      <c r="C104" s="20">
        <v>94.202678277914501</v>
      </c>
      <c r="D104" s="19">
        <v>4.3946895990081298E-3</v>
      </c>
      <c r="E104" s="20">
        <v>93.460648928499396</v>
      </c>
      <c r="F104" s="19">
        <v>4.3124487827730399E-3</v>
      </c>
      <c r="G104" s="20">
        <v>94.927588745713393</v>
      </c>
      <c r="H104" s="19">
        <v>1.1920586353772401E-2</v>
      </c>
      <c r="I104" s="20">
        <v>74.0972301157516</v>
      </c>
      <c r="J104" s="19">
        <v>-3.7692437680788599E-3</v>
      </c>
      <c r="K104" s="20">
        <v>105.857290370684</v>
      </c>
      <c r="L104" s="19">
        <v>-1.2304393748129301E-3</v>
      </c>
      <c r="M104" s="20">
        <v>165.17378188193001</v>
      </c>
      <c r="N104" s="19">
        <v>-5.4321473359986196E-3</v>
      </c>
      <c r="O104" s="20">
        <v>86.801054092967306</v>
      </c>
      <c r="P104" s="19">
        <v>2.577073439336E-5</v>
      </c>
      <c r="Q104" s="20">
        <v>63.641454144546501</v>
      </c>
      <c r="R104" s="19">
        <v>-1.8601214823711101E-2</v>
      </c>
      <c r="S104" s="20">
        <v>167.65159997547599</v>
      </c>
      <c r="T104" s="19">
        <v>3.0432875082641E-2</v>
      </c>
      <c r="U104" s="20">
        <v>81.490816479408196</v>
      </c>
      <c r="V104" s="19">
        <v>-5.0633115471458998E-3</v>
      </c>
      <c r="W104" s="20">
        <v>104.864510492997</v>
      </c>
      <c r="X104" s="19">
        <v>-1.53863671448773E-3</v>
      </c>
      <c r="Y104" s="20">
        <v>119.859353898935</v>
      </c>
      <c r="Z104" s="19">
        <v>-1.20904224578244E-3</v>
      </c>
      <c r="AA104" s="20">
        <v>72.586145034155294</v>
      </c>
      <c r="AB104" s="19">
        <v>4.0182498402099301E-3</v>
      </c>
      <c r="AC104" s="20">
        <v>81.381000346548404</v>
      </c>
      <c r="AD104" s="19">
        <v>7.0177243353797304E-3</v>
      </c>
      <c r="AE104" s="20">
        <v>99.825573062989506</v>
      </c>
      <c r="AF104" s="19">
        <v>1.6364222804188301E-3</v>
      </c>
      <c r="AG104" s="20">
        <v>129.988039364499</v>
      </c>
      <c r="AH104" s="19">
        <v>3.3957361531408603E-2</v>
      </c>
      <c r="AI104" s="20">
        <v>141.95384247921601</v>
      </c>
      <c r="AJ104" s="19">
        <v>-4.0636278651300399E-3</v>
      </c>
      <c r="AK104" s="20">
        <v>130.938374385804</v>
      </c>
      <c r="AL104" s="19">
        <v>8.7087851228441399E-2</v>
      </c>
      <c r="AM104" s="20">
        <v>74.083627901505693</v>
      </c>
      <c r="AN104" s="19">
        <v>1.3963816762772E-3</v>
      </c>
      <c r="AO104" s="20">
        <v>83.491997441677697</v>
      </c>
      <c r="AP104" s="19">
        <v>2.6191336424032899E-3</v>
      </c>
      <c r="AQ104" s="20">
        <v>76.3638484779067</v>
      </c>
      <c r="AR104" s="19">
        <v>5.6315922045848702E-3</v>
      </c>
      <c r="AS104" s="20">
        <v>89.259080698047597</v>
      </c>
      <c r="AT104" s="19">
        <v>6.8169350142397401E-3</v>
      </c>
      <c r="AU104" s="20">
        <v>71.117853511529106</v>
      </c>
      <c r="AV104" s="19">
        <v>5.4155194856919699E-3</v>
      </c>
      <c r="AW104" s="20">
        <v>74.094964857897907</v>
      </c>
      <c r="AX104" s="19">
        <v>5.9805084193511604E-3</v>
      </c>
      <c r="AY104" s="20">
        <v>91.491902902947899</v>
      </c>
      <c r="AZ104" s="19">
        <v>7.85958151096944E-4</v>
      </c>
      <c r="BA104" s="20">
        <v>117.102866723744</v>
      </c>
      <c r="BB104" s="19">
        <v>6.5778705174297496E-3</v>
      </c>
      <c r="BC104" s="20">
        <v>106.087674550313</v>
      </c>
      <c r="BD104" s="19">
        <v>5.2504340420447297E-3</v>
      </c>
      <c r="BE104" s="20">
        <v>90.045202570064205</v>
      </c>
      <c r="BF104" s="19">
        <v>3.5798501932982102E-3</v>
      </c>
      <c r="BG104" s="20"/>
      <c r="BH104" s="19"/>
    </row>
    <row r="105" spans="1:60" x14ac:dyDescent="0.15">
      <c r="A105" s="17">
        <v>2003</v>
      </c>
      <c r="B105" s="17">
        <v>2</v>
      </c>
      <c r="C105" s="20">
        <v>94.695976687956502</v>
      </c>
      <c r="D105" s="19">
        <v>5.2365645973109203E-3</v>
      </c>
      <c r="E105" s="20">
        <v>93.9481387974526</v>
      </c>
      <c r="F105" s="19">
        <v>5.2159906285924604E-3</v>
      </c>
      <c r="G105" s="20">
        <v>98.996296858456006</v>
      </c>
      <c r="H105" s="19">
        <v>4.2861176255531097E-2</v>
      </c>
      <c r="I105" s="20">
        <v>75.5318712584818</v>
      </c>
      <c r="J105" s="19">
        <v>1.93616028627395E-2</v>
      </c>
      <c r="K105" s="20">
        <v>106.15958735875699</v>
      </c>
      <c r="L105" s="19">
        <v>2.8557030603577598E-3</v>
      </c>
      <c r="M105" s="20">
        <v>166.24726076732199</v>
      </c>
      <c r="N105" s="19">
        <v>6.4990876467283503E-3</v>
      </c>
      <c r="O105" s="20">
        <v>86.952391456166595</v>
      </c>
      <c r="P105" s="19">
        <v>1.7434968363085901E-3</v>
      </c>
      <c r="Q105" s="20">
        <v>65.504154574594097</v>
      </c>
      <c r="R105" s="19">
        <v>2.9268665449047899E-2</v>
      </c>
      <c r="S105" s="20">
        <v>164.61756585196099</v>
      </c>
      <c r="T105" s="19">
        <v>-1.80972571926524E-2</v>
      </c>
      <c r="U105" s="20">
        <v>81.515919219087394</v>
      </c>
      <c r="V105" s="19">
        <v>3.0804378657189901E-4</v>
      </c>
      <c r="W105" s="20">
        <v>105.058432306912</v>
      </c>
      <c r="X105" s="19">
        <v>1.8492606602889001E-3</v>
      </c>
      <c r="Y105" s="20">
        <v>119.88237719567201</v>
      </c>
      <c r="Z105" s="19">
        <v>1.9208594062414299E-4</v>
      </c>
      <c r="AA105" s="20">
        <v>72.193362262723298</v>
      </c>
      <c r="AB105" s="19">
        <v>-5.4112636956702397E-3</v>
      </c>
      <c r="AC105" s="20">
        <v>81.566411752375402</v>
      </c>
      <c r="AD105" s="19">
        <v>2.27831318166927E-3</v>
      </c>
      <c r="AE105" s="20">
        <v>100.507925924323</v>
      </c>
      <c r="AF105" s="19">
        <v>6.8354514819866097E-3</v>
      </c>
      <c r="AG105" s="20">
        <v>132.651969097571</v>
      </c>
      <c r="AH105" s="19">
        <v>2.0493652693701399E-2</v>
      </c>
      <c r="AI105" s="20">
        <v>142.53221212778399</v>
      </c>
      <c r="AJ105" s="19">
        <v>4.0743500737025996E-3</v>
      </c>
      <c r="AK105" s="20">
        <v>136.999964930722</v>
      </c>
      <c r="AL105" s="19">
        <v>4.6293461128956E-2</v>
      </c>
      <c r="AM105" s="20">
        <v>74.222989963325503</v>
      </c>
      <c r="AN105" s="19">
        <v>1.8811452107228E-3</v>
      </c>
      <c r="AO105" s="20">
        <v>83.581133658523001</v>
      </c>
      <c r="AP105" s="19">
        <v>1.0676019208610799E-3</v>
      </c>
      <c r="AQ105" s="20">
        <v>76.723571639067899</v>
      </c>
      <c r="AR105" s="19">
        <v>4.7106473590747804E-3</v>
      </c>
      <c r="AS105" s="20">
        <v>89.570787079368202</v>
      </c>
      <c r="AT105" s="19">
        <v>3.4921531667475602E-3</v>
      </c>
      <c r="AU105" s="20">
        <v>71.458710384146897</v>
      </c>
      <c r="AV105" s="19">
        <v>4.7928453375285498E-3</v>
      </c>
      <c r="AW105" s="20">
        <v>74.436882018732405</v>
      </c>
      <c r="AX105" s="19">
        <v>4.6145802415893397E-3</v>
      </c>
      <c r="AY105" s="20">
        <v>91.308162916656102</v>
      </c>
      <c r="AZ105" s="19">
        <v>-2.0082649989983099E-3</v>
      </c>
      <c r="BA105" s="20">
        <v>117.776094368421</v>
      </c>
      <c r="BB105" s="19">
        <v>5.7490278719263301E-3</v>
      </c>
      <c r="BC105" s="20">
        <v>106.574653311969</v>
      </c>
      <c r="BD105" s="19">
        <v>4.5903425041575697E-3</v>
      </c>
      <c r="BE105" s="20">
        <v>90.274571871849005</v>
      </c>
      <c r="BF105" s="19">
        <v>2.54726843005737E-3</v>
      </c>
      <c r="BG105" s="20"/>
      <c r="BH105" s="19"/>
    </row>
    <row r="106" spans="1:60" x14ac:dyDescent="0.15">
      <c r="A106" s="17">
        <v>2003</v>
      </c>
      <c r="B106" s="17">
        <v>3</v>
      </c>
      <c r="C106" s="20">
        <v>94.872864073265205</v>
      </c>
      <c r="D106" s="19">
        <v>1.86795037651488E-3</v>
      </c>
      <c r="E106" s="20">
        <v>94.143319651537993</v>
      </c>
      <c r="F106" s="19">
        <v>2.0775382736020198E-3</v>
      </c>
      <c r="G106" s="20">
        <v>101.67990733449101</v>
      </c>
      <c r="H106" s="19">
        <v>2.7108190520214001E-2</v>
      </c>
      <c r="I106" s="20">
        <v>74.925974746939104</v>
      </c>
      <c r="J106" s="19">
        <v>-8.0217330968701504E-3</v>
      </c>
      <c r="K106" s="20">
        <v>106.605312689473</v>
      </c>
      <c r="L106" s="19">
        <v>4.1986347329112696E-3</v>
      </c>
      <c r="M106" s="20">
        <v>167.988133947862</v>
      </c>
      <c r="N106" s="19">
        <v>1.0471590163378499E-2</v>
      </c>
      <c r="O106" s="20">
        <v>87.143393863436302</v>
      </c>
      <c r="P106" s="19">
        <v>2.1966320197874798E-3</v>
      </c>
      <c r="Q106" s="20">
        <v>65.120307739677202</v>
      </c>
      <c r="R106" s="19">
        <v>-5.8598853371939503E-3</v>
      </c>
      <c r="S106" s="20">
        <v>157.08541690997899</v>
      </c>
      <c r="T106" s="19">
        <v>-4.5755438692096403E-2</v>
      </c>
      <c r="U106" s="20">
        <v>81.629081014663996</v>
      </c>
      <c r="V106" s="19">
        <v>1.3882171318275701E-3</v>
      </c>
      <c r="W106" s="20">
        <v>105.305090890279</v>
      </c>
      <c r="X106" s="19">
        <v>2.3478228063249498E-3</v>
      </c>
      <c r="Y106" s="20">
        <v>119.937110975797</v>
      </c>
      <c r="Z106" s="19">
        <v>4.5656235224988999E-4</v>
      </c>
      <c r="AA106" s="20">
        <v>72.322991036109201</v>
      </c>
      <c r="AB106" s="19">
        <v>1.7955774509321701E-3</v>
      </c>
      <c r="AC106" s="20">
        <v>81.761978309306301</v>
      </c>
      <c r="AD106" s="19">
        <v>2.39763589851849E-3</v>
      </c>
      <c r="AE106" s="20">
        <v>100.52802435133501</v>
      </c>
      <c r="AF106" s="19">
        <v>1.99968577872855E-4</v>
      </c>
      <c r="AG106" s="20">
        <v>132.09234532194799</v>
      </c>
      <c r="AH106" s="19">
        <v>-4.2187370412213303E-3</v>
      </c>
      <c r="AI106" s="20">
        <v>140.036453353469</v>
      </c>
      <c r="AJ106" s="19">
        <v>-1.7510138494708699E-2</v>
      </c>
      <c r="AK106" s="20">
        <v>139.39783088620001</v>
      </c>
      <c r="AL106" s="19">
        <v>1.7502675688204201E-2</v>
      </c>
      <c r="AM106" s="20">
        <v>74.5318724784144</v>
      </c>
      <c r="AN106" s="19">
        <v>4.1615477258656296E-3</v>
      </c>
      <c r="AO106" s="20">
        <v>83.704930413357502</v>
      </c>
      <c r="AP106" s="19">
        <v>1.48115668471704E-3</v>
      </c>
      <c r="AQ106" s="20">
        <v>76.749836841529898</v>
      </c>
      <c r="AR106" s="19">
        <v>3.4233550264794999E-4</v>
      </c>
      <c r="AS106" s="20">
        <v>89.880499719028407</v>
      </c>
      <c r="AT106" s="19">
        <v>3.4577416338403802E-3</v>
      </c>
      <c r="AU106" s="20">
        <v>72.101363674987297</v>
      </c>
      <c r="AV106" s="19">
        <v>8.9933513687219194E-3</v>
      </c>
      <c r="AW106" s="20">
        <v>74.781713900449205</v>
      </c>
      <c r="AX106" s="19">
        <v>4.6325406487350796E-3</v>
      </c>
      <c r="AY106" s="20">
        <v>91.248530468544303</v>
      </c>
      <c r="AZ106" s="19">
        <v>-6.5308999991853202E-4</v>
      </c>
      <c r="BA106" s="20">
        <v>117.360484026837</v>
      </c>
      <c r="BB106" s="19">
        <v>-3.5288174889222001E-3</v>
      </c>
      <c r="BC106" s="20">
        <v>106.39003413086201</v>
      </c>
      <c r="BD106" s="19">
        <v>-1.7322991477765101E-3</v>
      </c>
      <c r="BE106" s="20">
        <v>90.401332097210798</v>
      </c>
      <c r="BF106" s="19">
        <v>1.40416312958824E-3</v>
      </c>
      <c r="BG106" s="20"/>
      <c r="BH106" s="19"/>
    </row>
    <row r="107" spans="1:60" x14ac:dyDescent="0.15">
      <c r="A107" s="17">
        <v>2003</v>
      </c>
      <c r="B107" s="17">
        <v>4</v>
      </c>
      <c r="C107" s="20">
        <v>94.999054590974097</v>
      </c>
      <c r="D107" s="19">
        <v>1.3301012775528401E-3</v>
      </c>
      <c r="E107" s="20">
        <v>94.319316557799297</v>
      </c>
      <c r="F107" s="19">
        <v>1.86945719476239E-3</v>
      </c>
      <c r="G107" s="20">
        <v>103.426266760418</v>
      </c>
      <c r="H107" s="19">
        <v>1.7175069015186201E-2</v>
      </c>
      <c r="I107" s="20">
        <v>75.515388036734606</v>
      </c>
      <c r="J107" s="19">
        <v>7.8666082328080495E-3</v>
      </c>
      <c r="K107" s="20">
        <v>107.27138594475601</v>
      </c>
      <c r="L107" s="19">
        <v>6.2480305950873803E-3</v>
      </c>
      <c r="M107" s="20">
        <v>167.79072176098501</v>
      </c>
      <c r="N107" s="19">
        <v>-1.17515554365155E-3</v>
      </c>
      <c r="O107" s="20">
        <v>87.900893223516107</v>
      </c>
      <c r="P107" s="19">
        <v>8.6925620692122098E-3</v>
      </c>
      <c r="Q107" s="20">
        <v>65.406917867783307</v>
      </c>
      <c r="R107" s="19">
        <v>4.4012403819075896E-3</v>
      </c>
      <c r="S107" s="20">
        <v>158.131104061218</v>
      </c>
      <c r="T107" s="19">
        <v>6.65680603463281E-3</v>
      </c>
      <c r="U107" s="20">
        <v>81.606511902266305</v>
      </c>
      <c r="V107" s="19">
        <v>-2.7648372512789599E-4</v>
      </c>
      <c r="W107" s="20">
        <v>105.69049646360099</v>
      </c>
      <c r="X107" s="19">
        <v>3.65989497813501E-3</v>
      </c>
      <c r="Y107" s="20">
        <v>120.086756738201</v>
      </c>
      <c r="Z107" s="19">
        <v>1.24770190966172E-3</v>
      </c>
      <c r="AA107" s="20">
        <v>72.656332263185107</v>
      </c>
      <c r="AB107" s="19">
        <v>4.6090630697146499E-3</v>
      </c>
      <c r="AC107" s="20">
        <v>81.949466909586405</v>
      </c>
      <c r="AD107" s="19">
        <v>2.2931025417567402E-3</v>
      </c>
      <c r="AE107" s="20">
        <v>101.115754459239</v>
      </c>
      <c r="AF107" s="19">
        <v>5.8464305023038197E-3</v>
      </c>
      <c r="AG107" s="20">
        <v>130.399135627459</v>
      </c>
      <c r="AH107" s="19">
        <v>-1.28183786150623E-2</v>
      </c>
      <c r="AI107" s="20">
        <v>138.03012531166399</v>
      </c>
      <c r="AJ107" s="19">
        <v>-1.43271840564323E-2</v>
      </c>
      <c r="AK107" s="20">
        <v>138.45947430996</v>
      </c>
      <c r="AL107" s="19">
        <v>-6.7315005568945301E-3</v>
      </c>
      <c r="AM107" s="20">
        <v>74.807436659056194</v>
      </c>
      <c r="AN107" s="19">
        <v>3.6972663033742999E-3</v>
      </c>
      <c r="AO107" s="20">
        <v>83.7067361253835</v>
      </c>
      <c r="AP107" s="19">
        <v>2.1572349645726502E-5</v>
      </c>
      <c r="AQ107" s="20">
        <v>76.544997769011403</v>
      </c>
      <c r="AR107" s="19">
        <v>-2.6689186706866401E-3</v>
      </c>
      <c r="AS107" s="20">
        <v>90.092152853669006</v>
      </c>
      <c r="AT107" s="19">
        <v>2.3548281919019099E-3</v>
      </c>
      <c r="AU107" s="20">
        <v>72.389091204046494</v>
      </c>
      <c r="AV107" s="19">
        <v>3.99059760306608E-3</v>
      </c>
      <c r="AW107" s="20">
        <v>75.1760240401197</v>
      </c>
      <c r="AX107" s="19">
        <v>5.2728149584182499E-3</v>
      </c>
      <c r="AY107" s="20">
        <v>91.252028535953102</v>
      </c>
      <c r="AZ107" s="19">
        <v>3.8335602675632102E-5</v>
      </c>
      <c r="BA107" s="20">
        <v>115.90088630071401</v>
      </c>
      <c r="BB107" s="19">
        <v>-1.24368754800718E-2</v>
      </c>
      <c r="BC107" s="20">
        <v>105.554730341979</v>
      </c>
      <c r="BD107" s="19">
        <v>-7.8513349084537998E-3</v>
      </c>
      <c r="BE107" s="20">
        <v>90.433571378530004</v>
      </c>
      <c r="BF107" s="19">
        <v>3.5662396306812598E-4</v>
      </c>
      <c r="BG107" s="20"/>
      <c r="BH107" s="19"/>
    </row>
    <row r="108" spans="1:60" x14ac:dyDescent="0.15">
      <c r="A108" s="17">
        <v>2004</v>
      </c>
      <c r="B108" s="17">
        <v>1</v>
      </c>
      <c r="C108" s="20">
        <v>94.996884651766194</v>
      </c>
      <c r="D108" s="19">
        <v>-2.2841692659980602E-5</v>
      </c>
      <c r="E108" s="20">
        <v>94.293934493468996</v>
      </c>
      <c r="F108" s="19">
        <v>-2.6910780587341399E-4</v>
      </c>
      <c r="G108" s="20">
        <v>101.768742355108</v>
      </c>
      <c r="H108" s="19">
        <v>-1.60261455549758E-2</v>
      </c>
      <c r="I108" s="20">
        <v>75.926649001495093</v>
      </c>
      <c r="J108" s="19">
        <v>5.44605510813878E-3</v>
      </c>
      <c r="K108" s="20">
        <v>107.229582071173</v>
      </c>
      <c r="L108" s="19">
        <v>-3.8970199941834599E-4</v>
      </c>
      <c r="M108" s="20">
        <v>168.054571925332</v>
      </c>
      <c r="N108" s="19">
        <v>1.5724955562357299E-3</v>
      </c>
      <c r="O108" s="20">
        <v>87.806873761126297</v>
      </c>
      <c r="P108" s="19">
        <v>-1.0696075880678401E-3</v>
      </c>
      <c r="Q108" s="20">
        <v>65.632407181480701</v>
      </c>
      <c r="R108" s="19">
        <v>3.4474841660214802E-3</v>
      </c>
      <c r="S108" s="20">
        <v>162.67052906285599</v>
      </c>
      <c r="T108" s="19">
        <v>2.8706717938811199E-2</v>
      </c>
      <c r="U108" s="20">
        <v>81.691594663722896</v>
      </c>
      <c r="V108" s="19">
        <v>1.0425976980676899E-3</v>
      </c>
      <c r="W108" s="20">
        <v>106.27777494092599</v>
      </c>
      <c r="X108" s="19">
        <v>5.5565873657099597E-3</v>
      </c>
      <c r="Y108" s="20">
        <v>119.63385243570301</v>
      </c>
      <c r="Z108" s="19">
        <v>-3.77147584629367E-3</v>
      </c>
      <c r="AA108" s="20">
        <v>72.791398263082598</v>
      </c>
      <c r="AB108" s="19">
        <v>1.8589707970433399E-3</v>
      </c>
      <c r="AC108" s="20">
        <v>81.970542398479395</v>
      </c>
      <c r="AD108" s="19">
        <v>2.5717664419056002E-4</v>
      </c>
      <c r="AE108" s="20">
        <v>101.42301842218799</v>
      </c>
      <c r="AF108" s="19">
        <v>3.0387348103404501E-3</v>
      </c>
      <c r="AG108" s="20">
        <v>128.24481726012399</v>
      </c>
      <c r="AH108" s="19">
        <v>-1.6520955886471601E-2</v>
      </c>
      <c r="AI108" s="20">
        <v>136.761730165241</v>
      </c>
      <c r="AJ108" s="19">
        <v>-9.1892631667092103E-3</v>
      </c>
      <c r="AK108" s="20">
        <v>134.11437161194701</v>
      </c>
      <c r="AL108" s="19">
        <v>-3.1381765095288901E-2</v>
      </c>
      <c r="AM108" s="20">
        <v>75.209056460760905</v>
      </c>
      <c r="AN108" s="19">
        <v>5.3687149251642197E-3</v>
      </c>
      <c r="AO108" s="20">
        <v>83.822350864992998</v>
      </c>
      <c r="AP108" s="19">
        <v>1.38118800183973E-3</v>
      </c>
      <c r="AQ108" s="20">
        <v>75.720410516456496</v>
      </c>
      <c r="AR108" s="19">
        <v>-1.07725818353702E-2</v>
      </c>
      <c r="AS108" s="20">
        <v>90.524761271403904</v>
      </c>
      <c r="AT108" s="19">
        <v>4.8018434906038597E-3</v>
      </c>
      <c r="AU108" s="20">
        <v>72.878372477036194</v>
      </c>
      <c r="AV108" s="19">
        <v>6.7590470449556701E-3</v>
      </c>
      <c r="AW108" s="20">
        <v>75.488289066608402</v>
      </c>
      <c r="AX108" s="19">
        <v>4.1537848067363398E-3</v>
      </c>
      <c r="AY108" s="20">
        <v>91.235732662873303</v>
      </c>
      <c r="AZ108" s="19">
        <v>-1.7858094051381699E-4</v>
      </c>
      <c r="BA108" s="20">
        <v>116.638908126985</v>
      </c>
      <c r="BB108" s="19">
        <v>6.3676978651967496E-3</v>
      </c>
      <c r="BC108" s="20">
        <v>105.97144128582499</v>
      </c>
      <c r="BD108" s="19">
        <v>3.9478187523809298E-3</v>
      </c>
      <c r="BE108" s="20">
        <v>90.403440624922794</v>
      </c>
      <c r="BF108" s="19">
        <v>-3.3318106481761102E-4</v>
      </c>
      <c r="BG108" s="20"/>
      <c r="BH108" s="19"/>
    </row>
    <row r="109" spans="1:60" x14ac:dyDescent="0.15">
      <c r="A109" s="17">
        <v>2004</v>
      </c>
      <c r="B109" s="17">
        <v>2</v>
      </c>
      <c r="C109" s="20">
        <v>94.9696092860801</v>
      </c>
      <c r="D109" s="19">
        <v>-2.8711852800322702E-4</v>
      </c>
      <c r="E109" s="20">
        <v>94.263769403830096</v>
      </c>
      <c r="F109" s="19">
        <v>-3.1990487830302301E-4</v>
      </c>
      <c r="G109" s="20">
        <v>99.414142431188296</v>
      </c>
      <c r="H109" s="19">
        <v>-2.3136769399230001E-2</v>
      </c>
      <c r="I109" s="20">
        <v>75.608520915674205</v>
      </c>
      <c r="J109" s="19">
        <v>-4.1899397642929399E-3</v>
      </c>
      <c r="K109" s="20">
        <v>107.399455371616</v>
      </c>
      <c r="L109" s="19">
        <v>1.58420183276187E-3</v>
      </c>
      <c r="M109" s="20">
        <v>166.110488931356</v>
      </c>
      <c r="N109" s="19">
        <v>-1.1568164862781E-2</v>
      </c>
      <c r="O109" s="20">
        <v>88.342763197739302</v>
      </c>
      <c r="P109" s="19">
        <v>6.1030465344986701E-3</v>
      </c>
      <c r="Q109" s="20">
        <v>64.080337947813803</v>
      </c>
      <c r="R109" s="19">
        <v>-2.3647909627560401E-2</v>
      </c>
      <c r="S109" s="20">
        <v>162.06495308412599</v>
      </c>
      <c r="T109" s="19">
        <v>-3.7227147549018201E-3</v>
      </c>
      <c r="U109" s="20">
        <v>82.002251694385606</v>
      </c>
      <c r="V109" s="19">
        <v>3.8028028702516998E-3</v>
      </c>
      <c r="W109" s="20">
        <v>106.571955626568</v>
      </c>
      <c r="X109" s="19">
        <v>2.7680357986914501E-3</v>
      </c>
      <c r="Y109" s="20">
        <v>119.92058654821101</v>
      </c>
      <c r="Z109" s="19">
        <v>2.3967640151136799E-3</v>
      </c>
      <c r="AA109" s="20">
        <v>72.2015113621583</v>
      </c>
      <c r="AB109" s="19">
        <v>-8.1037995559905002E-3</v>
      </c>
      <c r="AC109" s="20">
        <v>82.282083220645404</v>
      </c>
      <c r="AD109" s="19">
        <v>3.8006436586877101E-3</v>
      </c>
      <c r="AE109" s="20">
        <v>101.615898018839</v>
      </c>
      <c r="AF109" s="19">
        <v>1.90173394217386E-3</v>
      </c>
      <c r="AG109" s="20">
        <v>126.30096341445299</v>
      </c>
      <c r="AH109" s="19">
        <v>-1.51573676597642E-2</v>
      </c>
      <c r="AI109" s="20">
        <v>135.41770550360201</v>
      </c>
      <c r="AJ109" s="19">
        <v>-9.8274909217361799E-3</v>
      </c>
      <c r="AK109" s="20">
        <v>130.87545851813601</v>
      </c>
      <c r="AL109" s="19">
        <v>-2.4150380416967002E-2</v>
      </c>
      <c r="AM109" s="20">
        <v>75.614731386904296</v>
      </c>
      <c r="AN109" s="19">
        <v>5.3939637755597803E-3</v>
      </c>
      <c r="AO109" s="20">
        <v>84.039478797967107</v>
      </c>
      <c r="AP109" s="19">
        <v>2.5903345674924698E-3</v>
      </c>
      <c r="AQ109" s="20">
        <v>75.260877935980901</v>
      </c>
      <c r="AR109" s="19">
        <v>-6.0688073049437498E-3</v>
      </c>
      <c r="AS109" s="20">
        <v>91.048526240984799</v>
      </c>
      <c r="AT109" s="19">
        <v>5.7858751818256103E-3</v>
      </c>
      <c r="AU109" s="20">
        <v>73.172840725076895</v>
      </c>
      <c r="AV109" s="19">
        <v>4.0405436898787199E-3</v>
      </c>
      <c r="AW109" s="20">
        <v>75.940183845080199</v>
      </c>
      <c r="AX109" s="19">
        <v>5.98628984786043E-3</v>
      </c>
      <c r="AY109" s="20">
        <v>91.463912008049405</v>
      </c>
      <c r="AZ109" s="19">
        <v>2.50098660378195E-3</v>
      </c>
      <c r="BA109" s="20">
        <v>116.704196894744</v>
      </c>
      <c r="BB109" s="19">
        <v>5.5975119115259098E-4</v>
      </c>
      <c r="BC109" s="20">
        <v>106.060755179211</v>
      </c>
      <c r="BD109" s="19">
        <v>8.4281097154681505E-4</v>
      </c>
      <c r="BE109" s="20">
        <v>90.528090452552306</v>
      </c>
      <c r="BF109" s="19">
        <v>1.37881729686162E-3</v>
      </c>
      <c r="BG109" s="20"/>
      <c r="BH109" s="19"/>
    </row>
    <row r="110" spans="1:60" x14ac:dyDescent="0.15">
      <c r="A110" s="17">
        <v>2004</v>
      </c>
      <c r="B110" s="17">
        <v>3</v>
      </c>
      <c r="C110" s="20">
        <v>95.076017823568804</v>
      </c>
      <c r="D110" s="19">
        <v>1.1204483022369E-3</v>
      </c>
      <c r="E110" s="20">
        <v>94.428789072171696</v>
      </c>
      <c r="F110" s="19">
        <v>1.7506160573166299E-3</v>
      </c>
      <c r="G110" s="20">
        <v>95.425132442564703</v>
      </c>
      <c r="H110" s="19">
        <v>-4.0125176268402701E-2</v>
      </c>
      <c r="I110" s="20">
        <v>75.051727465394904</v>
      </c>
      <c r="J110" s="19">
        <v>-7.3641627099190199E-3</v>
      </c>
      <c r="K110" s="20">
        <v>107.753963200787</v>
      </c>
      <c r="L110" s="19">
        <v>3.3008345148917199E-3</v>
      </c>
      <c r="M110" s="20">
        <v>168.09712051965101</v>
      </c>
      <c r="N110" s="19">
        <v>1.19596998424119E-2</v>
      </c>
      <c r="O110" s="20">
        <v>88.376890988796603</v>
      </c>
      <c r="P110" s="19">
        <v>3.8631111165266001E-4</v>
      </c>
      <c r="Q110" s="20">
        <v>64.758270708708693</v>
      </c>
      <c r="R110" s="19">
        <v>1.0579419250987199E-2</v>
      </c>
      <c r="S110" s="20">
        <v>168.12741577629899</v>
      </c>
      <c r="T110" s="19">
        <v>3.7407610817781198E-2</v>
      </c>
      <c r="U110" s="20">
        <v>82.964504665481698</v>
      </c>
      <c r="V110" s="19">
        <v>1.17344701055571E-2</v>
      </c>
      <c r="W110" s="20">
        <v>106.829870022772</v>
      </c>
      <c r="X110" s="19">
        <v>2.4200963066518498E-3</v>
      </c>
      <c r="Y110" s="20">
        <v>119.670319870863</v>
      </c>
      <c r="Z110" s="19">
        <v>-2.0869367349748398E-3</v>
      </c>
      <c r="AA110" s="20">
        <v>72.340425842682095</v>
      </c>
      <c r="AB110" s="19">
        <v>1.92398300122831E-3</v>
      </c>
      <c r="AC110" s="20">
        <v>82.482812192288307</v>
      </c>
      <c r="AD110" s="19">
        <v>2.43952223602051E-3</v>
      </c>
      <c r="AE110" s="20">
        <v>100.96048394873399</v>
      </c>
      <c r="AF110" s="19">
        <v>-6.4499166260734197E-3</v>
      </c>
      <c r="AG110" s="20">
        <v>124.72818468523199</v>
      </c>
      <c r="AH110" s="19">
        <v>-1.2452626541416999E-2</v>
      </c>
      <c r="AI110" s="20">
        <v>134.02576694189401</v>
      </c>
      <c r="AJ110" s="19">
        <v>-1.02788520639249E-2</v>
      </c>
      <c r="AK110" s="20">
        <v>128.402274155025</v>
      </c>
      <c r="AL110" s="19">
        <v>-1.8897235517757901E-2</v>
      </c>
      <c r="AM110" s="20">
        <v>76.278180529086498</v>
      </c>
      <c r="AN110" s="19">
        <v>8.7740725915890199E-3</v>
      </c>
      <c r="AO110" s="20">
        <v>84.334534806381299</v>
      </c>
      <c r="AP110" s="19">
        <v>3.5109214459023699E-3</v>
      </c>
      <c r="AQ110" s="20">
        <v>75.049613534216803</v>
      </c>
      <c r="AR110" s="19">
        <v>-2.80709456968797E-3</v>
      </c>
      <c r="AS110" s="20">
        <v>91.287785123945199</v>
      </c>
      <c r="AT110" s="19">
        <v>2.6278171963727299E-3</v>
      </c>
      <c r="AU110" s="20">
        <v>73.729277412019897</v>
      </c>
      <c r="AV110" s="19">
        <v>7.6044155376395802E-3</v>
      </c>
      <c r="AW110" s="20">
        <v>76.141262194230094</v>
      </c>
      <c r="AX110" s="19">
        <v>2.64785175606286E-3</v>
      </c>
      <c r="AY110" s="20">
        <v>91.392737898359599</v>
      </c>
      <c r="AZ110" s="19">
        <v>-7.7816603431068998E-4</v>
      </c>
      <c r="BA110" s="20">
        <v>114.962142541529</v>
      </c>
      <c r="BB110" s="19">
        <v>-1.49270925945078E-2</v>
      </c>
      <c r="BC110" s="20">
        <v>105.173252613771</v>
      </c>
      <c r="BD110" s="19">
        <v>-8.3678695662778892E-3</v>
      </c>
      <c r="BE110" s="20">
        <v>90.837691378541393</v>
      </c>
      <c r="BF110" s="19">
        <v>3.41994318494354E-3</v>
      </c>
      <c r="BG110" s="20"/>
      <c r="BH110" s="19"/>
    </row>
    <row r="111" spans="1:60" x14ac:dyDescent="0.15">
      <c r="A111" s="17">
        <v>2004</v>
      </c>
      <c r="B111" s="17">
        <v>4</v>
      </c>
      <c r="C111" s="20">
        <v>95.366245965928798</v>
      </c>
      <c r="D111" s="19">
        <v>3.05259043241213E-3</v>
      </c>
      <c r="E111" s="20">
        <v>94.661088718278094</v>
      </c>
      <c r="F111" s="19">
        <v>2.4600510965873102E-3</v>
      </c>
      <c r="G111" s="20">
        <v>94.560031391149906</v>
      </c>
      <c r="H111" s="19">
        <v>-9.0657568847023508E-3</v>
      </c>
      <c r="I111" s="20">
        <v>75.784013077823204</v>
      </c>
      <c r="J111" s="19">
        <v>9.7570787130247805E-3</v>
      </c>
      <c r="K111" s="20">
        <v>108.00376108005599</v>
      </c>
      <c r="L111" s="19">
        <v>2.31822451674546E-3</v>
      </c>
      <c r="M111" s="20">
        <v>166.682169592207</v>
      </c>
      <c r="N111" s="19">
        <v>-8.41746082901129E-3</v>
      </c>
      <c r="O111" s="20">
        <v>88.913708744188995</v>
      </c>
      <c r="P111" s="19">
        <v>6.0741869213340998E-3</v>
      </c>
      <c r="Q111" s="20">
        <v>65.281260244953302</v>
      </c>
      <c r="R111" s="19">
        <v>8.0760269000548206E-3</v>
      </c>
      <c r="S111" s="20">
        <v>181.40853327927101</v>
      </c>
      <c r="T111" s="19">
        <v>7.8994359377073706E-2</v>
      </c>
      <c r="U111" s="20">
        <v>83.333201785659199</v>
      </c>
      <c r="V111" s="19">
        <v>4.4440344899798799E-3</v>
      </c>
      <c r="W111" s="20">
        <v>107.10740905323</v>
      </c>
      <c r="X111" s="19">
        <v>2.5979534600109001E-3</v>
      </c>
      <c r="Y111" s="20">
        <v>119.616522927315</v>
      </c>
      <c r="Z111" s="19">
        <v>-4.4954290760557098E-4</v>
      </c>
      <c r="AA111" s="20">
        <v>72.606499890011307</v>
      </c>
      <c r="AB111" s="19">
        <v>3.6780824031623599E-3</v>
      </c>
      <c r="AC111" s="20">
        <v>82.6080053000926</v>
      </c>
      <c r="AD111" s="19">
        <v>1.5178084315612399E-3</v>
      </c>
      <c r="AE111" s="20">
        <v>101.625669622761</v>
      </c>
      <c r="AF111" s="19">
        <v>6.5885745393681203E-3</v>
      </c>
      <c r="AG111" s="20">
        <v>123.562977766562</v>
      </c>
      <c r="AH111" s="19">
        <v>-9.3419696727788902E-3</v>
      </c>
      <c r="AI111" s="20">
        <v>132.82571391882601</v>
      </c>
      <c r="AJ111" s="19">
        <v>-8.9538978246477292E-3</v>
      </c>
      <c r="AK111" s="20">
        <v>126.445525998215</v>
      </c>
      <c r="AL111" s="19">
        <v>-1.52392017173096E-2</v>
      </c>
      <c r="AM111" s="20">
        <v>76.902652345951495</v>
      </c>
      <c r="AN111" s="19">
        <v>8.18676864777634E-3</v>
      </c>
      <c r="AO111" s="20">
        <v>84.553907151455604</v>
      </c>
      <c r="AP111" s="19">
        <v>2.6012160448609699E-3</v>
      </c>
      <c r="AQ111" s="20">
        <v>74.773527232649499</v>
      </c>
      <c r="AR111" s="19">
        <v>-3.67871716543144E-3</v>
      </c>
      <c r="AS111" s="20">
        <v>91.546073653676501</v>
      </c>
      <c r="AT111" s="19">
        <v>2.8293876270586399E-3</v>
      </c>
      <c r="AU111" s="20">
        <v>73.949287068396998</v>
      </c>
      <c r="AV111" s="19">
        <v>2.98402024405608E-3</v>
      </c>
      <c r="AW111" s="20">
        <v>76.455262366143501</v>
      </c>
      <c r="AX111" s="19">
        <v>4.12391603270801E-3</v>
      </c>
      <c r="AY111" s="20">
        <v>91.692776261404802</v>
      </c>
      <c r="AZ111" s="19">
        <v>3.2829562823568602E-3</v>
      </c>
      <c r="BA111" s="20">
        <v>117.07506649161201</v>
      </c>
      <c r="BB111" s="19">
        <v>1.83793021195626E-2</v>
      </c>
      <c r="BC111" s="20">
        <v>106.61603366457901</v>
      </c>
      <c r="BD111" s="19">
        <v>1.37181366455026E-2</v>
      </c>
      <c r="BE111" s="20">
        <v>91.335433593043305</v>
      </c>
      <c r="BF111" s="19">
        <v>5.4794679053180601E-3</v>
      </c>
      <c r="BG111" s="20"/>
      <c r="BH111" s="19"/>
    </row>
    <row r="112" spans="1:60" x14ac:dyDescent="0.15">
      <c r="A112" s="17">
        <v>2005</v>
      </c>
      <c r="B112" s="17">
        <v>1</v>
      </c>
      <c r="C112" s="20">
        <v>95.524370864058199</v>
      </c>
      <c r="D112" s="19">
        <v>1.6580803462253901E-3</v>
      </c>
      <c r="E112" s="20">
        <v>94.901144348962504</v>
      </c>
      <c r="F112" s="19">
        <v>2.5359483388025499E-3</v>
      </c>
      <c r="G112" s="20">
        <v>93.799497434183394</v>
      </c>
      <c r="H112" s="19">
        <v>-8.0428691253348096E-3</v>
      </c>
      <c r="I112" s="20">
        <v>76.542290485554105</v>
      </c>
      <c r="J112" s="19">
        <v>1.00057700421883E-2</v>
      </c>
      <c r="K112" s="20">
        <v>107.89350064894499</v>
      </c>
      <c r="L112" s="19">
        <v>-1.02089436523578E-3</v>
      </c>
      <c r="M112" s="20">
        <v>164.44115046248999</v>
      </c>
      <c r="N112" s="19">
        <v>-1.34448641699357E-2</v>
      </c>
      <c r="O112" s="20">
        <v>89.218509064539504</v>
      </c>
      <c r="P112" s="19">
        <v>3.42804641326366E-3</v>
      </c>
      <c r="Q112" s="20">
        <v>66.463259525301496</v>
      </c>
      <c r="R112" s="19">
        <v>1.8106257077652201E-2</v>
      </c>
      <c r="S112" s="20">
        <v>159.71291825637499</v>
      </c>
      <c r="T112" s="19">
        <v>-0.119595338933127</v>
      </c>
      <c r="U112" s="20">
        <v>83.359724168998895</v>
      </c>
      <c r="V112" s="19">
        <v>3.1826910248700102E-4</v>
      </c>
      <c r="W112" s="20">
        <v>107.66502409927099</v>
      </c>
      <c r="X112" s="19">
        <v>5.2061295382781498E-3</v>
      </c>
      <c r="Y112" s="20">
        <v>119.469242745082</v>
      </c>
      <c r="Z112" s="19">
        <v>-1.23126954895503E-3</v>
      </c>
      <c r="AA112" s="20">
        <v>74.827470169794594</v>
      </c>
      <c r="AB112" s="19">
        <v>3.0589138481371202E-2</v>
      </c>
      <c r="AC112" s="20">
        <v>82.410805793426903</v>
      </c>
      <c r="AD112" s="19">
        <v>-2.3871718721369898E-3</v>
      </c>
      <c r="AE112" s="20">
        <v>101.675060193861</v>
      </c>
      <c r="AF112" s="19">
        <v>4.8600487734162801E-4</v>
      </c>
      <c r="AG112" s="20">
        <v>123.535453667998</v>
      </c>
      <c r="AH112" s="19">
        <v>-2.2275360355727999E-4</v>
      </c>
      <c r="AI112" s="20">
        <v>133.33944627404301</v>
      </c>
      <c r="AJ112" s="19">
        <v>3.8677176283101701E-3</v>
      </c>
      <c r="AK112" s="20">
        <v>124.817685138656</v>
      </c>
      <c r="AL112" s="19">
        <v>-1.2873850986094599E-2</v>
      </c>
      <c r="AM112" s="20">
        <v>77.202909882137106</v>
      </c>
      <c r="AN112" s="19">
        <v>3.9043846606867699E-3</v>
      </c>
      <c r="AO112" s="20">
        <v>84.812243619905502</v>
      </c>
      <c r="AP112" s="19">
        <v>3.0552871789491002E-3</v>
      </c>
      <c r="AQ112" s="20">
        <v>75.048985299794694</v>
      </c>
      <c r="AR112" s="19">
        <v>3.6838982637286098E-3</v>
      </c>
      <c r="AS112" s="20">
        <v>91.917294454363102</v>
      </c>
      <c r="AT112" s="19">
        <v>4.0550160795640401E-3</v>
      </c>
      <c r="AU112" s="20">
        <v>74.408411549577394</v>
      </c>
      <c r="AV112" s="19">
        <v>6.2086397229994504E-3</v>
      </c>
      <c r="AW112" s="20">
        <v>76.839899830488406</v>
      </c>
      <c r="AX112" s="19">
        <v>5.0308827991831801E-3</v>
      </c>
      <c r="AY112" s="20">
        <v>91.437934912432098</v>
      </c>
      <c r="AZ112" s="19">
        <v>-2.7792958111133598E-3</v>
      </c>
      <c r="BA112" s="20">
        <v>114.652425236871</v>
      </c>
      <c r="BB112" s="19">
        <v>-2.06930589692602E-2</v>
      </c>
      <c r="BC112" s="20">
        <v>105.470797367568</v>
      </c>
      <c r="BD112" s="19">
        <v>-1.07416891967076E-2</v>
      </c>
      <c r="BE112" s="20">
        <v>91.995177737205495</v>
      </c>
      <c r="BF112" s="19">
        <v>7.2233099270293498E-3</v>
      </c>
      <c r="BG112" s="20"/>
      <c r="BH112" s="19"/>
    </row>
    <row r="113" spans="1:60" x14ac:dyDescent="0.15">
      <c r="A113" s="17">
        <v>2005</v>
      </c>
      <c r="B113" s="17">
        <v>2</v>
      </c>
      <c r="C113" s="20">
        <v>95.639752408619003</v>
      </c>
      <c r="D113" s="19">
        <v>1.2078754721653901E-3</v>
      </c>
      <c r="E113" s="20">
        <v>95.075551081236</v>
      </c>
      <c r="F113" s="19">
        <v>1.83777269989704E-3</v>
      </c>
      <c r="G113" s="20">
        <v>92.620685335786703</v>
      </c>
      <c r="H113" s="19">
        <v>-1.2567360493842401E-2</v>
      </c>
      <c r="I113" s="20">
        <v>77.898634902812205</v>
      </c>
      <c r="J113" s="19">
        <v>1.7720196360129201E-2</v>
      </c>
      <c r="K113" s="20">
        <v>107.67336929367001</v>
      </c>
      <c r="L113" s="19">
        <v>-2.0402652055177E-3</v>
      </c>
      <c r="M113" s="20">
        <v>163.908929302752</v>
      </c>
      <c r="N113" s="19">
        <v>-3.2365448565704301E-3</v>
      </c>
      <c r="O113" s="20">
        <v>89.052013033499904</v>
      </c>
      <c r="P113" s="19">
        <v>-1.8661602035861E-3</v>
      </c>
      <c r="Q113" s="20">
        <v>65.465070618308104</v>
      </c>
      <c r="R113" s="19">
        <v>-1.501865713663E-2</v>
      </c>
      <c r="S113" s="20">
        <v>139.28963631792601</v>
      </c>
      <c r="T113" s="19">
        <v>-0.12787495314352401</v>
      </c>
      <c r="U113" s="20">
        <v>83.857713244758301</v>
      </c>
      <c r="V113" s="19">
        <v>5.9739770101656696E-3</v>
      </c>
      <c r="W113" s="20">
        <v>108.728476830971</v>
      </c>
      <c r="X113" s="19">
        <v>9.8774206442313606E-3</v>
      </c>
      <c r="Y113" s="20">
        <v>119.297199525716</v>
      </c>
      <c r="Z113" s="19">
        <v>-1.4400628598016899E-3</v>
      </c>
      <c r="AA113" s="20">
        <v>75.165652220812305</v>
      </c>
      <c r="AB113" s="19">
        <v>4.5194906396059898E-3</v>
      </c>
      <c r="AC113" s="20">
        <v>82.781486869363306</v>
      </c>
      <c r="AD113" s="19">
        <v>4.4979668912064098E-3</v>
      </c>
      <c r="AE113" s="20">
        <v>101.22914952538299</v>
      </c>
      <c r="AF113" s="19">
        <v>-4.38564449952095E-3</v>
      </c>
      <c r="AG113" s="20">
        <v>124.119509825737</v>
      </c>
      <c r="AH113" s="19">
        <v>4.7278424160608302E-3</v>
      </c>
      <c r="AI113" s="20">
        <v>134.505813478249</v>
      </c>
      <c r="AJ113" s="19">
        <v>8.7473529911719101E-3</v>
      </c>
      <c r="AK113" s="20">
        <v>124.27917855711399</v>
      </c>
      <c r="AL113" s="19">
        <v>-4.3143452063205698E-3</v>
      </c>
      <c r="AM113" s="20">
        <v>77.409719752780305</v>
      </c>
      <c r="AN113" s="19">
        <v>2.67878336398031E-3</v>
      </c>
      <c r="AO113" s="20">
        <v>85.035736912154604</v>
      </c>
      <c r="AP113" s="19">
        <v>2.6351536371409501E-3</v>
      </c>
      <c r="AQ113" s="20">
        <v>75.458790952590903</v>
      </c>
      <c r="AR113" s="19">
        <v>5.4605089084038801E-3</v>
      </c>
      <c r="AS113" s="20">
        <v>92.020977701087403</v>
      </c>
      <c r="AT113" s="19">
        <v>1.1280058593949899E-3</v>
      </c>
      <c r="AU113" s="20">
        <v>74.676742746307198</v>
      </c>
      <c r="AV113" s="19">
        <v>3.6061943957907999E-3</v>
      </c>
      <c r="AW113" s="20">
        <v>77.191257935038095</v>
      </c>
      <c r="AX113" s="19">
        <v>4.5725997213019696E-3</v>
      </c>
      <c r="AY113" s="20">
        <v>91.618574019599905</v>
      </c>
      <c r="AZ113" s="19">
        <v>1.9755379136761099E-3</v>
      </c>
      <c r="BA113" s="20">
        <v>112.911783242966</v>
      </c>
      <c r="BB113" s="19">
        <v>-1.5181902958519599E-2</v>
      </c>
      <c r="BC113" s="20">
        <v>104.687471854419</v>
      </c>
      <c r="BD113" s="19">
        <v>-7.42694217451134E-3</v>
      </c>
      <c r="BE113" s="20">
        <v>92.595058917290302</v>
      </c>
      <c r="BF113" s="19">
        <v>6.5207894026619896E-3</v>
      </c>
      <c r="BG113" s="20"/>
      <c r="BH113" s="19"/>
    </row>
    <row r="114" spans="1:60" x14ac:dyDescent="0.15">
      <c r="A114" s="17">
        <v>2005</v>
      </c>
      <c r="B114" s="17">
        <v>3</v>
      </c>
      <c r="C114" s="20">
        <v>96.146829704870498</v>
      </c>
      <c r="D114" s="19">
        <v>5.3019511602774303E-3</v>
      </c>
      <c r="E114" s="20">
        <v>95.5415087445772</v>
      </c>
      <c r="F114" s="19">
        <v>4.9009199320135801E-3</v>
      </c>
      <c r="G114" s="20">
        <v>91.359429535096197</v>
      </c>
      <c r="H114" s="19">
        <v>-1.36174310967139E-2</v>
      </c>
      <c r="I114" s="20">
        <v>77.273183397708394</v>
      </c>
      <c r="J114" s="19">
        <v>-8.0290432031847603E-3</v>
      </c>
      <c r="K114" s="20">
        <v>108.38884881982</v>
      </c>
      <c r="L114" s="19">
        <v>6.6449070075891301E-3</v>
      </c>
      <c r="M114" s="20">
        <v>167.96003241682999</v>
      </c>
      <c r="N114" s="19">
        <v>2.4715573039925599E-2</v>
      </c>
      <c r="O114" s="20">
        <v>89.102117383254594</v>
      </c>
      <c r="P114" s="19">
        <v>5.6264140526285399E-4</v>
      </c>
      <c r="Q114" s="20">
        <v>61.726828445620903</v>
      </c>
      <c r="R114" s="19">
        <v>-5.7102850991834903E-2</v>
      </c>
      <c r="S114" s="20">
        <v>156.23034359158299</v>
      </c>
      <c r="T114" s="19">
        <v>0.121622166023828</v>
      </c>
      <c r="U114" s="20">
        <v>84.159790151063405</v>
      </c>
      <c r="V114" s="19">
        <v>3.6022554708048399E-3</v>
      </c>
      <c r="W114" s="20">
        <v>110.359904807821</v>
      </c>
      <c r="X114" s="19">
        <v>1.50046061933391E-2</v>
      </c>
      <c r="Y114" s="20">
        <v>119.167165806211</v>
      </c>
      <c r="Z114" s="19">
        <v>-1.08999808899857E-3</v>
      </c>
      <c r="AA114" s="20">
        <v>75.460287712418904</v>
      </c>
      <c r="AB114" s="19">
        <v>3.9198155394304397E-3</v>
      </c>
      <c r="AC114" s="20">
        <v>83.224696837851695</v>
      </c>
      <c r="AD114" s="19">
        <v>5.3539744845096902E-3</v>
      </c>
      <c r="AE114" s="20">
        <v>98.767751378147395</v>
      </c>
      <c r="AF114" s="19">
        <v>-2.4315112383896699E-2</v>
      </c>
      <c r="AG114" s="20">
        <v>125.25685934430101</v>
      </c>
      <c r="AH114" s="19">
        <v>9.1633420093351105E-3</v>
      </c>
      <c r="AI114" s="20">
        <v>136.055639921015</v>
      </c>
      <c r="AJ114" s="19">
        <v>1.15223751500961E-2</v>
      </c>
      <c r="AK114" s="20">
        <v>124.81062242012101</v>
      </c>
      <c r="AL114" s="19">
        <v>4.2762099748108202E-3</v>
      </c>
      <c r="AM114" s="20">
        <v>77.770083301789299</v>
      </c>
      <c r="AN114" s="19">
        <v>4.65527520523157E-3</v>
      </c>
      <c r="AO114" s="20">
        <v>85.328049673580296</v>
      </c>
      <c r="AP114" s="19">
        <v>3.4375284091168199E-3</v>
      </c>
      <c r="AQ114" s="20">
        <v>75.701915982977795</v>
      </c>
      <c r="AR114" s="19">
        <v>3.2219576714342898E-3</v>
      </c>
      <c r="AS114" s="20">
        <v>92.145388560684907</v>
      </c>
      <c r="AT114" s="19">
        <v>1.3519836748703299E-3</v>
      </c>
      <c r="AU114" s="20">
        <v>75.174110185489297</v>
      </c>
      <c r="AV114" s="19">
        <v>6.6602722734139296E-3</v>
      </c>
      <c r="AW114" s="20">
        <v>77.493340046766207</v>
      </c>
      <c r="AX114" s="19">
        <v>3.9134238747904303E-3</v>
      </c>
      <c r="AY114" s="20">
        <v>91.863893964934505</v>
      </c>
      <c r="AZ114" s="19">
        <v>2.67762239218139E-3</v>
      </c>
      <c r="BA114" s="20">
        <v>114.715654329876</v>
      </c>
      <c r="BB114" s="19">
        <v>1.5975933025771601E-2</v>
      </c>
      <c r="BC114" s="20">
        <v>105.946936128456</v>
      </c>
      <c r="BD114" s="19">
        <v>1.20307067476839E-2</v>
      </c>
      <c r="BE114" s="20">
        <v>93.0934068799356</v>
      </c>
      <c r="BF114" s="19">
        <v>5.3820146395764396E-3</v>
      </c>
      <c r="BG114" s="20"/>
      <c r="BH114" s="19"/>
    </row>
    <row r="115" spans="1:60" x14ac:dyDescent="0.15">
      <c r="A115" s="17">
        <v>2005</v>
      </c>
      <c r="B115" s="17">
        <v>4</v>
      </c>
      <c r="C115" s="20">
        <v>96.696663924847002</v>
      </c>
      <c r="D115" s="19">
        <v>5.7186931869128701E-3</v>
      </c>
      <c r="E115" s="20">
        <v>96.110844528569501</v>
      </c>
      <c r="F115" s="19">
        <v>5.9590411693664098E-3</v>
      </c>
      <c r="G115" s="20">
        <v>90.435553747180194</v>
      </c>
      <c r="H115" s="19">
        <v>-1.01125389313113E-2</v>
      </c>
      <c r="I115" s="20">
        <v>78.610479452526306</v>
      </c>
      <c r="J115" s="19">
        <v>1.7306082084584999E-2</v>
      </c>
      <c r="K115" s="20">
        <v>108.81635528389999</v>
      </c>
      <c r="L115" s="19">
        <v>3.9441923106955396E-3</v>
      </c>
      <c r="M115" s="20">
        <v>167.95236364258</v>
      </c>
      <c r="N115" s="19">
        <v>-4.56583279929701E-5</v>
      </c>
      <c r="O115" s="20">
        <v>89.582611192753404</v>
      </c>
      <c r="P115" s="19">
        <v>5.39261943049119E-3</v>
      </c>
      <c r="Q115" s="20">
        <v>60.727604717796901</v>
      </c>
      <c r="R115" s="19">
        <v>-1.61878352247493E-2</v>
      </c>
      <c r="S115" s="20">
        <v>158.73953703608299</v>
      </c>
      <c r="T115" s="19">
        <v>1.6060858517086499E-2</v>
      </c>
      <c r="U115" s="20">
        <v>84.706821814216298</v>
      </c>
      <c r="V115" s="19">
        <v>6.4999171477377899E-3</v>
      </c>
      <c r="W115" s="20">
        <v>111.98520066675999</v>
      </c>
      <c r="X115" s="19">
        <v>1.47272314321858E-2</v>
      </c>
      <c r="Y115" s="20">
        <v>119.148536081155</v>
      </c>
      <c r="Z115" s="19">
        <v>-1.5633270229686901E-4</v>
      </c>
      <c r="AA115" s="20">
        <v>75.801114528763705</v>
      </c>
      <c r="AB115" s="19">
        <v>4.5166381772048202E-3</v>
      </c>
      <c r="AC115" s="20">
        <v>83.724369669131605</v>
      </c>
      <c r="AD115" s="19">
        <v>6.0039008883798796E-3</v>
      </c>
      <c r="AE115" s="20">
        <v>98.7328272606415</v>
      </c>
      <c r="AF115" s="19">
        <v>-3.5359838630166801E-4</v>
      </c>
      <c r="AG115" s="20">
        <v>126.242555824657</v>
      </c>
      <c r="AH115" s="19">
        <v>7.86940120897461E-3</v>
      </c>
      <c r="AI115" s="20">
        <v>136.664695064488</v>
      </c>
      <c r="AJ115" s="19">
        <v>4.4765152244095104E-3</v>
      </c>
      <c r="AK115" s="20">
        <v>126.519309306731</v>
      </c>
      <c r="AL115" s="19">
        <v>1.36902360830979E-2</v>
      </c>
      <c r="AM115" s="20">
        <v>78.295962121924603</v>
      </c>
      <c r="AN115" s="19">
        <v>6.7619680706083596E-3</v>
      </c>
      <c r="AO115" s="20">
        <v>85.542259294691803</v>
      </c>
      <c r="AP115" s="19">
        <v>2.5104244375788701E-3</v>
      </c>
      <c r="AQ115" s="20">
        <v>75.979467612929199</v>
      </c>
      <c r="AR115" s="19">
        <v>3.6663752343306698E-3</v>
      </c>
      <c r="AS115" s="20">
        <v>92.351951248290106</v>
      </c>
      <c r="AT115" s="19">
        <v>2.2417040161404299E-3</v>
      </c>
      <c r="AU115" s="20">
        <v>75.394954995603598</v>
      </c>
      <c r="AV115" s="19">
        <v>2.9377775083654399E-3</v>
      </c>
      <c r="AW115" s="20">
        <v>77.731070105205504</v>
      </c>
      <c r="AX115" s="19">
        <v>3.0677482516019402E-3</v>
      </c>
      <c r="AY115" s="20">
        <v>92.023903239402401</v>
      </c>
      <c r="AZ115" s="19">
        <v>1.74180809850011E-3</v>
      </c>
      <c r="BA115" s="20">
        <v>114.695420180518</v>
      </c>
      <c r="BB115" s="19">
        <v>-1.7638524990803999E-4</v>
      </c>
      <c r="BC115" s="20">
        <v>106.05921446584701</v>
      </c>
      <c r="BD115" s="19">
        <v>1.05976011665843E-3</v>
      </c>
      <c r="BE115" s="20">
        <v>93.468462276595105</v>
      </c>
      <c r="BF115" s="19">
        <v>4.02880729398181E-3</v>
      </c>
      <c r="BG115" s="20"/>
      <c r="BH115" s="19"/>
    </row>
    <row r="116" spans="1:60" x14ac:dyDescent="0.15">
      <c r="A116" s="17">
        <v>2006</v>
      </c>
      <c r="B116" s="17">
        <v>1</v>
      </c>
      <c r="C116" s="20">
        <v>97.315326705812396</v>
      </c>
      <c r="D116" s="19">
        <v>6.3979744062965197E-3</v>
      </c>
      <c r="E116" s="20">
        <v>96.744438075367498</v>
      </c>
      <c r="F116" s="19">
        <v>6.5923210841172296E-3</v>
      </c>
      <c r="G116" s="20">
        <v>92.685760445822794</v>
      </c>
      <c r="H116" s="19">
        <v>2.4881881134196399E-2</v>
      </c>
      <c r="I116" s="20">
        <v>79.807559023435402</v>
      </c>
      <c r="J116" s="19">
        <v>1.5227989693562099E-2</v>
      </c>
      <c r="K116" s="20">
        <v>109.08947702258401</v>
      </c>
      <c r="L116" s="19">
        <v>2.5099327943056702E-3</v>
      </c>
      <c r="M116" s="20">
        <v>165.99401538217501</v>
      </c>
      <c r="N116" s="19">
        <v>-1.16601411134206E-2</v>
      </c>
      <c r="O116" s="20">
        <v>90.255222697836203</v>
      </c>
      <c r="P116" s="19">
        <v>7.5082819771292702E-3</v>
      </c>
      <c r="Q116" s="20">
        <v>64.921198780381204</v>
      </c>
      <c r="R116" s="19">
        <v>6.9055812131436897E-2</v>
      </c>
      <c r="S116" s="20">
        <v>156.215931602078</v>
      </c>
      <c r="T116" s="19">
        <v>-1.5897774940792499E-2</v>
      </c>
      <c r="U116" s="20">
        <v>85.483453463845905</v>
      </c>
      <c r="V116" s="19">
        <v>9.1684663997073593E-3</v>
      </c>
      <c r="W116" s="20">
        <v>113.301910866215</v>
      </c>
      <c r="X116" s="19">
        <v>1.17578947183719E-2</v>
      </c>
      <c r="Y116" s="20">
        <v>119.477929464095</v>
      </c>
      <c r="Z116" s="19">
        <v>2.7645608899094002E-3</v>
      </c>
      <c r="AA116" s="20">
        <v>75.560502337705501</v>
      </c>
      <c r="AB116" s="19">
        <v>-3.1742566392851698E-3</v>
      </c>
      <c r="AC116" s="20">
        <v>84.096994283337096</v>
      </c>
      <c r="AD116" s="19">
        <v>4.45061116229484E-3</v>
      </c>
      <c r="AE116" s="20">
        <v>98.441967117585307</v>
      </c>
      <c r="AF116" s="19">
        <v>-2.9459314710832398E-3</v>
      </c>
      <c r="AG116" s="20">
        <v>127.010907367242</v>
      </c>
      <c r="AH116" s="19">
        <v>6.0863116844043202E-3</v>
      </c>
      <c r="AI116" s="20">
        <v>136.35928254786799</v>
      </c>
      <c r="AJ116" s="19">
        <v>-2.2347579707812102E-3</v>
      </c>
      <c r="AK116" s="20">
        <v>129.65191581955301</v>
      </c>
      <c r="AL116" s="19">
        <v>2.4759908428111401E-2</v>
      </c>
      <c r="AM116" s="20">
        <v>79.018116466592403</v>
      </c>
      <c r="AN116" s="19">
        <v>9.2233919233699595E-3</v>
      </c>
      <c r="AO116" s="20">
        <v>85.781064749506797</v>
      </c>
      <c r="AP116" s="19">
        <v>2.7916664439773301E-3</v>
      </c>
      <c r="AQ116" s="20">
        <v>76.299449523389697</v>
      </c>
      <c r="AR116" s="19">
        <v>4.21142606698188E-3</v>
      </c>
      <c r="AS116" s="20">
        <v>92.527986587801706</v>
      </c>
      <c r="AT116" s="19">
        <v>1.9061355730136699E-3</v>
      </c>
      <c r="AU116" s="20">
        <v>75.507636020820101</v>
      </c>
      <c r="AV116" s="19">
        <v>1.4945433049608999E-3</v>
      </c>
      <c r="AW116" s="20">
        <v>78.038033201120797</v>
      </c>
      <c r="AX116" s="19">
        <v>3.9490398819916903E-3</v>
      </c>
      <c r="AY116" s="20">
        <v>92.322031269286299</v>
      </c>
      <c r="AZ116" s="19">
        <v>3.2396803372749501E-3</v>
      </c>
      <c r="BA116" s="20">
        <v>114.827306288184</v>
      </c>
      <c r="BB116" s="19">
        <v>1.1498812023857899E-3</v>
      </c>
      <c r="BC116" s="20">
        <v>106.26105552434601</v>
      </c>
      <c r="BD116" s="19">
        <v>1.90309780734044E-3</v>
      </c>
      <c r="BE116" s="20">
        <v>93.713083360203399</v>
      </c>
      <c r="BF116" s="19">
        <v>2.6171510437866799E-3</v>
      </c>
      <c r="BG116" s="20"/>
      <c r="BH116" s="19"/>
    </row>
    <row r="117" spans="1:60" x14ac:dyDescent="0.15">
      <c r="A117" s="17">
        <v>2006</v>
      </c>
      <c r="B117" s="17">
        <v>2</v>
      </c>
      <c r="C117" s="20">
        <v>97.794618620920104</v>
      </c>
      <c r="D117" s="19">
        <v>4.92514315403358E-3</v>
      </c>
      <c r="E117" s="20">
        <v>97.220742849275794</v>
      </c>
      <c r="F117" s="19">
        <v>4.92332978912136E-3</v>
      </c>
      <c r="G117" s="20">
        <v>93.374082359182793</v>
      </c>
      <c r="H117" s="19">
        <v>7.4264041212925803E-3</v>
      </c>
      <c r="I117" s="20">
        <v>79.504197594046005</v>
      </c>
      <c r="J117" s="19">
        <v>-3.8011616080162501E-3</v>
      </c>
      <c r="K117" s="20">
        <v>109.470407496901</v>
      </c>
      <c r="L117" s="19">
        <v>3.4919085205500399E-3</v>
      </c>
      <c r="M117" s="20">
        <v>164.38913332279199</v>
      </c>
      <c r="N117" s="19">
        <v>-9.6683127743416603E-3</v>
      </c>
      <c r="O117" s="20">
        <v>90.997965499907394</v>
      </c>
      <c r="P117" s="19">
        <v>8.2293609152990204E-3</v>
      </c>
      <c r="Q117" s="20">
        <v>63.855366976255603</v>
      </c>
      <c r="R117" s="19">
        <v>-1.6417315517095899E-2</v>
      </c>
      <c r="S117" s="20">
        <v>167.52019294119299</v>
      </c>
      <c r="T117" s="19">
        <v>7.2363050446796695E-2</v>
      </c>
      <c r="U117" s="20">
        <v>86.478579649007898</v>
      </c>
      <c r="V117" s="19">
        <v>1.16411556253142E-2</v>
      </c>
      <c r="W117" s="20">
        <v>113.338507765267</v>
      </c>
      <c r="X117" s="19">
        <v>3.2300337013157999E-4</v>
      </c>
      <c r="Y117" s="20">
        <v>119.07604800462001</v>
      </c>
      <c r="Z117" s="19">
        <v>-3.36364599953365E-3</v>
      </c>
      <c r="AA117" s="20">
        <v>75.4544161081146</v>
      </c>
      <c r="AB117" s="19">
        <v>-1.4039905282367E-3</v>
      </c>
      <c r="AC117" s="20">
        <v>84.421339326004201</v>
      </c>
      <c r="AD117" s="19">
        <v>3.8567970880656298E-3</v>
      </c>
      <c r="AE117" s="20">
        <v>97.955453422798598</v>
      </c>
      <c r="AF117" s="19">
        <v>-4.9421370684885604E-3</v>
      </c>
      <c r="AG117" s="20">
        <v>128.93228336270201</v>
      </c>
      <c r="AH117" s="19">
        <v>1.5127645611600699E-2</v>
      </c>
      <c r="AI117" s="20">
        <v>137.28381865513401</v>
      </c>
      <c r="AJ117" s="19">
        <v>6.7801479297255902E-3</v>
      </c>
      <c r="AK117" s="20">
        <v>134.148434097311</v>
      </c>
      <c r="AL117" s="19">
        <v>3.4681464206172602E-2</v>
      </c>
      <c r="AM117" s="20">
        <v>79.626049131624995</v>
      </c>
      <c r="AN117" s="19">
        <v>7.6935858790005999E-3</v>
      </c>
      <c r="AO117" s="20">
        <v>86.133634997262106</v>
      </c>
      <c r="AP117" s="19">
        <v>4.1101174109328103E-3</v>
      </c>
      <c r="AQ117" s="20">
        <v>76.473242471707394</v>
      </c>
      <c r="AR117" s="19">
        <v>2.2777746026125798E-3</v>
      </c>
      <c r="AS117" s="20">
        <v>92.943894780192196</v>
      </c>
      <c r="AT117" s="19">
        <v>4.4949448024120802E-3</v>
      </c>
      <c r="AU117" s="20">
        <v>75.726678096948305</v>
      </c>
      <c r="AV117" s="19">
        <v>2.9009261535857299E-3</v>
      </c>
      <c r="AW117" s="20">
        <v>78.457268869687198</v>
      </c>
      <c r="AX117" s="19">
        <v>5.3721967529070103E-3</v>
      </c>
      <c r="AY117" s="20">
        <v>92.127449243283806</v>
      </c>
      <c r="AZ117" s="19">
        <v>-2.1076445494897498E-3</v>
      </c>
      <c r="BA117" s="20">
        <v>115.40596660732901</v>
      </c>
      <c r="BB117" s="19">
        <v>5.0393964454196203E-3</v>
      </c>
      <c r="BC117" s="20">
        <v>106.661313535933</v>
      </c>
      <c r="BD117" s="19">
        <v>3.7667422896550101E-3</v>
      </c>
      <c r="BE117" s="20">
        <v>93.846905933332295</v>
      </c>
      <c r="BF117" s="19">
        <v>1.42800309551805E-3</v>
      </c>
      <c r="BG117" s="20"/>
      <c r="BH117" s="19"/>
    </row>
    <row r="118" spans="1:60" x14ac:dyDescent="0.15">
      <c r="A118" s="17">
        <v>2006</v>
      </c>
      <c r="B118" s="17">
        <v>3</v>
      </c>
      <c r="C118" s="20">
        <v>98.169705389633194</v>
      </c>
      <c r="D118" s="19">
        <v>3.8354540771519102E-3</v>
      </c>
      <c r="E118" s="20">
        <v>97.633736485554607</v>
      </c>
      <c r="F118" s="19">
        <v>4.2479991838686396E-3</v>
      </c>
      <c r="G118" s="20">
        <v>95.679986040209798</v>
      </c>
      <c r="H118" s="19">
        <v>2.4695328968877599E-2</v>
      </c>
      <c r="I118" s="20">
        <v>79.470105587114602</v>
      </c>
      <c r="J118" s="19">
        <v>-4.2880763485519903E-4</v>
      </c>
      <c r="K118" s="20">
        <v>109.65653128603</v>
      </c>
      <c r="L118" s="19">
        <v>1.7002201177867E-3</v>
      </c>
      <c r="M118" s="20">
        <v>164.45505757754</v>
      </c>
      <c r="N118" s="19">
        <v>4.0102562387311902E-4</v>
      </c>
      <c r="O118" s="20">
        <v>91.217339707772396</v>
      </c>
      <c r="P118" s="19">
        <v>2.4107594786308998E-3</v>
      </c>
      <c r="Q118" s="20">
        <v>62.099747271591198</v>
      </c>
      <c r="R118" s="19">
        <v>-2.7493690629281101E-2</v>
      </c>
      <c r="S118" s="20">
        <v>171.879631066277</v>
      </c>
      <c r="T118" s="19">
        <v>2.6023359026420299E-2</v>
      </c>
      <c r="U118" s="20">
        <v>87.755864389085801</v>
      </c>
      <c r="V118" s="19">
        <v>1.4769955117926999E-2</v>
      </c>
      <c r="W118" s="20">
        <v>112.901119959526</v>
      </c>
      <c r="X118" s="19">
        <v>-3.8591279730557601E-3</v>
      </c>
      <c r="Y118" s="20">
        <v>118.671906329159</v>
      </c>
      <c r="Z118" s="19">
        <v>-3.3939795805563201E-3</v>
      </c>
      <c r="AA118" s="20">
        <v>75.741043097290998</v>
      </c>
      <c r="AB118" s="19">
        <v>3.7986774526985699E-3</v>
      </c>
      <c r="AC118" s="20">
        <v>84.8104764558624</v>
      </c>
      <c r="AD118" s="19">
        <v>4.6094640640030899E-3</v>
      </c>
      <c r="AE118" s="20">
        <v>98.028530245421507</v>
      </c>
      <c r="AF118" s="19">
        <v>7.4602097248699405E-4</v>
      </c>
      <c r="AG118" s="20">
        <v>131.00562885749301</v>
      </c>
      <c r="AH118" s="19">
        <v>1.60808871193154E-2</v>
      </c>
      <c r="AI118" s="20">
        <v>137.327379126876</v>
      </c>
      <c r="AJ118" s="19">
        <v>3.1730230240500901E-4</v>
      </c>
      <c r="AK118" s="20">
        <v>140.58565000007101</v>
      </c>
      <c r="AL118" s="19">
        <v>4.7985769987378898E-2</v>
      </c>
      <c r="AM118" s="20">
        <v>80.119404192755098</v>
      </c>
      <c r="AN118" s="19">
        <v>6.19590029281225E-3</v>
      </c>
      <c r="AO118" s="20">
        <v>86.644957829234698</v>
      </c>
      <c r="AP118" s="19">
        <v>5.9363897969573198E-3</v>
      </c>
      <c r="AQ118" s="20">
        <v>76.583198710367199</v>
      </c>
      <c r="AR118" s="19">
        <v>1.4378393684630899E-3</v>
      </c>
      <c r="AS118" s="20">
        <v>93.570791467436194</v>
      </c>
      <c r="AT118" s="19">
        <v>6.7448936665124304E-3</v>
      </c>
      <c r="AU118" s="20">
        <v>76.157868254968093</v>
      </c>
      <c r="AV118" s="19">
        <v>5.6940323919636403E-3</v>
      </c>
      <c r="AW118" s="20">
        <v>78.773430119916</v>
      </c>
      <c r="AX118" s="19">
        <v>4.0297254133829803E-3</v>
      </c>
      <c r="AY118" s="20">
        <v>92.386917568921604</v>
      </c>
      <c r="AZ118" s="19">
        <v>2.8164062694562299E-3</v>
      </c>
      <c r="BA118" s="20">
        <v>114.64604598052399</v>
      </c>
      <c r="BB118" s="19">
        <v>-6.5847602957220799E-3</v>
      </c>
      <c r="BC118" s="20">
        <v>106.211285627173</v>
      </c>
      <c r="BD118" s="19">
        <v>-4.2192233888798097E-3</v>
      </c>
      <c r="BE118" s="20">
        <v>93.879747420944398</v>
      </c>
      <c r="BF118" s="19">
        <v>3.4994747333949599E-4</v>
      </c>
      <c r="BG118" s="20"/>
      <c r="BH118" s="19"/>
    </row>
    <row r="119" spans="1:60" x14ac:dyDescent="0.15">
      <c r="A119" s="17">
        <v>2006</v>
      </c>
      <c r="B119" s="17">
        <v>4</v>
      </c>
      <c r="C119" s="20">
        <v>98.887830897019796</v>
      </c>
      <c r="D119" s="19">
        <v>7.3151437557679201E-3</v>
      </c>
      <c r="E119" s="20">
        <v>98.419458506179794</v>
      </c>
      <c r="F119" s="19">
        <v>8.04764878317887E-3</v>
      </c>
      <c r="G119" s="20">
        <v>94.654393035771406</v>
      </c>
      <c r="H119" s="19">
        <v>-1.07189919949139E-2</v>
      </c>
      <c r="I119" s="20">
        <v>80.617066102147803</v>
      </c>
      <c r="J119" s="19">
        <v>1.44326033866391E-2</v>
      </c>
      <c r="K119" s="20">
        <v>110.615570695927</v>
      </c>
      <c r="L119" s="19">
        <v>8.7458485021301192E-3</v>
      </c>
      <c r="M119" s="20">
        <v>165.78375138992601</v>
      </c>
      <c r="N119" s="19">
        <v>8.0793733677591E-3</v>
      </c>
      <c r="O119" s="20">
        <v>92.0605035682769</v>
      </c>
      <c r="P119" s="19">
        <v>9.2434603246018803E-3</v>
      </c>
      <c r="Q119" s="20">
        <v>70.351195013886198</v>
      </c>
      <c r="R119" s="19">
        <v>0.13287409538411701</v>
      </c>
      <c r="S119" s="20">
        <v>172.56536526906001</v>
      </c>
      <c r="T119" s="19">
        <v>3.9896187729149303E-3</v>
      </c>
      <c r="U119" s="20">
        <v>89.151994181504193</v>
      </c>
      <c r="V119" s="19">
        <v>1.5909247799421999E-2</v>
      </c>
      <c r="W119" s="20">
        <v>112.451996322426</v>
      </c>
      <c r="X119" s="19">
        <v>-3.9780264116159297E-3</v>
      </c>
      <c r="Y119" s="20">
        <v>118.25634933766899</v>
      </c>
      <c r="Z119" s="19">
        <v>-3.5017301427522399E-3</v>
      </c>
      <c r="AA119" s="20">
        <v>76.051712286822905</v>
      </c>
      <c r="AB119" s="19">
        <v>4.1017284265918398E-3</v>
      </c>
      <c r="AC119" s="20">
        <v>85.137691063589202</v>
      </c>
      <c r="AD119" s="19">
        <v>3.85818617464184E-3</v>
      </c>
      <c r="AE119" s="20">
        <v>98.386182156733</v>
      </c>
      <c r="AF119" s="19">
        <v>3.6484471450928301E-3</v>
      </c>
      <c r="AG119" s="20">
        <v>133.230943722712</v>
      </c>
      <c r="AH119" s="19">
        <v>1.69864064973906E-2</v>
      </c>
      <c r="AI119" s="20">
        <v>136.52298193345601</v>
      </c>
      <c r="AJ119" s="19">
        <v>-5.8575150748105802E-3</v>
      </c>
      <c r="AK119" s="20">
        <v>149.77020337141099</v>
      </c>
      <c r="AL119" s="19">
        <v>6.5330660500096102E-2</v>
      </c>
      <c r="AM119" s="20">
        <v>80.725972815194794</v>
      </c>
      <c r="AN119" s="19">
        <v>7.5708079528444801E-3</v>
      </c>
      <c r="AO119" s="20">
        <v>87.089421397128604</v>
      </c>
      <c r="AP119" s="19">
        <v>5.1297107071122099E-3</v>
      </c>
      <c r="AQ119" s="20">
        <v>76.973193247743396</v>
      </c>
      <c r="AR119" s="19">
        <v>5.0924294615994903E-3</v>
      </c>
      <c r="AS119" s="20">
        <v>93.667491704163893</v>
      </c>
      <c r="AT119" s="19">
        <v>1.0334446808797401E-3</v>
      </c>
      <c r="AU119" s="20">
        <v>76.4230525108146</v>
      </c>
      <c r="AV119" s="19">
        <v>3.48203359577548E-3</v>
      </c>
      <c r="AW119" s="20">
        <v>79.117637272692406</v>
      </c>
      <c r="AX119" s="19">
        <v>4.3695844176452302E-3</v>
      </c>
      <c r="AY119" s="20">
        <v>92.504651108451299</v>
      </c>
      <c r="AZ119" s="19">
        <v>1.27435293467637E-3</v>
      </c>
      <c r="BA119" s="20">
        <v>113.368161307832</v>
      </c>
      <c r="BB119" s="19">
        <v>-1.11463475409292E-2</v>
      </c>
      <c r="BC119" s="20">
        <v>105.396704860349</v>
      </c>
      <c r="BD119" s="19">
        <v>-7.6694370284151603E-3</v>
      </c>
      <c r="BE119" s="20">
        <v>93.829896661431206</v>
      </c>
      <c r="BF119" s="19">
        <v>-5.3100653636961603E-4</v>
      </c>
      <c r="BG119" s="20"/>
      <c r="BH119" s="19"/>
    </row>
    <row r="120" spans="1:60" x14ac:dyDescent="0.15">
      <c r="A120" s="17">
        <v>2007</v>
      </c>
      <c r="B120" s="17">
        <v>1</v>
      </c>
      <c r="C120" s="20">
        <v>99.722347502866498</v>
      </c>
      <c r="D120" s="19">
        <v>8.4390222565982106E-3</v>
      </c>
      <c r="E120" s="20">
        <v>99.237165656580899</v>
      </c>
      <c r="F120" s="19">
        <v>8.3083890402604298E-3</v>
      </c>
      <c r="G120" s="20">
        <v>94.233265258780506</v>
      </c>
      <c r="H120" s="19">
        <v>-4.4491096871933601E-3</v>
      </c>
      <c r="I120" s="20">
        <v>82.914365983465302</v>
      </c>
      <c r="J120" s="19">
        <v>2.8496446129739499E-2</v>
      </c>
      <c r="K120" s="20">
        <v>111.974671571676</v>
      </c>
      <c r="L120" s="19">
        <v>1.2286704911423699E-2</v>
      </c>
      <c r="M120" s="20">
        <v>168.53759994951699</v>
      </c>
      <c r="N120" s="19">
        <v>1.66110884601396E-2</v>
      </c>
      <c r="O120" s="20">
        <v>93.017495852656097</v>
      </c>
      <c r="P120" s="19">
        <v>1.03952536352296E-2</v>
      </c>
      <c r="Q120" s="20">
        <v>68.435530890691396</v>
      </c>
      <c r="R120" s="19">
        <v>-2.7230015393720601E-2</v>
      </c>
      <c r="S120" s="20">
        <v>177.56549690991201</v>
      </c>
      <c r="T120" s="19">
        <v>2.8975290800998799E-2</v>
      </c>
      <c r="U120" s="20">
        <v>90.153444300673897</v>
      </c>
      <c r="V120" s="19">
        <v>1.1233064704428799E-2</v>
      </c>
      <c r="W120" s="20">
        <v>112.331587565414</v>
      </c>
      <c r="X120" s="19">
        <v>-1.07075695363179E-3</v>
      </c>
      <c r="Y120" s="20">
        <v>117.83188934338</v>
      </c>
      <c r="Z120" s="19">
        <v>-3.5893209681004999E-3</v>
      </c>
      <c r="AA120" s="20">
        <v>76.016576405973794</v>
      </c>
      <c r="AB120" s="19">
        <v>-4.6199986552064598E-4</v>
      </c>
      <c r="AC120" s="20">
        <v>85.668251900399994</v>
      </c>
      <c r="AD120" s="19">
        <v>6.2317973412557796E-3</v>
      </c>
      <c r="AE120" s="20">
        <v>98.700453483333803</v>
      </c>
      <c r="AF120" s="19">
        <v>3.1942628498398099E-3</v>
      </c>
      <c r="AG120" s="20">
        <v>137.08805150894099</v>
      </c>
      <c r="AH120" s="19">
        <v>2.895054015572E-2</v>
      </c>
      <c r="AI120" s="20">
        <v>136.52014377349801</v>
      </c>
      <c r="AJ120" s="19">
        <v>-2.07888805081602E-5</v>
      </c>
      <c r="AK120" s="20">
        <v>162.83417075141699</v>
      </c>
      <c r="AL120" s="19">
        <v>8.7226745279959605E-2</v>
      </c>
      <c r="AM120" s="20">
        <v>81.588034003949701</v>
      </c>
      <c r="AN120" s="19">
        <v>1.0678857853201801E-2</v>
      </c>
      <c r="AO120" s="20">
        <v>87.553953619962996</v>
      </c>
      <c r="AP120" s="19">
        <v>5.3339684129503099E-3</v>
      </c>
      <c r="AQ120" s="20">
        <v>76.854032555546098</v>
      </c>
      <c r="AR120" s="19">
        <v>-1.5480804052622199E-3</v>
      </c>
      <c r="AS120" s="20">
        <v>93.914485013036796</v>
      </c>
      <c r="AT120" s="19">
        <v>2.6369160140742301E-3</v>
      </c>
      <c r="AU120" s="20">
        <v>76.8126970395314</v>
      </c>
      <c r="AV120" s="19">
        <v>5.0985208770832902E-3</v>
      </c>
      <c r="AW120" s="20">
        <v>79.602184488627799</v>
      </c>
      <c r="AX120" s="19">
        <v>6.1243893604325797E-3</v>
      </c>
      <c r="AY120" s="20">
        <v>92.766275215072</v>
      </c>
      <c r="AZ120" s="19">
        <v>2.82822651062187E-3</v>
      </c>
      <c r="BA120" s="20">
        <v>114.692343392569</v>
      </c>
      <c r="BB120" s="19">
        <v>1.16803701273913E-2</v>
      </c>
      <c r="BC120" s="20">
        <v>106.186416918606</v>
      </c>
      <c r="BD120" s="19">
        <v>7.4927585193844699E-3</v>
      </c>
      <c r="BE120" s="20">
        <v>93.732766716231296</v>
      </c>
      <c r="BF120" s="19">
        <v>-1.03517054431335E-3</v>
      </c>
      <c r="BG120" s="20"/>
      <c r="BH120" s="19"/>
    </row>
    <row r="121" spans="1:60" x14ac:dyDescent="0.15">
      <c r="A121" s="17">
        <v>2007</v>
      </c>
      <c r="B121" s="17">
        <v>2</v>
      </c>
      <c r="C121" s="20">
        <v>100.225692164752</v>
      </c>
      <c r="D121" s="19">
        <v>5.0474610204227499E-3</v>
      </c>
      <c r="E121" s="20">
        <v>99.719602500584898</v>
      </c>
      <c r="F121" s="19">
        <v>4.86145327521315E-3</v>
      </c>
      <c r="G121" s="20">
        <v>94.543043167178993</v>
      </c>
      <c r="H121" s="19">
        <v>3.2873519510103798E-3</v>
      </c>
      <c r="I121" s="20">
        <v>81.916407110310004</v>
      </c>
      <c r="J121" s="19">
        <v>-1.2036018864985299E-2</v>
      </c>
      <c r="K121" s="20">
        <v>112.708274765144</v>
      </c>
      <c r="L121" s="19">
        <v>6.55151011537769E-3</v>
      </c>
      <c r="M121" s="20">
        <v>167.99301893981499</v>
      </c>
      <c r="N121" s="19">
        <v>-3.2312137461636401E-3</v>
      </c>
      <c r="O121" s="20">
        <v>93.9613655416413</v>
      </c>
      <c r="P121" s="19">
        <v>1.01472274686936E-2</v>
      </c>
      <c r="Q121" s="20">
        <v>63.920018425999402</v>
      </c>
      <c r="R121" s="19">
        <v>-6.5981989266722094E-2</v>
      </c>
      <c r="S121" s="20">
        <v>184.85431654887</v>
      </c>
      <c r="T121" s="19">
        <v>4.1048625807391E-2</v>
      </c>
      <c r="U121" s="20">
        <v>90.567469061435204</v>
      </c>
      <c r="V121" s="19">
        <v>4.5924452911692004E-3</v>
      </c>
      <c r="W121" s="20">
        <v>113.32651139365601</v>
      </c>
      <c r="X121" s="19">
        <v>8.8570263254119704E-3</v>
      </c>
      <c r="Y121" s="20">
        <v>118.304147228529</v>
      </c>
      <c r="Z121" s="19">
        <v>4.00789538197444E-3</v>
      </c>
      <c r="AA121" s="20">
        <v>76.130291189424199</v>
      </c>
      <c r="AB121" s="19">
        <v>1.49592087445738E-3</v>
      </c>
      <c r="AC121" s="20">
        <v>85.652822766977394</v>
      </c>
      <c r="AD121" s="19">
        <v>-1.80103283075272E-4</v>
      </c>
      <c r="AE121" s="20">
        <v>98.103571292052607</v>
      </c>
      <c r="AF121" s="19">
        <v>-6.0474108295969203E-3</v>
      </c>
      <c r="AG121" s="20">
        <v>137.93310249042699</v>
      </c>
      <c r="AH121" s="19">
        <v>6.1642934754975202E-3</v>
      </c>
      <c r="AI121" s="20">
        <v>135.48222299394001</v>
      </c>
      <c r="AJ121" s="19">
        <v>-7.6026932793161802E-3</v>
      </c>
      <c r="AK121" s="20">
        <v>168.549214117839</v>
      </c>
      <c r="AL121" s="19">
        <v>3.5097322263804499E-2</v>
      </c>
      <c r="AM121" s="20">
        <v>82.368997721523598</v>
      </c>
      <c r="AN121" s="19">
        <v>9.5720374575534208E-3</v>
      </c>
      <c r="AO121" s="20">
        <v>88.022707413192407</v>
      </c>
      <c r="AP121" s="19">
        <v>5.3538849343579597E-3</v>
      </c>
      <c r="AQ121" s="20">
        <v>77.123230491840602</v>
      </c>
      <c r="AR121" s="19">
        <v>3.5027171293833298E-3</v>
      </c>
      <c r="AS121" s="20">
        <v>94.024162871723505</v>
      </c>
      <c r="AT121" s="19">
        <v>1.1678481617776199E-3</v>
      </c>
      <c r="AU121" s="20">
        <v>76.784746227480994</v>
      </c>
      <c r="AV121" s="19">
        <v>-3.6388270595466598E-4</v>
      </c>
      <c r="AW121" s="20">
        <v>80.036528771123002</v>
      </c>
      <c r="AX121" s="19">
        <v>5.4564367207439197E-3</v>
      </c>
      <c r="AY121" s="20">
        <v>92.272280382941702</v>
      </c>
      <c r="AZ121" s="19">
        <v>-5.3251554078790298E-3</v>
      </c>
      <c r="BA121" s="20">
        <v>115.821310001409</v>
      </c>
      <c r="BB121" s="19">
        <v>9.8434348400693299E-3</v>
      </c>
      <c r="BC121" s="20">
        <v>106.91244524506401</v>
      </c>
      <c r="BD121" s="19">
        <v>6.8372994166867604E-3</v>
      </c>
      <c r="BE121" s="20">
        <v>93.783112537545193</v>
      </c>
      <c r="BF121" s="19">
        <v>5.3712082847567899E-4</v>
      </c>
      <c r="BG121" s="20"/>
      <c r="BH121" s="19"/>
    </row>
    <row r="122" spans="1:60" x14ac:dyDescent="0.15">
      <c r="A122" s="17">
        <v>2007</v>
      </c>
      <c r="B122" s="17">
        <v>3</v>
      </c>
      <c r="C122" s="20">
        <v>100.646662165712</v>
      </c>
      <c r="D122" s="19">
        <v>4.2002204411617497E-3</v>
      </c>
      <c r="E122" s="20">
        <v>100.173032357682</v>
      </c>
      <c r="F122" s="19">
        <v>4.5470483809257898E-3</v>
      </c>
      <c r="G122" s="20">
        <v>97.599133753912199</v>
      </c>
      <c r="H122" s="19">
        <v>3.2324859496315299E-2</v>
      </c>
      <c r="I122" s="20">
        <v>81.181987024276296</v>
      </c>
      <c r="J122" s="19">
        <v>-8.9654821535901704E-3</v>
      </c>
      <c r="K122" s="20">
        <v>112.126289491554</v>
      </c>
      <c r="L122" s="19">
        <v>-5.1636428186222503E-3</v>
      </c>
      <c r="M122" s="20">
        <v>166.000930953536</v>
      </c>
      <c r="N122" s="19">
        <v>-1.1858159338112999E-2</v>
      </c>
      <c r="O122" s="20">
        <v>93.713832156969204</v>
      </c>
      <c r="P122" s="19">
        <v>-2.63441663757391E-3</v>
      </c>
      <c r="Q122" s="20">
        <v>64.384494461136697</v>
      </c>
      <c r="R122" s="19">
        <v>7.2665191058265402E-3</v>
      </c>
      <c r="S122" s="20">
        <v>187.92092021910901</v>
      </c>
      <c r="T122" s="19">
        <v>1.6589299765840299E-2</v>
      </c>
      <c r="U122" s="20">
        <v>91.005370439546994</v>
      </c>
      <c r="V122" s="19">
        <v>4.8350846352427403E-3</v>
      </c>
      <c r="W122" s="20">
        <v>115.73483474547</v>
      </c>
      <c r="X122" s="19">
        <v>2.1251191113158801E-2</v>
      </c>
      <c r="Y122" s="20">
        <v>118.735477866634</v>
      </c>
      <c r="Z122" s="19">
        <v>3.6459468937484201E-3</v>
      </c>
      <c r="AA122" s="20">
        <v>76.271835482977707</v>
      </c>
      <c r="AB122" s="19">
        <v>1.8592375169199601E-3</v>
      </c>
      <c r="AC122" s="20">
        <v>85.417612364748194</v>
      </c>
      <c r="AD122" s="19">
        <v>-2.7460904921843298E-3</v>
      </c>
      <c r="AE122" s="20">
        <v>98.104981333501399</v>
      </c>
      <c r="AF122" s="19">
        <v>1.43729879573673E-5</v>
      </c>
      <c r="AG122" s="20">
        <v>138.00098019673101</v>
      </c>
      <c r="AH122" s="19">
        <v>4.9210599253535204E-4</v>
      </c>
      <c r="AI122" s="20">
        <v>135.76859241279999</v>
      </c>
      <c r="AJ122" s="19">
        <v>2.1137047542572102E-3</v>
      </c>
      <c r="AK122" s="20">
        <v>167.63394874425501</v>
      </c>
      <c r="AL122" s="19">
        <v>-5.4302559544688904E-3</v>
      </c>
      <c r="AM122" s="20">
        <v>82.651482892082001</v>
      </c>
      <c r="AN122" s="19">
        <v>3.4295084118103301E-3</v>
      </c>
      <c r="AO122" s="20">
        <v>88.538393078299904</v>
      </c>
      <c r="AP122" s="19">
        <v>5.8585526424090898E-3</v>
      </c>
      <c r="AQ122" s="20">
        <v>78.078741855636494</v>
      </c>
      <c r="AR122" s="19">
        <v>1.2389410527830399E-2</v>
      </c>
      <c r="AS122" s="20">
        <v>93.899156448632297</v>
      </c>
      <c r="AT122" s="19">
        <v>-1.32951381084634E-3</v>
      </c>
      <c r="AU122" s="20">
        <v>76.5556769032478</v>
      </c>
      <c r="AV122" s="19">
        <v>-2.9832660194585299E-3</v>
      </c>
      <c r="AW122" s="20">
        <v>80.415077169644107</v>
      </c>
      <c r="AX122" s="19">
        <v>4.7296953570232798E-3</v>
      </c>
      <c r="AY122" s="20">
        <v>91.976527358780302</v>
      </c>
      <c r="AZ122" s="19">
        <v>-3.2052207112902601E-3</v>
      </c>
      <c r="BA122" s="20">
        <v>115.292303870197</v>
      </c>
      <c r="BB122" s="19">
        <v>-4.5674334991162597E-3</v>
      </c>
      <c r="BC122" s="20">
        <v>106.664654394455</v>
      </c>
      <c r="BD122" s="19">
        <v>-2.3176988426444299E-3</v>
      </c>
      <c r="BE122" s="20">
        <v>94.007159084797095</v>
      </c>
      <c r="BF122" s="19">
        <v>2.3889860465247099E-3</v>
      </c>
      <c r="BG122" s="20"/>
      <c r="BH122" s="19"/>
    </row>
    <row r="123" spans="1:60" x14ac:dyDescent="0.15">
      <c r="A123" s="17">
        <v>2007</v>
      </c>
      <c r="B123" s="17">
        <v>4</v>
      </c>
      <c r="C123" s="20">
        <v>101.265587346814</v>
      </c>
      <c r="D123" s="19">
        <v>6.1494854154529001E-3</v>
      </c>
      <c r="E123" s="20">
        <v>100.797878961309</v>
      </c>
      <c r="F123" s="19">
        <v>6.2376728438851003E-3</v>
      </c>
      <c r="G123" s="20">
        <v>99.711419943205399</v>
      </c>
      <c r="H123" s="19">
        <v>2.1642468616772E-2</v>
      </c>
      <c r="I123" s="20">
        <v>79.551539957472798</v>
      </c>
      <c r="J123" s="19">
        <v>-2.00838526693853E-2</v>
      </c>
      <c r="K123" s="20">
        <v>111.852346423922</v>
      </c>
      <c r="L123" s="19">
        <v>-2.44316537070666E-3</v>
      </c>
      <c r="M123" s="20">
        <v>165.58734931275299</v>
      </c>
      <c r="N123" s="19">
        <v>-2.4914416949769502E-3</v>
      </c>
      <c r="O123" s="20">
        <v>93.476516987410093</v>
      </c>
      <c r="P123" s="19">
        <v>-2.53233876042525E-3</v>
      </c>
      <c r="Q123" s="20">
        <v>62.858091020401602</v>
      </c>
      <c r="R123" s="19">
        <v>-2.3707624848347399E-2</v>
      </c>
      <c r="S123" s="20">
        <v>192.91555378801499</v>
      </c>
      <c r="T123" s="19">
        <v>2.6578379688022302E-2</v>
      </c>
      <c r="U123" s="20">
        <v>91.514740736174602</v>
      </c>
      <c r="V123" s="19">
        <v>5.5971454669916402E-3</v>
      </c>
      <c r="W123" s="20">
        <v>119.231483699419</v>
      </c>
      <c r="X123" s="19">
        <v>3.0212588644023E-2</v>
      </c>
      <c r="Y123" s="20">
        <v>119.32987207931799</v>
      </c>
      <c r="Z123" s="19">
        <v>5.0060371454596596E-3</v>
      </c>
      <c r="AA123" s="20">
        <v>78.428343625362203</v>
      </c>
      <c r="AB123" s="19">
        <v>2.82739772647254E-2</v>
      </c>
      <c r="AC123" s="20">
        <v>85.495669901135102</v>
      </c>
      <c r="AD123" s="19">
        <v>9.1383421083679505E-4</v>
      </c>
      <c r="AE123" s="20">
        <v>98.093245401576795</v>
      </c>
      <c r="AF123" s="19">
        <v>-1.1962625918759999E-4</v>
      </c>
      <c r="AG123" s="20">
        <v>136.71797579752899</v>
      </c>
      <c r="AH123" s="19">
        <v>-9.2970672916432608E-3</v>
      </c>
      <c r="AI123" s="20">
        <v>137.12209377244</v>
      </c>
      <c r="AJ123" s="19">
        <v>9.9691787002209598E-3</v>
      </c>
      <c r="AK123" s="20">
        <v>160.01252637722899</v>
      </c>
      <c r="AL123" s="19">
        <v>-4.54646712322773E-2</v>
      </c>
      <c r="AM123" s="20">
        <v>82.922602449080898</v>
      </c>
      <c r="AN123" s="19">
        <v>3.2802745638924602E-3</v>
      </c>
      <c r="AO123" s="20">
        <v>89.122372303723097</v>
      </c>
      <c r="AP123" s="19">
        <v>6.5957739362481104E-3</v>
      </c>
      <c r="AQ123" s="20">
        <v>79.384489697622399</v>
      </c>
      <c r="AR123" s="19">
        <v>1.6723474417660301E-2</v>
      </c>
      <c r="AS123" s="20">
        <v>93.974682285759997</v>
      </c>
      <c r="AT123" s="19">
        <v>8.0432923983697602E-4</v>
      </c>
      <c r="AU123" s="20">
        <v>76.395631698935802</v>
      </c>
      <c r="AV123" s="19">
        <v>-2.0905726496836001E-3</v>
      </c>
      <c r="AW123" s="20">
        <v>80.5987515194184</v>
      </c>
      <c r="AX123" s="19">
        <v>2.2840785116313698E-3</v>
      </c>
      <c r="AY123" s="20">
        <v>92.160126260474996</v>
      </c>
      <c r="AZ123" s="19">
        <v>1.9961495282214701E-3</v>
      </c>
      <c r="BA123" s="20">
        <v>115.71894905252999</v>
      </c>
      <c r="BB123" s="19">
        <v>3.7005521445179199E-3</v>
      </c>
      <c r="BC123" s="20">
        <v>107.076247356034</v>
      </c>
      <c r="BD123" s="19">
        <v>3.8587568104535598E-3</v>
      </c>
      <c r="BE123" s="20">
        <v>94.404950269126104</v>
      </c>
      <c r="BF123" s="19">
        <v>4.2314988369147599E-3</v>
      </c>
      <c r="BG123" s="20"/>
      <c r="BH123" s="19"/>
    </row>
    <row r="124" spans="1:60" x14ac:dyDescent="0.15">
      <c r="A124" s="17">
        <v>2008</v>
      </c>
      <c r="B124" s="17">
        <v>1</v>
      </c>
      <c r="C124" s="20">
        <v>101.576186783441</v>
      </c>
      <c r="D124" s="19">
        <v>3.06717656772393E-3</v>
      </c>
      <c r="E124" s="20">
        <v>101.073015580584</v>
      </c>
      <c r="F124" s="19">
        <v>2.7295873892392302E-3</v>
      </c>
      <c r="G124" s="20">
        <v>101.70964131569799</v>
      </c>
      <c r="H124" s="19">
        <v>2.0040045299033901E-2</v>
      </c>
      <c r="I124" s="20">
        <v>80.148893909622998</v>
      </c>
      <c r="J124" s="19">
        <v>7.5090180839929603E-3</v>
      </c>
      <c r="K124" s="20">
        <v>111.543204683154</v>
      </c>
      <c r="L124" s="19">
        <v>-2.7638377794626501E-3</v>
      </c>
      <c r="M124" s="20">
        <v>165.008396166457</v>
      </c>
      <c r="N124" s="19">
        <v>-3.4963609762401798E-3</v>
      </c>
      <c r="O124" s="20">
        <v>93.2462298228874</v>
      </c>
      <c r="P124" s="19">
        <v>-2.4635830681810598E-3</v>
      </c>
      <c r="Q124" s="20">
        <v>62.170576356996499</v>
      </c>
      <c r="R124" s="19">
        <v>-1.09375682946191E-2</v>
      </c>
      <c r="S124" s="20">
        <v>209.41976158051801</v>
      </c>
      <c r="T124" s="19">
        <v>8.5551462639653394E-2</v>
      </c>
      <c r="U124" s="20">
        <v>91.935445248745395</v>
      </c>
      <c r="V124" s="19">
        <v>4.5971229245302904E-3</v>
      </c>
      <c r="W124" s="20">
        <v>122.046524056994</v>
      </c>
      <c r="X124" s="19">
        <v>2.36098744243756E-2</v>
      </c>
      <c r="Y124" s="20">
        <v>119.62419238325801</v>
      </c>
      <c r="Z124" s="19">
        <v>2.4664428010410201E-3</v>
      </c>
      <c r="AA124" s="20">
        <v>80.788320329883106</v>
      </c>
      <c r="AB124" s="19">
        <v>3.0090865055037101E-2</v>
      </c>
      <c r="AC124" s="20">
        <v>85.751727753667495</v>
      </c>
      <c r="AD124" s="19">
        <v>2.9949803636657398E-3</v>
      </c>
      <c r="AE124" s="20">
        <v>97.548942932583401</v>
      </c>
      <c r="AF124" s="19">
        <v>-5.5488272078787499E-3</v>
      </c>
      <c r="AG124" s="20">
        <v>131.234175083617</v>
      </c>
      <c r="AH124" s="19">
        <v>-4.0110312355954303E-2</v>
      </c>
      <c r="AI124" s="20">
        <v>136.028716479076</v>
      </c>
      <c r="AJ124" s="19">
        <v>-7.97374998648381E-3</v>
      </c>
      <c r="AK124" s="20">
        <v>144.805008118654</v>
      </c>
      <c r="AL124" s="19">
        <v>-9.5039548483369304E-2</v>
      </c>
      <c r="AM124" s="20">
        <v>83.352531180677602</v>
      </c>
      <c r="AN124" s="19">
        <v>5.1846989710766503E-3</v>
      </c>
      <c r="AO124" s="20">
        <v>89.852633246955094</v>
      </c>
      <c r="AP124" s="19">
        <v>8.1939127556356402E-3</v>
      </c>
      <c r="AQ124" s="20">
        <v>81.446407826700295</v>
      </c>
      <c r="AR124" s="19">
        <v>2.5973816005265202E-2</v>
      </c>
      <c r="AS124" s="20">
        <v>93.978414711144495</v>
      </c>
      <c r="AT124" s="19">
        <v>3.9717350393875298E-5</v>
      </c>
      <c r="AU124" s="20">
        <v>76.268083953739193</v>
      </c>
      <c r="AV124" s="19">
        <v>-1.66956856511469E-3</v>
      </c>
      <c r="AW124" s="20">
        <v>80.615190774840499</v>
      </c>
      <c r="AX124" s="19">
        <v>2.0396414475598601E-4</v>
      </c>
      <c r="AY124" s="20">
        <v>92.572011219233403</v>
      </c>
      <c r="AZ124" s="19">
        <v>4.4692317108405702E-3</v>
      </c>
      <c r="BA124" s="20">
        <v>117.09351116859401</v>
      </c>
      <c r="BB124" s="19">
        <v>1.1878453160166801E-2</v>
      </c>
      <c r="BC124" s="20">
        <v>108.134733086361</v>
      </c>
      <c r="BD124" s="19">
        <v>9.8853457836243202E-3</v>
      </c>
      <c r="BE124" s="20">
        <v>94.947942511804996</v>
      </c>
      <c r="BF124" s="19">
        <v>5.7517348521549704E-3</v>
      </c>
      <c r="BG124" s="20"/>
      <c r="BH124" s="19"/>
    </row>
    <row r="125" spans="1:60" x14ac:dyDescent="0.15">
      <c r="A125" s="17">
        <v>2008</v>
      </c>
      <c r="B125" s="17">
        <v>2</v>
      </c>
      <c r="C125" s="20">
        <v>101.890340764356</v>
      </c>
      <c r="D125" s="19">
        <v>3.0927916361418498E-3</v>
      </c>
      <c r="E125" s="20">
        <v>101.41610206380901</v>
      </c>
      <c r="F125" s="19">
        <v>3.3944419413494101E-3</v>
      </c>
      <c r="G125" s="20">
        <v>100.91720107594701</v>
      </c>
      <c r="H125" s="19">
        <v>-7.7912008094865896E-3</v>
      </c>
      <c r="I125" s="20">
        <v>78.032767193942803</v>
      </c>
      <c r="J125" s="19">
        <v>-2.6402444406361299E-2</v>
      </c>
      <c r="K125" s="20">
        <v>112.694711208507</v>
      </c>
      <c r="L125" s="19">
        <v>1.03234126061196E-2</v>
      </c>
      <c r="M125" s="20">
        <v>159.20987124228</v>
      </c>
      <c r="N125" s="19">
        <v>-3.5140787128966497E-2</v>
      </c>
      <c r="O125" s="20">
        <v>95.814941004848095</v>
      </c>
      <c r="P125" s="19">
        <v>2.7547614384406699E-2</v>
      </c>
      <c r="Q125" s="20">
        <v>62.101761313951499</v>
      </c>
      <c r="R125" s="19">
        <v>-1.1068747802806E-3</v>
      </c>
      <c r="S125" s="20">
        <v>265.75867543108501</v>
      </c>
      <c r="T125" s="19">
        <v>0.26902386587287103</v>
      </c>
      <c r="U125" s="20">
        <v>91.979875544503301</v>
      </c>
      <c r="V125" s="19">
        <v>4.83277104251778E-4</v>
      </c>
      <c r="W125" s="20">
        <v>121.86535739259899</v>
      </c>
      <c r="X125" s="19">
        <v>-1.4844065883533599E-3</v>
      </c>
      <c r="Y125" s="20">
        <v>119.601291704796</v>
      </c>
      <c r="Z125" s="19">
        <v>-1.91438520962484E-4</v>
      </c>
      <c r="AA125" s="20">
        <v>81.995625245435207</v>
      </c>
      <c r="AB125" s="19">
        <v>1.4944052687595201E-2</v>
      </c>
      <c r="AC125" s="20">
        <v>85.896528456846895</v>
      </c>
      <c r="AD125" s="19">
        <v>1.68860391472681E-3</v>
      </c>
      <c r="AE125" s="20">
        <v>97.397564639358606</v>
      </c>
      <c r="AF125" s="19">
        <v>-1.55181889904621E-3</v>
      </c>
      <c r="AG125" s="20">
        <v>127.06988739871301</v>
      </c>
      <c r="AH125" s="19">
        <v>-3.1731732090747797E-2</v>
      </c>
      <c r="AI125" s="20">
        <v>134.512029370417</v>
      </c>
      <c r="AJ125" s="19">
        <v>-1.11497568154424E-2</v>
      </c>
      <c r="AK125" s="20">
        <v>134.880295609613</v>
      </c>
      <c r="AL125" s="19">
        <v>-6.8538461742346901E-2</v>
      </c>
      <c r="AM125" s="20">
        <v>84.290273609036106</v>
      </c>
      <c r="AN125" s="19">
        <v>1.12503173577991E-2</v>
      </c>
      <c r="AO125" s="20">
        <v>90.613019523072097</v>
      </c>
      <c r="AP125" s="19">
        <v>8.4625931220867496E-3</v>
      </c>
      <c r="AQ125" s="20">
        <v>83.266373716022997</v>
      </c>
      <c r="AR125" s="19">
        <v>2.2345563639775998E-2</v>
      </c>
      <c r="AS125" s="20">
        <v>94.181524106657307</v>
      </c>
      <c r="AT125" s="19">
        <v>2.1612345360067001E-3</v>
      </c>
      <c r="AU125" s="20">
        <v>76.313425481275601</v>
      </c>
      <c r="AV125" s="19">
        <v>5.9450198806509902E-4</v>
      </c>
      <c r="AW125" s="20">
        <v>80.979146234387102</v>
      </c>
      <c r="AX125" s="19">
        <v>4.5147255256541303E-3</v>
      </c>
      <c r="AY125" s="20">
        <v>91.913029699209005</v>
      </c>
      <c r="AZ125" s="19">
        <v>-7.1185827265190004E-3</v>
      </c>
      <c r="BA125" s="20">
        <v>116.54874489149201</v>
      </c>
      <c r="BB125" s="19">
        <v>-4.6524036359075803E-3</v>
      </c>
      <c r="BC125" s="20">
        <v>107.958591323931</v>
      </c>
      <c r="BD125" s="19">
        <v>-1.6289101327884299E-3</v>
      </c>
      <c r="BE125" s="20">
        <v>95.392960131595302</v>
      </c>
      <c r="BF125" s="19">
        <v>4.6869643303229002E-3</v>
      </c>
      <c r="BG125" s="20"/>
      <c r="BH125" s="19"/>
    </row>
    <row r="126" spans="1:60" x14ac:dyDescent="0.15">
      <c r="A126" s="17">
        <v>2008</v>
      </c>
      <c r="B126" s="17">
        <v>3</v>
      </c>
      <c r="C126" s="20">
        <v>101.757247124611</v>
      </c>
      <c r="D126" s="19">
        <v>-1.3062439358555401E-3</v>
      </c>
      <c r="E126" s="20">
        <v>101.34610515527601</v>
      </c>
      <c r="F126" s="19">
        <v>-6.90195216624501E-4</v>
      </c>
      <c r="G126" s="20">
        <v>101.61556930340601</v>
      </c>
      <c r="H126" s="19">
        <v>6.9202100337015801E-3</v>
      </c>
      <c r="I126" s="20">
        <v>78.383817902033201</v>
      </c>
      <c r="J126" s="19">
        <v>4.4987602095145603E-3</v>
      </c>
      <c r="K126" s="20">
        <v>113.915205207151</v>
      </c>
      <c r="L126" s="19">
        <v>1.08300911866674E-2</v>
      </c>
      <c r="M126" s="20">
        <v>165.13318772124299</v>
      </c>
      <c r="N126" s="19">
        <v>3.7204454929491003E-2</v>
      </c>
      <c r="O126" s="20">
        <v>95.913506684136095</v>
      </c>
      <c r="P126" s="19">
        <v>1.0287088658025301E-3</v>
      </c>
      <c r="Q126" s="20">
        <v>59.137377848219302</v>
      </c>
      <c r="R126" s="19">
        <v>-4.7734289704697702E-2</v>
      </c>
      <c r="S126" s="20">
        <v>242.57694548258499</v>
      </c>
      <c r="T126" s="19">
        <v>-8.7228497473872402E-2</v>
      </c>
      <c r="U126" s="20">
        <v>93.370199546369705</v>
      </c>
      <c r="V126" s="19">
        <v>1.51155238429714E-2</v>
      </c>
      <c r="W126" s="20">
        <v>118.55628377936</v>
      </c>
      <c r="X126" s="19">
        <v>-2.7153521591685301E-2</v>
      </c>
      <c r="Y126" s="20">
        <v>119.434464603127</v>
      </c>
      <c r="Z126" s="19">
        <v>-1.3948603672364599E-3</v>
      </c>
      <c r="AA126" s="20">
        <v>83.0559578513312</v>
      </c>
      <c r="AB126" s="19">
        <v>1.29315753459065E-2</v>
      </c>
      <c r="AC126" s="20">
        <v>86.418764846204695</v>
      </c>
      <c r="AD126" s="19">
        <v>6.0798311496390598E-3</v>
      </c>
      <c r="AE126" s="20">
        <v>97.522970321123097</v>
      </c>
      <c r="AF126" s="19">
        <v>1.28756486087522E-3</v>
      </c>
      <c r="AG126" s="20">
        <v>125.360263796011</v>
      </c>
      <c r="AH126" s="19">
        <v>-1.34541993992462E-2</v>
      </c>
      <c r="AI126" s="20">
        <v>135.132588108325</v>
      </c>
      <c r="AJ126" s="19">
        <v>4.6134070001968598E-3</v>
      </c>
      <c r="AK126" s="20">
        <v>129.117721268868</v>
      </c>
      <c r="AL126" s="19">
        <v>-4.2723618855516697E-2</v>
      </c>
      <c r="AM126" s="20">
        <v>85.223477256073707</v>
      </c>
      <c r="AN126" s="19">
        <v>1.1071308789031301E-2</v>
      </c>
      <c r="AO126" s="20">
        <v>91.481532690597305</v>
      </c>
      <c r="AP126" s="19">
        <v>9.5848606756125908E-3</v>
      </c>
      <c r="AQ126" s="20">
        <v>84.790546754255899</v>
      </c>
      <c r="AR126" s="19">
        <v>1.8304784635284399E-2</v>
      </c>
      <c r="AS126" s="20">
        <v>94.472154686634596</v>
      </c>
      <c r="AT126" s="19">
        <v>3.08585556173546E-3</v>
      </c>
      <c r="AU126" s="20">
        <v>76.615629671291202</v>
      </c>
      <c r="AV126" s="19">
        <v>3.9600396405967703E-3</v>
      </c>
      <c r="AW126" s="20">
        <v>81.596000240448205</v>
      </c>
      <c r="AX126" s="19">
        <v>7.6174426966133498E-3</v>
      </c>
      <c r="AY126" s="20">
        <v>92.378932612089898</v>
      </c>
      <c r="AZ126" s="19">
        <v>5.0689539274850802E-3</v>
      </c>
      <c r="BA126" s="20">
        <v>114.531359483573</v>
      </c>
      <c r="BB126" s="19">
        <v>-1.7309370511001201E-2</v>
      </c>
      <c r="BC126" s="20">
        <v>106.816392041355</v>
      </c>
      <c r="BD126" s="19">
        <v>-1.05799757904224E-2</v>
      </c>
      <c r="BE126" s="20">
        <v>95.700884730348605</v>
      </c>
      <c r="BF126" s="19">
        <v>3.2279593622896998E-3</v>
      </c>
      <c r="BG126" s="20"/>
      <c r="BH126" s="19"/>
    </row>
    <row r="127" spans="1:60" x14ac:dyDescent="0.15">
      <c r="A127" s="17">
        <v>2008</v>
      </c>
      <c r="B127" s="17">
        <v>4</v>
      </c>
      <c r="C127" s="20">
        <v>102.092831153288</v>
      </c>
      <c r="D127" s="19">
        <v>3.2978882404937101E-3</v>
      </c>
      <c r="E127" s="20">
        <v>101.770314328594</v>
      </c>
      <c r="F127" s="19">
        <v>4.1857471746729004E-3</v>
      </c>
      <c r="G127" s="20">
        <v>102.837925273547</v>
      </c>
      <c r="H127" s="19">
        <v>1.20292193265374E-2</v>
      </c>
      <c r="I127" s="20">
        <v>85.266441658104796</v>
      </c>
      <c r="J127" s="19">
        <v>8.7806691996984404E-2</v>
      </c>
      <c r="K127" s="20">
        <v>116.888878356411</v>
      </c>
      <c r="L127" s="19">
        <v>2.6104268906446799E-2</v>
      </c>
      <c r="M127" s="20">
        <v>168.05282840586801</v>
      </c>
      <c r="N127" s="19">
        <v>1.7680520341881101E-2</v>
      </c>
      <c r="O127" s="20">
        <v>98.718382819106495</v>
      </c>
      <c r="P127" s="19">
        <v>2.9243807592266299E-2</v>
      </c>
      <c r="Q127" s="20">
        <v>73.222730596614895</v>
      </c>
      <c r="R127" s="19">
        <v>0.238180204481617</v>
      </c>
      <c r="S127" s="20">
        <v>173.06057621511201</v>
      </c>
      <c r="T127" s="19">
        <v>-0.286574509911386</v>
      </c>
      <c r="U127" s="20">
        <v>93.740728191459496</v>
      </c>
      <c r="V127" s="19">
        <v>3.9683822771070503E-3</v>
      </c>
      <c r="W127" s="20">
        <v>113.684626559656</v>
      </c>
      <c r="X127" s="19">
        <v>-4.1091514210845698E-2</v>
      </c>
      <c r="Y127" s="20">
        <v>119.24650575087</v>
      </c>
      <c r="Z127" s="19">
        <v>-1.57374048505943E-3</v>
      </c>
      <c r="AA127" s="20">
        <v>83.546868962001099</v>
      </c>
      <c r="AB127" s="19">
        <v>5.9106068170153804E-3</v>
      </c>
      <c r="AC127" s="20">
        <v>88.616804082628306</v>
      </c>
      <c r="AD127" s="19">
        <v>2.5434744876709599E-2</v>
      </c>
      <c r="AE127" s="20">
        <v>97.513480908927207</v>
      </c>
      <c r="AF127" s="19">
        <v>-9.7304380338836301E-5</v>
      </c>
      <c r="AG127" s="20">
        <v>125.585559980959</v>
      </c>
      <c r="AH127" s="19">
        <v>1.7971897802837599E-3</v>
      </c>
      <c r="AI127" s="20">
        <v>138.39105995697199</v>
      </c>
      <c r="AJ127" s="19">
        <v>2.4113146164522099E-2</v>
      </c>
      <c r="AK127" s="20">
        <v>126.885079848888</v>
      </c>
      <c r="AL127" s="19">
        <v>-1.7291518143600099E-2</v>
      </c>
      <c r="AM127" s="20">
        <v>86.203477410859193</v>
      </c>
      <c r="AN127" s="19">
        <v>1.1499180581905801E-2</v>
      </c>
      <c r="AO127" s="20">
        <v>92.163845041091193</v>
      </c>
      <c r="AP127" s="19">
        <v>7.4584709112994804E-3</v>
      </c>
      <c r="AQ127" s="20">
        <v>86.707557145701102</v>
      </c>
      <c r="AR127" s="19">
        <v>2.2608774973479798E-2</v>
      </c>
      <c r="AS127" s="20">
        <v>94.682666550227495</v>
      </c>
      <c r="AT127" s="19">
        <v>2.2282953563530499E-3</v>
      </c>
      <c r="AU127" s="20">
        <v>76.962281522257598</v>
      </c>
      <c r="AV127" s="19">
        <v>4.5245578800783299E-3</v>
      </c>
      <c r="AW127" s="20">
        <v>82.389747058451206</v>
      </c>
      <c r="AX127" s="19">
        <v>9.7277662589338992E-3</v>
      </c>
      <c r="AY127" s="20">
        <v>92.581013867828801</v>
      </c>
      <c r="AZ127" s="19">
        <v>2.1875253374870102E-3</v>
      </c>
      <c r="BA127" s="20">
        <v>112.173570187</v>
      </c>
      <c r="BB127" s="19">
        <v>-2.05864080126608E-2</v>
      </c>
      <c r="BC127" s="20">
        <v>105.461253020521</v>
      </c>
      <c r="BD127" s="19">
        <v>-1.2686620423484099E-2</v>
      </c>
      <c r="BE127" s="20">
        <v>95.858931570880799</v>
      </c>
      <c r="BF127" s="19">
        <v>1.65146686969009E-3</v>
      </c>
      <c r="BG127" s="20"/>
      <c r="BH127" s="19"/>
    </row>
    <row r="128" spans="1:60" x14ac:dyDescent="0.15">
      <c r="A128" s="17">
        <v>2009</v>
      </c>
      <c r="B128" s="17">
        <v>1</v>
      </c>
      <c r="C128" s="20">
        <v>102.134457024786</v>
      </c>
      <c r="D128" s="19">
        <v>4.0772570441882601E-4</v>
      </c>
      <c r="E128" s="20">
        <v>101.882951624773</v>
      </c>
      <c r="F128" s="19">
        <v>1.1067794859702699E-3</v>
      </c>
      <c r="G128" s="20">
        <v>96.785926887388399</v>
      </c>
      <c r="H128" s="19">
        <v>-5.8849868568046297E-2</v>
      </c>
      <c r="I128" s="20">
        <v>92.341136540468497</v>
      </c>
      <c r="J128" s="19">
        <v>8.2971621012770197E-2</v>
      </c>
      <c r="K128" s="20">
        <v>118.610404274031</v>
      </c>
      <c r="L128" s="19">
        <v>1.4727884652731E-2</v>
      </c>
      <c r="M128" s="20">
        <v>169.72783642136301</v>
      </c>
      <c r="N128" s="19">
        <v>9.9671515878894095E-3</v>
      </c>
      <c r="O128" s="20">
        <v>100.366968696797</v>
      </c>
      <c r="P128" s="19">
        <v>1.6699887403052199E-2</v>
      </c>
      <c r="Q128" s="20">
        <v>80.1187841761638</v>
      </c>
      <c r="R128" s="19">
        <v>9.4179137043377506E-2</v>
      </c>
      <c r="S128" s="20">
        <v>144.15411586887899</v>
      </c>
      <c r="T128" s="19">
        <v>-0.167030880044581</v>
      </c>
      <c r="U128" s="20">
        <v>93.225359715682202</v>
      </c>
      <c r="V128" s="19">
        <v>-5.4978074708859096E-3</v>
      </c>
      <c r="W128" s="20">
        <v>109.679314157189</v>
      </c>
      <c r="X128" s="19">
        <v>-3.5231785718759602E-2</v>
      </c>
      <c r="Y128" s="20">
        <v>118.768970377299</v>
      </c>
      <c r="Z128" s="19">
        <v>-4.0046068483394802E-3</v>
      </c>
      <c r="AA128" s="20">
        <v>85.370645392956405</v>
      </c>
      <c r="AB128" s="19">
        <v>2.1829380964412101E-2</v>
      </c>
      <c r="AC128" s="20">
        <v>89.730699019872503</v>
      </c>
      <c r="AD128" s="19">
        <v>1.2569793604897199E-2</v>
      </c>
      <c r="AE128" s="20">
        <v>96.708870512919702</v>
      </c>
      <c r="AF128" s="19">
        <v>-8.25127344965715E-3</v>
      </c>
      <c r="AG128" s="20">
        <v>127.455099661367</v>
      </c>
      <c r="AH128" s="19">
        <v>1.4886581551984499E-2</v>
      </c>
      <c r="AI128" s="20">
        <v>139.97499651482201</v>
      </c>
      <c r="AJ128" s="19">
        <v>1.14453676295476E-2</v>
      </c>
      <c r="AK128" s="20">
        <v>127.96548618921901</v>
      </c>
      <c r="AL128" s="19">
        <v>8.5148414740208195E-3</v>
      </c>
      <c r="AM128" s="20">
        <v>87.560846817062696</v>
      </c>
      <c r="AN128" s="19">
        <v>1.5746109634695998E-2</v>
      </c>
      <c r="AO128" s="20">
        <v>92.633005862914601</v>
      </c>
      <c r="AP128" s="19">
        <v>5.09050833994817E-3</v>
      </c>
      <c r="AQ128" s="20">
        <v>88.095311626297701</v>
      </c>
      <c r="AR128" s="19">
        <v>1.6005000328455501E-2</v>
      </c>
      <c r="AS128" s="20">
        <v>94.961122557078795</v>
      </c>
      <c r="AT128" s="19">
        <v>2.9409396354891401E-3</v>
      </c>
      <c r="AU128" s="20">
        <v>77.511383934237202</v>
      </c>
      <c r="AV128" s="19">
        <v>7.1346950885391404E-3</v>
      </c>
      <c r="AW128" s="20">
        <v>83.430053571629898</v>
      </c>
      <c r="AX128" s="19">
        <v>1.26266501636496E-2</v>
      </c>
      <c r="AY128" s="20">
        <v>92.358428260178599</v>
      </c>
      <c r="AZ128" s="19">
        <v>-2.4042252115321601E-3</v>
      </c>
      <c r="BA128" s="20">
        <v>110.115544702145</v>
      </c>
      <c r="BB128" s="19">
        <v>-1.8346794894948299E-2</v>
      </c>
      <c r="BC128" s="20">
        <v>104.229439333207</v>
      </c>
      <c r="BD128" s="19">
        <v>-1.1680248925865401E-2</v>
      </c>
      <c r="BE128" s="20">
        <v>95.879131093101904</v>
      </c>
      <c r="BF128" s="19">
        <v>2.1072133696931099E-4</v>
      </c>
      <c r="BG128" s="20"/>
      <c r="BH128" s="19"/>
    </row>
    <row r="129" spans="1:60" x14ac:dyDescent="0.15">
      <c r="A129" s="17">
        <v>2009</v>
      </c>
      <c r="B129" s="17">
        <v>2</v>
      </c>
      <c r="C129" s="20">
        <v>102.118299785476</v>
      </c>
      <c r="D129" s="19">
        <v>-1.5819577232256701E-4</v>
      </c>
      <c r="E129" s="20">
        <v>101.91146598320201</v>
      </c>
      <c r="F129" s="19">
        <v>2.7987369793969202E-4</v>
      </c>
      <c r="G129" s="20">
        <v>88.945831198727106</v>
      </c>
      <c r="H129" s="19">
        <v>-8.1004500765729501E-2</v>
      </c>
      <c r="I129" s="20">
        <v>95.299829064854293</v>
      </c>
      <c r="J129" s="19">
        <v>3.2040893530578499E-2</v>
      </c>
      <c r="K129" s="20">
        <v>119.171745579142</v>
      </c>
      <c r="L129" s="19">
        <v>4.7326481057576898E-3</v>
      </c>
      <c r="M129" s="20">
        <v>170.46634245700801</v>
      </c>
      <c r="N129" s="19">
        <v>4.3511191282210602E-3</v>
      </c>
      <c r="O129" s="20">
        <v>100.87313901689799</v>
      </c>
      <c r="P129" s="19">
        <v>5.0431962494588102E-3</v>
      </c>
      <c r="Q129" s="20">
        <v>76.120161458726002</v>
      </c>
      <c r="R129" s="19">
        <v>-4.9908679450822099E-2</v>
      </c>
      <c r="S129" s="20">
        <v>126.30930571179201</v>
      </c>
      <c r="T129" s="19">
        <v>-0.123789806829513</v>
      </c>
      <c r="U129" s="20">
        <v>92.868488386455397</v>
      </c>
      <c r="V129" s="19">
        <v>-3.8280499031082501E-3</v>
      </c>
      <c r="W129" s="20">
        <v>108.852292464798</v>
      </c>
      <c r="X129" s="19">
        <v>-7.5403616328699697E-3</v>
      </c>
      <c r="Y129" s="20">
        <v>118.597667217328</v>
      </c>
      <c r="Z129" s="19">
        <v>-1.4423225142665701E-3</v>
      </c>
      <c r="AA129" s="20">
        <v>86.839588897138498</v>
      </c>
      <c r="AB129" s="19">
        <v>1.7206658066371901E-2</v>
      </c>
      <c r="AC129" s="20">
        <v>90.752098517908493</v>
      </c>
      <c r="AD129" s="19">
        <v>1.1382943732666E-2</v>
      </c>
      <c r="AE129" s="20">
        <v>96.733629297048196</v>
      </c>
      <c r="AF129" s="19">
        <v>2.5601357969717902E-4</v>
      </c>
      <c r="AG129" s="20">
        <v>127.697395012296</v>
      </c>
      <c r="AH129" s="19">
        <v>1.9010251576643299E-3</v>
      </c>
      <c r="AI129" s="20">
        <v>139.71579141886099</v>
      </c>
      <c r="AJ129" s="19">
        <v>-1.8517956950508999E-3</v>
      </c>
      <c r="AK129" s="20">
        <v>128.56625871969501</v>
      </c>
      <c r="AL129" s="19">
        <v>4.6948012965539699E-3</v>
      </c>
      <c r="AM129" s="20">
        <v>88.481078456637107</v>
      </c>
      <c r="AN129" s="19">
        <v>1.05096247127099E-2</v>
      </c>
      <c r="AO129" s="20">
        <v>93.190590346703502</v>
      </c>
      <c r="AP129" s="19">
        <v>6.0192852277081198E-3</v>
      </c>
      <c r="AQ129" s="20">
        <v>88.801310309703794</v>
      </c>
      <c r="AR129" s="19">
        <v>8.0140324198070302E-3</v>
      </c>
      <c r="AS129" s="20">
        <v>95.330079142442997</v>
      </c>
      <c r="AT129" s="19">
        <v>3.8853435535413099E-3</v>
      </c>
      <c r="AU129" s="20">
        <v>77.942368469222401</v>
      </c>
      <c r="AV129" s="19">
        <v>5.5602740282751899E-3</v>
      </c>
      <c r="AW129" s="20">
        <v>84.097708709889403</v>
      </c>
      <c r="AX129" s="19">
        <v>8.0025735292894602E-3</v>
      </c>
      <c r="AY129" s="20">
        <v>92.522298282433994</v>
      </c>
      <c r="AZ129" s="19">
        <v>1.7742833582414801E-3</v>
      </c>
      <c r="BA129" s="20">
        <v>108.72956868832</v>
      </c>
      <c r="BB129" s="19">
        <v>-1.25865609399046E-2</v>
      </c>
      <c r="BC129" s="20">
        <v>103.43010232986001</v>
      </c>
      <c r="BD129" s="19">
        <v>-7.6690137494799197E-3</v>
      </c>
      <c r="BE129" s="20">
        <v>95.920602808506004</v>
      </c>
      <c r="BF129" s="19">
        <v>4.3254162747730101E-4</v>
      </c>
      <c r="BG129" s="20"/>
      <c r="BH129" s="19"/>
    </row>
    <row r="130" spans="1:60" x14ac:dyDescent="0.15">
      <c r="A130" s="17">
        <v>2009</v>
      </c>
      <c r="B130" s="17">
        <v>3</v>
      </c>
      <c r="C130" s="20">
        <v>102.389909512253</v>
      </c>
      <c r="D130" s="19">
        <v>2.6597556691350102E-3</v>
      </c>
      <c r="E130" s="20">
        <v>102.151070225881</v>
      </c>
      <c r="F130" s="19">
        <v>2.35110191348853E-3</v>
      </c>
      <c r="G130" s="20">
        <v>83.831145185630902</v>
      </c>
      <c r="H130" s="19">
        <v>-5.7503380924831697E-2</v>
      </c>
      <c r="I130" s="20">
        <v>95.049691062650595</v>
      </c>
      <c r="J130" s="19">
        <v>-2.6247476481142699E-3</v>
      </c>
      <c r="K130" s="20">
        <v>118.51905872430901</v>
      </c>
      <c r="L130" s="19">
        <v>-5.4768590630387397E-3</v>
      </c>
      <c r="M130" s="20">
        <v>168.82210509391001</v>
      </c>
      <c r="N130" s="19">
        <v>-9.6455249722535701E-3</v>
      </c>
      <c r="O130" s="20">
        <v>100.497252128371</v>
      </c>
      <c r="P130" s="19">
        <v>-3.7263328195295E-3</v>
      </c>
      <c r="Q130" s="20">
        <v>71.750817256951095</v>
      </c>
      <c r="R130" s="19">
        <v>-5.7400616578356302E-2</v>
      </c>
      <c r="S130" s="20">
        <v>134.6498500827</v>
      </c>
      <c r="T130" s="19">
        <v>6.6032699047051405E-2</v>
      </c>
      <c r="U130" s="20">
        <v>92.573838049253098</v>
      </c>
      <c r="V130" s="19">
        <v>-3.1727698202233001E-3</v>
      </c>
      <c r="W130" s="20">
        <v>110.386218697102</v>
      </c>
      <c r="X130" s="19">
        <v>1.4091813755781101E-2</v>
      </c>
      <c r="Y130" s="20">
        <v>118.458462375946</v>
      </c>
      <c r="Z130" s="19">
        <v>-1.17375699410804E-3</v>
      </c>
      <c r="AA130" s="20">
        <v>87.616392402995004</v>
      </c>
      <c r="AB130" s="19">
        <v>8.94526926856609E-3</v>
      </c>
      <c r="AC130" s="20">
        <v>91.352264659757296</v>
      </c>
      <c r="AD130" s="19">
        <v>6.6132480862726196E-3</v>
      </c>
      <c r="AE130" s="20">
        <v>96.828521831312699</v>
      </c>
      <c r="AF130" s="19">
        <v>9.8096737353992004E-4</v>
      </c>
      <c r="AG130" s="20">
        <v>127.463223324098</v>
      </c>
      <c r="AH130" s="19">
        <v>-1.83380160711599E-3</v>
      </c>
      <c r="AI130" s="20">
        <v>138.642826106303</v>
      </c>
      <c r="AJ130" s="19">
        <v>-7.6796280625236503E-3</v>
      </c>
      <c r="AK130" s="20">
        <v>128.81052436128499</v>
      </c>
      <c r="AL130" s="19">
        <v>1.89992027475183E-3</v>
      </c>
      <c r="AM130" s="20">
        <v>88.834429372335094</v>
      </c>
      <c r="AN130" s="19">
        <v>3.9935195395608396E-3</v>
      </c>
      <c r="AO130" s="20">
        <v>93.876868512284801</v>
      </c>
      <c r="AP130" s="19">
        <v>7.3642431390132899E-3</v>
      </c>
      <c r="AQ130" s="20">
        <v>89.153454879622899</v>
      </c>
      <c r="AR130" s="19">
        <v>3.9655334892130202E-3</v>
      </c>
      <c r="AS130" s="20">
        <v>95.676089027707604</v>
      </c>
      <c r="AT130" s="19">
        <v>3.6295982168188501E-3</v>
      </c>
      <c r="AU130" s="20">
        <v>78.340853553090597</v>
      </c>
      <c r="AV130" s="19">
        <v>5.1125606226025697E-3</v>
      </c>
      <c r="AW130" s="20">
        <v>84.616589316459596</v>
      </c>
      <c r="AX130" s="19">
        <v>6.1699731720417103E-3</v>
      </c>
      <c r="AY130" s="20">
        <v>92.984172876857798</v>
      </c>
      <c r="AZ130" s="19">
        <v>4.9920354660228901E-3</v>
      </c>
      <c r="BA130" s="20">
        <v>109.98323660274301</v>
      </c>
      <c r="BB130" s="19">
        <v>1.15301470386204E-2</v>
      </c>
      <c r="BC130" s="20">
        <v>104.212451335957</v>
      </c>
      <c r="BD130" s="19">
        <v>7.5640358896837999E-3</v>
      </c>
      <c r="BE130" s="20">
        <v>96.007313986211301</v>
      </c>
      <c r="BF130" s="19">
        <v>9.0398908228705999E-4</v>
      </c>
      <c r="BG130" s="20"/>
      <c r="BH130" s="19"/>
    </row>
    <row r="131" spans="1:60" x14ac:dyDescent="0.15">
      <c r="A131" s="17">
        <v>2009</v>
      </c>
      <c r="B131" s="17">
        <v>4</v>
      </c>
      <c r="C131" s="20">
        <v>102.608063303394</v>
      </c>
      <c r="D131" s="19">
        <v>2.13061806754378E-3</v>
      </c>
      <c r="E131" s="20">
        <v>102.326142169297</v>
      </c>
      <c r="F131" s="19">
        <v>1.7138532472444901E-3</v>
      </c>
      <c r="G131" s="20">
        <v>82.161520530945793</v>
      </c>
      <c r="H131" s="19">
        <v>-1.99165197014541E-2</v>
      </c>
      <c r="I131" s="20">
        <v>94.693268018312907</v>
      </c>
      <c r="J131" s="19">
        <v>-3.74986010320377E-3</v>
      </c>
      <c r="K131" s="20">
        <v>117.241249243703</v>
      </c>
      <c r="L131" s="19">
        <v>-1.0781468350823701E-2</v>
      </c>
      <c r="M131" s="20">
        <v>165.85213722535599</v>
      </c>
      <c r="N131" s="19">
        <v>-1.7592292590484199E-2</v>
      </c>
      <c r="O131" s="20">
        <v>99.711717007101399</v>
      </c>
      <c r="P131" s="19">
        <v>-7.8164835817180495E-3</v>
      </c>
      <c r="Q131" s="20">
        <v>70.6126341117875</v>
      </c>
      <c r="R131" s="19">
        <v>-1.58629990385694E-2</v>
      </c>
      <c r="S131" s="20">
        <v>138.961875899722</v>
      </c>
      <c r="T131" s="19">
        <v>3.2023992706811798E-2</v>
      </c>
      <c r="U131" s="20">
        <v>91.970759139467702</v>
      </c>
      <c r="V131" s="19">
        <v>-6.5145717461177997E-3</v>
      </c>
      <c r="W131" s="20">
        <v>112.981397527597</v>
      </c>
      <c r="X131" s="19">
        <v>2.35099893911195E-2</v>
      </c>
      <c r="Y131" s="20">
        <v>117.959405005457</v>
      </c>
      <c r="Z131" s="19">
        <v>-4.2129313556830096E-3</v>
      </c>
      <c r="AA131" s="20">
        <v>87.505933691976907</v>
      </c>
      <c r="AB131" s="19">
        <v>-1.2607082760268699E-3</v>
      </c>
      <c r="AC131" s="20">
        <v>91.671239780682896</v>
      </c>
      <c r="AD131" s="19">
        <v>3.4917045802158602E-3</v>
      </c>
      <c r="AE131" s="20">
        <v>96.982079574350493</v>
      </c>
      <c r="AF131" s="19">
        <v>1.5858730478750501E-3</v>
      </c>
      <c r="AG131" s="20">
        <v>126.40352781422401</v>
      </c>
      <c r="AH131" s="19">
        <v>-8.31373538373004E-3</v>
      </c>
      <c r="AI131" s="20">
        <v>136.51279902170799</v>
      </c>
      <c r="AJ131" s="19">
        <v>-1.53634136321025E-2</v>
      </c>
      <c r="AK131" s="20">
        <v>128.77508163436599</v>
      </c>
      <c r="AL131" s="19">
        <v>-2.7515396816102399E-4</v>
      </c>
      <c r="AM131" s="20">
        <v>88.975642691616599</v>
      </c>
      <c r="AN131" s="19">
        <v>1.58962375600602E-3</v>
      </c>
      <c r="AO131" s="20">
        <v>94.460889219014604</v>
      </c>
      <c r="AP131" s="19">
        <v>6.2211353657732902E-3</v>
      </c>
      <c r="AQ131" s="20">
        <v>89.176675590294096</v>
      </c>
      <c r="AR131" s="19">
        <v>2.6045777701466698E-4</v>
      </c>
      <c r="AS131" s="20">
        <v>95.934605062684497</v>
      </c>
      <c r="AT131" s="19">
        <v>2.7019920818669402E-3</v>
      </c>
      <c r="AU131" s="20">
        <v>78.395033777526294</v>
      </c>
      <c r="AV131" s="19">
        <v>6.9159604444468702E-4</v>
      </c>
      <c r="AW131" s="20">
        <v>85.132607848604493</v>
      </c>
      <c r="AX131" s="19">
        <v>6.0983140104480197E-3</v>
      </c>
      <c r="AY131" s="20">
        <v>92.404072671410105</v>
      </c>
      <c r="AZ131" s="19">
        <v>-6.2386983451041501E-3</v>
      </c>
      <c r="BA131" s="20">
        <v>111.532798893332</v>
      </c>
      <c r="BB131" s="19">
        <v>1.40890770125879E-2</v>
      </c>
      <c r="BC131" s="20">
        <v>105.188406710301</v>
      </c>
      <c r="BD131" s="19">
        <v>9.3650553444724095E-3</v>
      </c>
      <c r="BE131" s="20">
        <v>96.149904498794001</v>
      </c>
      <c r="BF131" s="19">
        <v>1.48520468558422E-3</v>
      </c>
      <c r="BG131" s="20"/>
      <c r="BH131" s="19"/>
    </row>
    <row r="132" spans="1:60" x14ac:dyDescent="0.15">
      <c r="A132" s="17">
        <v>2010</v>
      </c>
      <c r="B132" s="17">
        <v>1</v>
      </c>
      <c r="C132" s="20">
        <v>102.601231809911</v>
      </c>
      <c r="D132" s="19">
        <v>-6.65785247578876E-5</v>
      </c>
      <c r="E132" s="20">
        <v>102.337979978837</v>
      </c>
      <c r="F132" s="19">
        <v>1.15687050143531E-4</v>
      </c>
      <c r="G132" s="20">
        <v>86.825635982521007</v>
      </c>
      <c r="H132" s="19">
        <v>5.6767637957946503E-2</v>
      </c>
      <c r="I132" s="20">
        <v>94.275276807655402</v>
      </c>
      <c r="J132" s="19">
        <v>-4.4141597328410899E-3</v>
      </c>
      <c r="K132" s="20">
        <v>116.11957732464001</v>
      </c>
      <c r="L132" s="19">
        <v>-9.5672122763896805E-3</v>
      </c>
      <c r="M132" s="20">
        <v>164.64054314326799</v>
      </c>
      <c r="N132" s="19">
        <v>-7.3052666209645302E-3</v>
      </c>
      <c r="O132" s="20">
        <v>98.641788179510399</v>
      </c>
      <c r="P132" s="19">
        <v>-1.0730221680113901E-2</v>
      </c>
      <c r="Q132" s="20">
        <v>71.329512917768497</v>
      </c>
      <c r="R132" s="19">
        <v>1.01522739520823E-2</v>
      </c>
      <c r="S132" s="20">
        <v>155.41238035545001</v>
      </c>
      <c r="T132" s="19">
        <v>0.11838142187716801</v>
      </c>
      <c r="U132" s="20">
        <v>91.213165922699702</v>
      </c>
      <c r="V132" s="19">
        <v>-8.2373269923671204E-3</v>
      </c>
      <c r="W132" s="20">
        <v>114.445563637156</v>
      </c>
      <c r="X132" s="19">
        <v>1.29593556249095E-2</v>
      </c>
      <c r="Y132" s="20">
        <v>117.404647802309</v>
      </c>
      <c r="Z132" s="19">
        <v>-4.7029501642745801E-3</v>
      </c>
      <c r="AA132" s="20">
        <v>86.143688434040399</v>
      </c>
      <c r="AB132" s="19">
        <v>-1.55674615475978E-2</v>
      </c>
      <c r="AC132" s="20">
        <v>91.566423640126203</v>
      </c>
      <c r="AD132" s="19">
        <v>-1.1433917639536201E-3</v>
      </c>
      <c r="AE132" s="20">
        <v>96.491655149348802</v>
      </c>
      <c r="AF132" s="19">
        <v>-5.0568561444980197E-3</v>
      </c>
      <c r="AG132" s="20">
        <v>124.87123380408801</v>
      </c>
      <c r="AH132" s="19">
        <v>-1.21222408633127E-2</v>
      </c>
      <c r="AI132" s="20">
        <v>133.818145695037</v>
      </c>
      <c r="AJ132" s="19">
        <v>-1.9739199151892602E-2</v>
      </c>
      <c r="AK132" s="20">
        <v>128.49966537485199</v>
      </c>
      <c r="AL132" s="19">
        <v>-2.1387387685466398E-3</v>
      </c>
      <c r="AM132" s="20">
        <v>89.256401131525905</v>
      </c>
      <c r="AN132" s="19">
        <v>3.1554527892811999E-3</v>
      </c>
      <c r="AO132" s="20">
        <v>94.969938649774505</v>
      </c>
      <c r="AP132" s="19">
        <v>5.3889968109410696E-3</v>
      </c>
      <c r="AQ132" s="20">
        <v>88.984689287501595</v>
      </c>
      <c r="AR132" s="19">
        <v>-2.1528757550293202E-3</v>
      </c>
      <c r="AS132" s="20">
        <v>96.158312305325296</v>
      </c>
      <c r="AT132" s="19">
        <v>2.3318722424989801E-3</v>
      </c>
      <c r="AU132" s="20">
        <v>78.3291797071481</v>
      </c>
      <c r="AV132" s="19">
        <v>-8.4002859881560099E-4</v>
      </c>
      <c r="AW132" s="20">
        <v>85.372729724781493</v>
      </c>
      <c r="AX132" s="19">
        <v>2.8205629105595401E-3</v>
      </c>
      <c r="AY132" s="20">
        <v>92.353712996436698</v>
      </c>
      <c r="AZ132" s="19">
        <v>-5.4499410596797705E-4</v>
      </c>
      <c r="BA132" s="20">
        <v>110.92411190274299</v>
      </c>
      <c r="BB132" s="19">
        <v>-5.4574707765682202E-3</v>
      </c>
      <c r="BC132" s="20">
        <v>104.91422241490299</v>
      </c>
      <c r="BD132" s="19">
        <v>-2.60660184875139E-3</v>
      </c>
      <c r="BE132" s="20">
        <v>96.349274853747303</v>
      </c>
      <c r="BF132" s="19">
        <v>2.0735366924447001E-3</v>
      </c>
      <c r="BG132" s="20"/>
      <c r="BH132" s="19"/>
    </row>
    <row r="133" spans="1:60" x14ac:dyDescent="0.15">
      <c r="A133" s="17">
        <v>2010</v>
      </c>
      <c r="B133" s="17">
        <v>2</v>
      </c>
      <c r="C133" s="20">
        <v>102.765884263684</v>
      </c>
      <c r="D133" s="19">
        <v>1.60478047746704E-3</v>
      </c>
      <c r="E133" s="20">
        <v>102.542191064935</v>
      </c>
      <c r="F133" s="19">
        <v>1.9954574649616598E-3</v>
      </c>
      <c r="G133" s="20">
        <v>87.602560918256103</v>
      </c>
      <c r="H133" s="19">
        <v>8.9481053256159591E-3</v>
      </c>
      <c r="I133" s="20">
        <v>92.965070360789596</v>
      </c>
      <c r="J133" s="19">
        <v>-1.38976674609919E-2</v>
      </c>
      <c r="K133" s="20">
        <v>115.284582585327</v>
      </c>
      <c r="L133" s="19">
        <v>-7.1908179357034196E-3</v>
      </c>
      <c r="M133" s="20">
        <v>160.983371572538</v>
      </c>
      <c r="N133" s="19">
        <v>-2.2213067941276601E-2</v>
      </c>
      <c r="O133" s="20">
        <v>98.525742132216607</v>
      </c>
      <c r="P133" s="19">
        <v>-1.1764390065863699E-3</v>
      </c>
      <c r="Q133" s="20">
        <v>71.787260977084998</v>
      </c>
      <c r="R133" s="19">
        <v>6.4173725656049303E-3</v>
      </c>
      <c r="S133" s="20">
        <v>187.12336626643699</v>
      </c>
      <c r="T133" s="19">
        <v>0.20404414267679399</v>
      </c>
      <c r="U133" s="20">
        <v>90.825224031055598</v>
      </c>
      <c r="V133" s="19">
        <v>-4.2531348157874797E-3</v>
      </c>
      <c r="W133" s="20">
        <v>115.369458724423</v>
      </c>
      <c r="X133" s="19">
        <v>8.0727907478870299E-3</v>
      </c>
      <c r="Y133" s="20">
        <v>116.52542590919499</v>
      </c>
      <c r="Z133" s="19">
        <v>-7.4888167510579499E-3</v>
      </c>
      <c r="AA133" s="20">
        <v>85.912806608620102</v>
      </c>
      <c r="AB133" s="19">
        <v>-2.6801943313244899E-3</v>
      </c>
      <c r="AC133" s="20">
        <v>91.695320202121295</v>
      </c>
      <c r="AD133" s="19">
        <v>1.4076836996681501E-3</v>
      </c>
      <c r="AE133" s="20">
        <v>96.6639550558981</v>
      </c>
      <c r="AF133" s="19">
        <v>1.7856456735307899E-3</v>
      </c>
      <c r="AG133" s="20">
        <v>124.830065627431</v>
      </c>
      <c r="AH133" s="19">
        <v>-3.2968503155339501E-4</v>
      </c>
      <c r="AI133" s="20">
        <v>133.579696691511</v>
      </c>
      <c r="AJ133" s="19">
        <v>-1.7818884149646301E-3</v>
      </c>
      <c r="AK133" s="20">
        <v>128.895819145264</v>
      </c>
      <c r="AL133" s="19">
        <v>3.0829167473416198E-3</v>
      </c>
      <c r="AM133" s="20">
        <v>89.404962340072601</v>
      </c>
      <c r="AN133" s="19">
        <v>1.6644319809375799E-3</v>
      </c>
      <c r="AO133" s="20">
        <v>95.501139586748707</v>
      </c>
      <c r="AP133" s="19">
        <v>5.5933587462144701E-3</v>
      </c>
      <c r="AQ133" s="20">
        <v>89.087939445007194</v>
      </c>
      <c r="AR133" s="19">
        <v>1.1603137386022599E-3</v>
      </c>
      <c r="AS133" s="20">
        <v>96.804184754761096</v>
      </c>
      <c r="AT133" s="19">
        <v>6.7167614941603402E-3</v>
      </c>
      <c r="AU133" s="20">
        <v>78.133262803205199</v>
      </c>
      <c r="AV133" s="19">
        <v>-2.5011994849849502E-3</v>
      </c>
      <c r="AW133" s="20">
        <v>85.772296455348695</v>
      </c>
      <c r="AX133" s="19">
        <v>4.6802618570982403E-3</v>
      </c>
      <c r="AY133" s="20">
        <v>92.611514940579298</v>
      </c>
      <c r="AZ133" s="19">
        <v>2.7914626903249298E-3</v>
      </c>
      <c r="BA133" s="20">
        <v>109.93555050200899</v>
      </c>
      <c r="BB133" s="19">
        <v>-8.9120515258318492E-3</v>
      </c>
      <c r="BC133" s="20">
        <v>104.37698334503401</v>
      </c>
      <c r="BD133" s="19">
        <v>-5.1207458579312099E-3</v>
      </c>
      <c r="BE133" s="20">
        <v>96.545500810956696</v>
      </c>
      <c r="BF133" s="19">
        <v>2.0366106284377401E-3</v>
      </c>
      <c r="BG133" s="20"/>
      <c r="BH133" s="19"/>
    </row>
    <row r="134" spans="1:60" x14ac:dyDescent="0.15">
      <c r="A134" s="17">
        <v>2010</v>
      </c>
      <c r="B134" s="17">
        <v>3</v>
      </c>
      <c r="C134" s="20">
        <v>102.764771980969</v>
      </c>
      <c r="D134" s="19">
        <v>-1.0823462692322E-5</v>
      </c>
      <c r="E134" s="20">
        <v>102.537576194325</v>
      </c>
      <c r="F134" s="19">
        <v>-4.5004603104636901E-5</v>
      </c>
      <c r="G134" s="20">
        <v>86.390579014397005</v>
      </c>
      <c r="H134" s="19">
        <v>-1.3835005405720999E-2</v>
      </c>
      <c r="I134" s="20">
        <v>93.143991804059397</v>
      </c>
      <c r="J134" s="19">
        <v>1.92460934601968E-3</v>
      </c>
      <c r="K134" s="20">
        <v>114.16811154467401</v>
      </c>
      <c r="L134" s="19">
        <v>-9.6844783197903607E-3</v>
      </c>
      <c r="M134" s="20">
        <v>153.96004014352999</v>
      </c>
      <c r="N134" s="19">
        <v>-4.3627682538898697E-2</v>
      </c>
      <c r="O134" s="20">
        <v>98.870416195470696</v>
      </c>
      <c r="P134" s="19">
        <v>3.4983148139249298E-3</v>
      </c>
      <c r="Q134" s="20">
        <v>73.3123018016759</v>
      </c>
      <c r="R134" s="19">
        <v>2.1243892075472299E-2</v>
      </c>
      <c r="S134" s="20">
        <v>172.78466303057499</v>
      </c>
      <c r="T134" s="19">
        <v>-7.6627005605735196E-2</v>
      </c>
      <c r="U134" s="20">
        <v>90.8003962575618</v>
      </c>
      <c r="V134" s="19">
        <v>-2.73357690649623E-4</v>
      </c>
      <c r="W134" s="20">
        <v>116.445709193597</v>
      </c>
      <c r="X134" s="19">
        <v>9.3287294668222796E-3</v>
      </c>
      <c r="Y134" s="20">
        <v>115.35033501968999</v>
      </c>
      <c r="Z134" s="19">
        <v>-1.00844161721472E-2</v>
      </c>
      <c r="AA134" s="20">
        <v>86.079361665885699</v>
      </c>
      <c r="AB134" s="19">
        <v>1.9386522666444701E-3</v>
      </c>
      <c r="AC134" s="20">
        <v>92.0968558851891</v>
      </c>
      <c r="AD134" s="19">
        <v>4.3790204579978696E-3</v>
      </c>
      <c r="AE134" s="20">
        <v>97.010991527014795</v>
      </c>
      <c r="AF134" s="19">
        <v>3.59013316717793E-3</v>
      </c>
      <c r="AG134" s="20">
        <v>124.255596058107</v>
      </c>
      <c r="AH134" s="19">
        <v>-4.6020128759524104E-3</v>
      </c>
      <c r="AI134" s="20">
        <v>131.501297125371</v>
      </c>
      <c r="AJ134" s="19">
        <v>-1.5559247532499E-2</v>
      </c>
      <c r="AK134" s="20">
        <v>130.053023342828</v>
      </c>
      <c r="AL134" s="19">
        <v>8.9778256985990606E-3</v>
      </c>
      <c r="AM134" s="20">
        <v>89.263394807393098</v>
      </c>
      <c r="AN134" s="19">
        <v>-1.58344155597367E-3</v>
      </c>
      <c r="AO134" s="20">
        <v>95.9566484300437</v>
      </c>
      <c r="AP134" s="19">
        <v>4.7696691920757796E-3</v>
      </c>
      <c r="AQ134" s="20">
        <v>89.2587389261966</v>
      </c>
      <c r="AR134" s="19">
        <v>1.9172009393586501E-3</v>
      </c>
      <c r="AS134" s="20">
        <v>97.086649073523603</v>
      </c>
      <c r="AT134" s="19">
        <v>2.9178936786462598E-3</v>
      </c>
      <c r="AU134" s="20">
        <v>77.906686681602395</v>
      </c>
      <c r="AV134" s="19">
        <v>-2.8998676552589599E-3</v>
      </c>
      <c r="AW134" s="20">
        <v>86.182599484955503</v>
      </c>
      <c r="AX134" s="19">
        <v>4.7836311555484699E-3</v>
      </c>
      <c r="AY134" s="20">
        <v>92.568742649704802</v>
      </c>
      <c r="AZ134" s="19">
        <v>-4.6184635789503497E-4</v>
      </c>
      <c r="BA134" s="20">
        <v>110.034863684962</v>
      </c>
      <c r="BB134" s="19">
        <v>9.0337641008653201E-4</v>
      </c>
      <c r="BC134" s="20">
        <v>104.51210125310701</v>
      </c>
      <c r="BD134" s="19">
        <v>1.2945182332611E-3</v>
      </c>
      <c r="BE134" s="20">
        <v>96.7381562717039</v>
      </c>
      <c r="BF134" s="19">
        <v>1.9954887501638699E-3</v>
      </c>
      <c r="BG134" s="20"/>
      <c r="BH134" s="19"/>
    </row>
    <row r="135" spans="1:60" x14ac:dyDescent="0.15">
      <c r="A135" s="17">
        <v>2010</v>
      </c>
      <c r="B135" s="17">
        <v>4</v>
      </c>
      <c r="C135" s="20">
        <v>102.952387113855</v>
      </c>
      <c r="D135" s="19">
        <v>1.8256755624430599E-3</v>
      </c>
      <c r="E135" s="20">
        <v>102.69823466719301</v>
      </c>
      <c r="F135" s="19">
        <v>1.56682534180308E-3</v>
      </c>
      <c r="G135" s="20">
        <v>84.716510476026102</v>
      </c>
      <c r="H135" s="19">
        <v>-1.9377906219287401E-2</v>
      </c>
      <c r="I135" s="20">
        <v>92.551690040390795</v>
      </c>
      <c r="J135" s="19">
        <v>-6.3589905499712397E-3</v>
      </c>
      <c r="K135" s="20">
        <v>112.65159982067701</v>
      </c>
      <c r="L135" s="19">
        <v>-1.3283146261054399E-2</v>
      </c>
      <c r="M135" s="20">
        <v>148.00577903122601</v>
      </c>
      <c r="N135" s="19">
        <v>-3.8674068328076301E-2</v>
      </c>
      <c r="O135" s="20">
        <v>98.546015755954599</v>
      </c>
      <c r="P135" s="19">
        <v>-3.2810667942851902E-3</v>
      </c>
      <c r="Q135" s="20">
        <v>74.173512328770002</v>
      </c>
      <c r="R135" s="19">
        <v>1.1747148922206499E-2</v>
      </c>
      <c r="S135" s="20">
        <v>175.433783130433</v>
      </c>
      <c r="T135" s="19">
        <v>1.53319169270765E-2</v>
      </c>
      <c r="U135" s="20">
        <v>91.678121860515404</v>
      </c>
      <c r="V135" s="19">
        <v>9.6665393448711594E-3</v>
      </c>
      <c r="W135" s="20">
        <v>118.023999213379</v>
      </c>
      <c r="X135" s="19">
        <v>1.35538701315185E-2</v>
      </c>
      <c r="Y135" s="20">
        <v>115.083155438906</v>
      </c>
      <c r="Z135" s="19">
        <v>-2.3162445149193002E-3</v>
      </c>
      <c r="AA135" s="20">
        <v>86.701460319845495</v>
      </c>
      <c r="AB135" s="19">
        <v>7.2270360969273204E-3</v>
      </c>
      <c r="AC135" s="20">
        <v>92.587588864486804</v>
      </c>
      <c r="AD135" s="19">
        <v>5.3284444358179302E-3</v>
      </c>
      <c r="AE135" s="20">
        <v>97.952546988104004</v>
      </c>
      <c r="AF135" s="19">
        <v>9.7056575370324492E-3</v>
      </c>
      <c r="AG135" s="20">
        <v>123.910831172478</v>
      </c>
      <c r="AH135" s="19">
        <v>-2.7746427248892501E-3</v>
      </c>
      <c r="AI135" s="20">
        <v>129.54777557346799</v>
      </c>
      <c r="AJ135" s="19">
        <v>-1.48555306647717E-2</v>
      </c>
      <c r="AK135" s="20">
        <v>132.15158413662201</v>
      </c>
      <c r="AL135" s="19">
        <v>1.6136193837352299E-2</v>
      </c>
      <c r="AM135" s="20">
        <v>89.510711215354405</v>
      </c>
      <c r="AN135" s="19">
        <v>2.77063636774044E-3</v>
      </c>
      <c r="AO135" s="20">
        <v>96.422134579812194</v>
      </c>
      <c r="AP135" s="19">
        <v>4.8510046712173498E-3</v>
      </c>
      <c r="AQ135" s="20">
        <v>89.350095941733898</v>
      </c>
      <c r="AR135" s="19">
        <v>1.02350780031557E-3</v>
      </c>
      <c r="AS135" s="20">
        <v>97.359546629436807</v>
      </c>
      <c r="AT135" s="19">
        <v>2.8108659482783999E-3</v>
      </c>
      <c r="AU135" s="20">
        <v>77.784367258434401</v>
      </c>
      <c r="AV135" s="19">
        <v>-1.57007605352111E-3</v>
      </c>
      <c r="AW135" s="20">
        <v>86.489500165712599</v>
      </c>
      <c r="AX135" s="19">
        <v>3.5610515648316601E-3</v>
      </c>
      <c r="AY135" s="20">
        <v>93.262684960698905</v>
      </c>
      <c r="AZ135" s="19">
        <v>7.4965079046185297E-3</v>
      </c>
      <c r="BA135" s="20">
        <v>111.015709951933</v>
      </c>
      <c r="BB135" s="19">
        <v>8.9139590319195997E-3</v>
      </c>
      <c r="BC135" s="20">
        <v>105.193028878622</v>
      </c>
      <c r="BD135" s="19">
        <v>6.5152993514732103E-3</v>
      </c>
      <c r="BE135" s="20">
        <v>96.935435479130902</v>
      </c>
      <c r="BF135" s="19">
        <v>2.0393112193797199E-3</v>
      </c>
      <c r="BG135" s="20"/>
      <c r="BH135" s="19"/>
    </row>
    <row r="136" spans="1:60" x14ac:dyDescent="0.15">
      <c r="A136" s="17">
        <v>2011</v>
      </c>
      <c r="B136" s="17">
        <v>1</v>
      </c>
      <c r="C136" s="20">
        <v>103.123781076033</v>
      </c>
      <c r="D136" s="19">
        <v>1.6647886171745601E-3</v>
      </c>
      <c r="E136" s="20">
        <v>102.86081083573499</v>
      </c>
      <c r="F136" s="19">
        <v>1.58304735294568E-3</v>
      </c>
      <c r="G136" s="20">
        <v>84.944682349123894</v>
      </c>
      <c r="H136" s="19">
        <v>2.6933577860524002E-3</v>
      </c>
      <c r="I136" s="20">
        <v>91.455270874277304</v>
      </c>
      <c r="J136" s="19">
        <v>-1.1846560183125099E-2</v>
      </c>
      <c r="K136" s="20">
        <v>111.135935019472</v>
      </c>
      <c r="L136" s="19">
        <v>-1.3454445419485501E-2</v>
      </c>
      <c r="M136" s="20">
        <v>139.50803646153901</v>
      </c>
      <c r="N136" s="19">
        <v>-5.7414937614657102E-2</v>
      </c>
      <c r="O136" s="20">
        <v>98.9088580797969</v>
      </c>
      <c r="P136" s="19">
        <v>3.6819583324494399E-3</v>
      </c>
      <c r="Q136" s="20">
        <v>71.449783630030396</v>
      </c>
      <c r="R136" s="19">
        <v>-3.6721042501895597E-2</v>
      </c>
      <c r="S136" s="20">
        <v>181.840227349282</v>
      </c>
      <c r="T136" s="19">
        <v>3.6517733953708199E-2</v>
      </c>
      <c r="U136" s="20">
        <v>93.169899733254198</v>
      </c>
      <c r="V136" s="19">
        <v>1.6271906998798401E-2</v>
      </c>
      <c r="W136" s="20">
        <v>118.369578676592</v>
      </c>
      <c r="X136" s="19">
        <v>2.9280440038938998E-3</v>
      </c>
      <c r="Y136" s="20">
        <v>114.013577065741</v>
      </c>
      <c r="Z136" s="19">
        <v>-9.2939611282511995E-3</v>
      </c>
      <c r="AA136" s="20">
        <v>87.395101683399204</v>
      </c>
      <c r="AB136" s="19">
        <v>8.0003423355829995E-3</v>
      </c>
      <c r="AC136" s="20">
        <v>93.061086870361194</v>
      </c>
      <c r="AD136" s="19">
        <v>5.1140548283132902E-3</v>
      </c>
      <c r="AE136" s="20">
        <v>98.692709129758001</v>
      </c>
      <c r="AF136" s="19">
        <v>7.5563338005282298E-3</v>
      </c>
      <c r="AG136" s="20">
        <v>124.65766968863799</v>
      </c>
      <c r="AH136" s="19">
        <v>6.0272254579614203E-3</v>
      </c>
      <c r="AI136" s="20">
        <v>128.88223990644099</v>
      </c>
      <c r="AJ136" s="19">
        <v>-5.1373762620098304E-3</v>
      </c>
      <c r="AK136" s="20">
        <v>135.48386552159801</v>
      </c>
      <c r="AL136" s="19">
        <v>2.52155992434469E-2</v>
      </c>
      <c r="AM136" s="20">
        <v>90.157344366030799</v>
      </c>
      <c r="AN136" s="19">
        <v>7.2240868371677997E-3</v>
      </c>
      <c r="AO136" s="20">
        <v>96.964600194508705</v>
      </c>
      <c r="AP136" s="19">
        <v>5.62594488351031E-3</v>
      </c>
      <c r="AQ136" s="20">
        <v>89.504735441058401</v>
      </c>
      <c r="AR136" s="19">
        <v>1.73071441831851E-3</v>
      </c>
      <c r="AS136" s="20">
        <v>97.743892589636403</v>
      </c>
      <c r="AT136" s="19">
        <v>3.9476966923697203E-3</v>
      </c>
      <c r="AU136" s="20">
        <v>77.753120115256095</v>
      </c>
      <c r="AV136" s="19">
        <v>-4.0171494967056198E-4</v>
      </c>
      <c r="AW136" s="20">
        <v>86.991828313575496</v>
      </c>
      <c r="AX136" s="19">
        <v>5.8079668271924199E-3</v>
      </c>
      <c r="AY136" s="20">
        <v>92.915237725407295</v>
      </c>
      <c r="AZ136" s="19">
        <v>-3.7254689315239201E-3</v>
      </c>
      <c r="BA136" s="20">
        <v>111.45646693321601</v>
      </c>
      <c r="BB136" s="19">
        <v>3.9702217053247902E-3</v>
      </c>
      <c r="BC136" s="20">
        <v>105.54558371972099</v>
      </c>
      <c r="BD136" s="19">
        <v>3.3515038482794198E-3</v>
      </c>
      <c r="BE136" s="20">
        <v>97.157898916618393</v>
      </c>
      <c r="BF136" s="19">
        <v>2.2949650598662599E-3</v>
      </c>
      <c r="BG136" s="20"/>
      <c r="BH136" s="19"/>
    </row>
    <row r="137" spans="1:60" x14ac:dyDescent="0.15">
      <c r="A137" s="17">
        <v>2011</v>
      </c>
      <c r="B137" s="17">
        <v>2</v>
      </c>
      <c r="C137" s="20">
        <v>102.826277167768</v>
      </c>
      <c r="D137" s="19">
        <v>-2.8849204825548399E-3</v>
      </c>
      <c r="E137" s="20">
        <v>102.47221616883699</v>
      </c>
      <c r="F137" s="19">
        <v>-3.77786898373855E-3</v>
      </c>
      <c r="G137" s="20">
        <v>84.037137266800599</v>
      </c>
      <c r="H137" s="19">
        <v>-1.0683954041917999E-2</v>
      </c>
      <c r="I137" s="20">
        <v>91.016759829657204</v>
      </c>
      <c r="J137" s="19">
        <v>-4.7948143439746601E-3</v>
      </c>
      <c r="K137" s="20">
        <v>108.45771185402501</v>
      </c>
      <c r="L137" s="19">
        <v>-2.4098624490608199E-2</v>
      </c>
      <c r="M137" s="20">
        <v>130.85019330962399</v>
      </c>
      <c r="N137" s="19">
        <v>-6.2059816563338602E-2</v>
      </c>
      <c r="O137" s="20">
        <v>97.968998485824898</v>
      </c>
      <c r="P137" s="19">
        <v>-9.5022792924550608E-3</v>
      </c>
      <c r="Q137" s="20">
        <v>70.522348261763</v>
      </c>
      <c r="R137" s="19">
        <v>-1.29802404031008E-2</v>
      </c>
      <c r="S137" s="20">
        <v>178.59027269750601</v>
      </c>
      <c r="T137" s="19">
        <v>-1.7872583526489801E-2</v>
      </c>
      <c r="U137" s="20">
        <v>94.446347888321299</v>
      </c>
      <c r="V137" s="19">
        <v>1.3700220336412701E-2</v>
      </c>
      <c r="W137" s="20">
        <v>118.15021497400799</v>
      </c>
      <c r="X137" s="19">
        <v>-1.85321013250606E-3</v>
      </c>
      <c r="Y137" s="20">
        <v>112.792115760941</v>
      </c>
      <c r="Z137" s="19">
        <v>-1.07132969268638E-2</v>
      </c>
      <c r="AA137" s="20">
        <v>87.331691339257404</v>
      </c>
      <c r="AB137" s="19">
        <v>-7.2555947553642997E-4</v>
      </c>
      <c r="AC137" s="20">
        <v>93.506479005649894</v>
      </c>
      <c r="AD137" s="19">
        <v>4.7860190576669596E-3</v>
      </c>
      <c r="AE137" s="20">
        <v>99.008352016078604</v>
      </c>
      <c r="AF137" s="19">
        <v>3.1982391516436298E-3</v>
      </c>
      <c r="AG137" s="20">
        <v>124.567661737907</v>
      </c>
      <c r="AH137" s="19">
        <v>-7.2204101806083699E-4</v>
      </c>
      <c r="AI137" s="20">
        <v>127.16787627053</v>
      </c>
      <c r="AJ137" s="19">
        <v>-1.33017833733758E-2</v>
      </c>
      <c r="AK137" s="20">
        <v>137.60053263289899</v>
      </c>
      <c r="AL137" s="19">
        <v>1.5623019782852E-2</v>
      </c>
      <c r="AM137" s="20">
        <v>90.355941072757901</v>
      </c>
      <c r="AN137" s="19">
        <v>2.2027790206506901E-3</v>
      </c>
      <c r="AO137" s="20">
        <v>97.283111850872103</v>
      </c>
      <c r="AP137" s="19">
        <v>3.28482410822661E-3</v>
      </c>
      <c r="AQ137" s="20">
        <v>89.780133801135094</v>
      </c>
      <c r="AR137" s="19">
        <v>3.0769138495245802E-3</v>
      </c>
      <c r="AS137" s="20">
        <v>98.402968421648296</v>
      </c>
      <c r="AT137" s="19">
        <v>6.7428850493895798E-3</v>
      </c>
      <c r="AU137" s="20">
        <v>77.8445641658098</v>
      </c>
      <c r="AV137" s="19">
        <v>1.17608207128139E-3</v>
      </c>
      <c r="AW137" s="20">
        <v>87.363140402545397</v>
      </c>
      <c r="AX137" s="19">
        <v>4.2683559613374599E-3</v>
      </c>
      <c r="AY137" s="20">
        <v>93.049769474439401</v>
      </c>
      <c r="AZ137" s="19">
        <v>1.44789759274588E-3</v>
      </c>
      <c r="BA137" s="20">
        <v>113.930416685705</v>
      </c>
      <c r="BB137" s="19">
        <v>2.21965563826085E-2</v>
      </c>
      <c r="BC137" s="20">
        <v>107.192630112998</v>
      </c>
      <c r="BD137" s="19">
        <v>1.5605071621479699E-2</v>
      </c>
      <c r="BE137" s="20">
        <v>97.556284936174293</v>
      </c>
      <c r="BF137" s="19">
        <v>4.1003976413462899E-3</v>
      </c>
      <c r="BG137" s="20"/>
      <c r="BH137" s="19"/>
    </row>
    <row r="138" spans="1:60" x14ac:dyDescent="0.15">
      <c r="A138" s="17">
        <v>2011</v>
      </c>
      <c r="B138" s="17">
        <v>3</v>
      </c>
      <c r="C138" s="20">
        <v>102.76523634261601</v>
      </c>
      <c r="D138" s="19">
        <v>-5.93630605268736E-4</v>
      </c>
      <c r="E138" s="20">
        <v>102.41575492769999</v>
      </c>
      <c r="F138" s="19">
        <v>-5.5099072946507299E-4</v>
      </c>
      <c r="G138" s="20">
        <v>78.952219600333905</v>
      </c>
      <c r="H138" s="19">
        <v>-6.0507982920967901E-2</v>
      </c>
      <c r="I138" s="20">
        <v>92.261474100445199</v>
      </c>
      <c r="J138" s="19">
        <v>1.36756600994976E-2</v>
      </c>
      <c r="K138" s="20">
        <v>106.78636717436601</v>
      </c>
      <c r="L138" s="19">
        <v>-1.54101045567784E-2</v>
      </c>
      <c r="M138" s="20">
        <v>126.51030841869</v>
      </c>
      <c r="N138" s="19">
        <v>-3.3166820630256097E-2</v>
      </c>
      <c r="O138" s="20">
        <v>97.011046765993598</v>
      </c>
      <c r="P138" s="19">
        <v>-9.7781107762357992E-3</v>
      </c>
      <c r="Q138" s="20">
        <v>74.614570397913795</v>
      </c>
      <c r="R138" s="19">
        <v>5.8027309597822103E-2</v>
      </c>
      <c r="S138" s="20">
        <v>174.84624788270901</v>
      </c>
      <c r="T138" s="19">
        <v>-2.0964326658143899E-2</v>
      </c>
      <c r="U138" s="20">
        <v>95.295428722058503</v>
      </c>
      <c r="V138" s="19">
        <v>8.9900864641287992E-3</v>
      </c>
      <c r="W138" s="20">
        <v>117.645985918338</v>
      </c>
      <c r="X138" s="19">
        <v>-4.2676947797365399E-3</v>
      </c>
      <c r="Y138" s="20">
        <v>111.384672099306</v>
      </c>
      <c r="Z138" s="19">
        <v>-1.2478209599496999E-2</v>
      </c>
      <c r="AA138" s="20">
        <v>88.950712056415696</v>
      </c>
      <c r="AB138" s="19">
        <v>1.8538753713917E-2</v>
      </c>
      <c r="AC138" s="20">
        <v>94.226530404593504</v>
      </c>
      <c r="AD138" s="19">
        <v>7.7005508773364496E-3</v>
      </c>
      <c r="AE138" s="20">
        <v>99.732381470298407</v>
      </c>
      <c r="AF138" s="19">
        <v>7.3128118939118601E-3</v>
      </c>
      <c r="AG138" s="20">
        <v>124.970745707105</v>
      </c>
      <c r="AH138" s="19">
        <v>3.2358636549403301E-3</v>
      </c>
      <c r="AI138" s="20">
        <v>126.938062430816</v>
      </c>
      <c r="AJ138" s="19">
        <v>-1.80716896792799E-3</v>
      </c>
      <c r="AK138" s="20">
        <v>138.79813482776299</v>
      </c>
      <c r="AL138" s="19">
        <v>8.7034706330659795E-3</v>
      </c>
      <c r="AM138" s="20">
        <v>90.463187779796399</v>
      </c>
      <c r="AN138" s="19">
        <v>1.1869358645955101E-3</v>
      </c>
      <c r="AO138" s="20">
        <v>97.496140981072699</v>
      </c>
      <c r="AP138" s="19">
        <v>2.1897853198522602E-3</v>
      </c>
      <c r="AQ138" s="20">
        <v>90.15781849004</v>
      </c>
      <c r="AR138" s="19">
        <v>4.20677351340926E-3</v>
      </c>
      <c r="AS138" s="20">
        <v>99.184093127114906</v>
      </c>
      <c r="AT138" s="19">
        <v>7.9380197365552796E-3</v>
      </c>
      <c r="AU138" s="20">
        <v>78.202384999249304</v>
      </c>
      <c r="AV138" s="19">
        <v>4.5966065488827201E-3</v>
      </c>
      <c r="AW138" s="20">
        <v>87.9425387879227</v>
      </c>
      <c r="AX138" s="19">
        <v>6.6320691164210004E-3</v>
      </c>
      <c r="AY138" s="20">
        <v>92.750131873641195</v>
      </c>
      <c r="AZ138" s="19">
        <v>-3.22018638509913E-3</v>
      </c>
      <c r="BA138" s="20">
        <v>113.783265822492</v>
      </c>
      <c r="BB138" s="19">
        <v>-1.29158540356844E-3</v>
      </c>
      <c r="BC138" s="20">
        <v>107.324543757518</v>
      </c>
      <c r="BD138" s="19">
        <v>1.2306223327169801E-3</v>
      </c>
      <c r="BE138" s="20">
        <v>98.149501941853103</v>
      </c>
      <c r="BF138" s="19">
        <v>6.0807666678468503E-3</v>
      </c>
      <c r="BG138" s="20"/>
      <c r="BH138" s="19"/>
    </row>
    <row r="139" spans="1:60" x14ac:dyDescent="0.15">
      <c r="A139" s="17">
        <v>2011</v>
      </c>
      <c r="B139" s="17">
        <v>4</v>
      </c>
      <c r="C139" s="20">
        <v>102.810400286429</v>
      </c>
      <c r="D139" s="19">
        <v>4.3948659508763499E-4</v>
      </c>
      <c r="E139" s="20">
        <v>102.53632111120299</v>
      </c>
      <c r="F139" s="19">
        <v>1.17722301210721E-3</v>
      </c>
      <c r="G139" s="20">
        <v>77.953444747490295</v>
      </c>
      <c r="H139" s="19">
        <v>-1.2650370792608299E-2</v>
      </c>
      <c r="I139" s="20">
        <v>90.303194895759503</v>
      </c>
      <c r="J139" s="19">
        <v>-2.1225318842768199E-2</v>
      </c>
      <c r="K139" s="20">
        <v>107.232287423042</v>
      </c>
      <c r="L139" s="19">
        <v>4.1758162626535098E-3</v>
      </c>
      <c r="M139" s="20">
        <v>133.384977647841</v>
      </c>
      <c r="N139" s="19">
        <v>5.4340783095711699E-2</v>
      </c>
      <c r="O139" s="20">
        <v>95.723277053399997</v>
      </c>
      <c r="P139" s="19">
        <v>-1.32744646668943E-2</v>
      </c>
      <c r="Q139" s="20">
        <v>74.413605770762402</v>
      </c>
      <c r="R139" s="19">
        <v>-2.6933697544552198E-3</v>
      </c>
      <c r="S139" s="20">
        <v>169.67668138767499</v>
      </c>
      <c r="T139" s="19">
        <v>-2.9566356485395701E-2</v>
      </c>
      <c r="U139" s="20">
        <v>95.670208616049905</v>
      </c>
      <c r="V139" s="19">
        <v>3.9328213222535897E-3</v>
      </c>
      <c r="W139" s="20">
        <v>117.12423414523199</v>
      </c>
      <c r="X139" s="19">
        <v>-4.4349305166118099E-3</v>
      </c>
      <c r="Y139" s="20">
        <v>109.339889957202</v>
      </c>
      <c r="Z139" s="19">
        <v>-1.8357841375877999E-2</v>
      </c>
      <c r="AA139" s="20">
        <v>85.969765371865705</v>
      </c>
      <c r="AB139" s="19">
        <v>-3.3512342010926198E-2</v>
      </c>
      <c r="AC139" s="20">
        <v>94.442885160781202</v>
      </c>
      <c r="AD139" s="19">
        <v>2.2961129446101799E-3</v>
      </c>
      <c r="AE139" s="20">
        <v>99.962248305068997</v>
      </c>
      <c r="AF139" s="19">
        <v>2.3048365173057301E-3</v>
      </c>
      <c r="AG139" s="20">
        <v>125.664645501924</v>
      </c>
      <c r="AH139" s="19">
        <v>5.5524978337306904E-3</v>
      </c>
      <c r="AI139" s="20">
        <v>127.8761061124</v>
      </c>
      <c r="AJ139" s="19">
        <v>7.3897746949984598E-3</v>
      </c>
      <c r="AK139" s="20">
        <v>139.26269923978199</v>
      </c>
      <c r="AL139" s="19">
        <v>3.3470508274144901E-3</v>
      </c>
      <c r="AM139" s="20">
        <v>90.811317741701501</v>
      </c>
      <c r="AN139" s="19">
        <v>3.8483052659223898E-3</v>
      </c>
      <c r="AO139" s="20">
        <v>97.651955390364705</v>
      </c>
      <c r="AP139" s="19">
        <v>1.59815976021327E-3</v>
      </c>
      <c r="AQ139" s="20">
        <v>90.770117725128799</v>
      </c>
      <c r="AR139" s="19">
        <v>6.7914158233142201E-3</v>
      </c>
      <c r="AS139" s="20">
        <v>100.310690827192</v>
      </c>
      <c r="AT139" s="19">
        <v>1.1358653031523299E-2</v>
      </c>
      <c r="AU139" s="20">
        <v>78.483021897369696</v>
      </c>
      <c r="AV139" s="19">
        <v>3.5885976894836102E-3</v>
      </c>
      <c r="AW139" s="20">
        <v>88.451590087052296</v>
      </c>
      <c r="AX139" s="19">
        <v>5.7884535305170503E-3</v>
      </c>
      <c r="AY139" s="20">
        <v>91.945706391260003</v>
      </c>
      <c r="AZ139" s="19">
        <v>-8.6730386914928292E-3</v>
      </c>
      <c r="BA139" s="20">
        <v>111.508724583203</v>
      </c>
      <c r="BB139" s="19">
        <v>-1.99901208920918E-2</v>
      </c>
      <c r="BC139" s="20">
        <v>106.294707686675</v>
      </c>
      <c r="BD139" s="19">
        <v>-9.5955317841392995E-3</v>
      </c>
      <c r="BE139" s="20">
        <v>98.931996981455598</v>
      </c>
      <c r="BF139" s="19">
        <v>7.9724810021559699E-3</v>
      </c>
      <c r="BG139" s="20"/>
      <c r="BH139" s="19"/>
    </row>
    <row r="140" spans="1:60" x14ac:dyDescent="0.15">
      <c r="A140" s="17">
        <v>2012</v>
      </c>
      <c r="B140" s="17">
        <v>1</v>
      </c>
      <c r="C140" s="20">
        <v>103.03974353586899</v>
      </c>
      <c r="D140" s="19">
        <v>2.2307397773098101E-3</v>
      </c>
      <c r="E140" s="20">
        <v>102.770161274872</v>
      </c>
      <c r="F140" s="19">
        <v>2.2805593289752001E-3</v>
      </c>
      <c r="G140" s="20">
        <v>77.902385042180995</v>
      </c>
      <c r="H140" s="19">
        <v>-6.5500255280104302E-4</v>
      </c>
      <c r="I140" s="20">
        <v>87.292560926553705</v>
      </c>
      <c r="J140" s="19">
        <v>-3.3339174463107697E-2</v>
      </c>
      <c r="K140" s="20">
        <v>108.95455651707201</v>
      </c>
      <c r="L140" s="19">
        <v>1.6061105618641498E-2</v>
      </c>
      <c r="M140" s="20">
        <v>136.008536400368</v>
      </c>
      <c r="N140" s="19">
        <v>1.9669072175831501E-2</v>
      </c>
      <c r="O140" s="20">
        <v>97.194602503301795</v>
      </c>
      <c r="P140" s="19">
        <v>1.5370613033661299E-2</v>
      </c>
      <c r="Q140" s="20">
        <v>72.607951293220097</v>
      </c>
      <c r="R140" s="19">
        <v>-2.4265111989127001E-2</v>
      </c>
      <c r="S140" s="20">
        <v>164.834145160503</v>
      </c>
      <c r="T140" s="19">
        <v>-2.85397863016181E-2</v>
      </c>
      <c r="U140" s="20">
        <v>94.9653021157973</v>
      </c>
      <c r="V140" s="19">
        <v>-7.3680878347572899E-3</v>
      </c>
      <c r="W140" s="20">
        <v>115.932468526637</v>
      </c>
      <c r="X140" s="19">
        <v>-1.017522656428E-2</v>
      </c>
      <c r="Y140" s="20">
        <v>108.32501263122199</v>
      </c>
      <c r="Z140" s="19">
        <v>-9.2818579420300695E-3</v>
      </c>
      <c r="AA140" s="20">
        <v>85.658774273683306</v>
      </c>
      <c r="AB140" s="19">
        <v>-3.6174473297340098E-3</v>
      </c>
      <c r="AC140" s="20">
        <v>94.196971353219197</v>
      </c>
      <c r="AD140" s="19">
        <v>-2.6038362460378802E-3</v>
      </c>
      <c r="AE140" s="20">
        <v>99.776315580337794</v>
      </c>
      <c r="AF140" s="19">
        <v>-1.860029439952E-3</v>
      </c>
      <c r="AG140" s="20">
        <v>125.284124604168</v>
      </c>
      <c r="AH140" s="19">
        <v>-3.0280664560462501E-3</v>
      </c>
      <c r="AI140" s="20">
        <v>127.283022696537</v>
      </c>
      <c r="AJ140" s="19">
        <v>-4.6379533588696304E-3</v>
      </c>
      <c r="AK140" s="20">
        <v>139.09184299037901</v>
      </c>
      <c r="AL140" s="19">
        <v>-1.22686297433683E-3</v>
      </c>
      <c r="AM140" s="20">
        <v>91.381749009719201</v>
      </c>
      <c r="AN140" s="19">
        <v>6.2814997315661101E-3</v>
      </c>
      <c r="AO140" s="20">
        <v>97.726814457826606</v>
      </c>
      <c r="AP140" s="19">
        <v>7.6659056301098304E-4</v>
      </c>
      <c r="AQ140" s="20">
        <v>91.679818667739895</v>
      </c>
      <c r="AR140" s="19">
        <v>1.00220310980088E-2</v>
      </c>
      <c r="AS140" s="20">
        <v>101.611397109088</v>
      </c>
      <c r="AT140" s="19">
        <v>1.2966776234616799E-2</v>
      </c>
      <c r="AU140" s="20">
        <v>78.782682805115698</v>
      </c>
      <c r="AV140" s="19">
        <v>3.8181622024930899E-3</v>
      </c>
      <c r="AW140" s="20">
        <v>88.507171073157195</v>
      </c>
      <c r="AX140" s="19">
        <v>6.2837746670529903E-4</v>
      </c>
      <c r="AY140" s="20">
        <v>93.162868912845994</v>
      </c>
      <c r="AZ140" s="19">
        <v>1.3237839692117099E-2</v>
      </c>
      <c r="BA140" s="20">
        <v>111.55186054049901</v>
      </c>
      <c r="BB140" s="19">
        <v>3.86839303000874E-4</v>
      </c>
      <c r="BC140" s="20">
        <v>106.720335846705</v>
      </c>
      <c r="BD140" s="19">
        <v>4.0042272027758204E-3</v>
      </c>
      <c r="BE140" s="20">
        <v>99.865258653609303</v>
      </c>
      <c r="BF140" s="19">
        <v>9.4333653482061592E-3</v>
      </c>
      <c r="BG140" s="20"/>
      <c r="BH140" s="19"/>
    </row>
    <row r="141" spans="1:60" x14ac:dyDescent="0.15">
      <c r="A141" s="17">
        <v>2012</v>
      </c>
      <c r="B141" s="17">
        <v>2</v>
      </c>
      <c r="C141" s="20">
        <v>103.021021141783</v>
      </c>
      <c r="D141" s="19">
        <v>-1.8170070541256899E-4</v>
      </c>
      <c r="E141" s="20">
        <v>102.852898490361</v>
      </c>
      <c r="F141" s="19">
        <v>8.05070406259212E-4</v>
      </c>
      <c r="G141" s="20">
        <v>80.494298465201098</v>
      </c>
      <c r="H141" s="19">
        <v>3.3271297427115397E-2</v>
      </c>
      <c r="I141" s="20">
        <v>87.587805844204098</v>
      </c>
      <c r="J141" s="19">
        <v>3.3822460300911802E-3</v>
      </c>
      <c r="K141" s="20">
        <v>109.061851537558</v>
      </c>
      <c r="L141" s="19">
        <v>9.8476854861018204E-4</v>
      </c>
      <c r="M141" s="20">
        <v>138.861096713808</v>
      </c>
      <c r="N141" s="19">
        <v>2.09733917365467E-2</v>
      </c>
      <c r="O141" s="20">
        <v>96.610452546830999</v>
      </c>
      <c r="P141" s="19">
        <v>-6.0101069547661102E-3</v>
      </c>
      <c r="Q141" s="20">
        <v>72.053686842723906</v>
      </c>
      <c r="R141" s="19">
        <v>-7.6336605099597303E-3</v>
      </c>
      <c r="S141" s="20">
        <v>161.738460849429</v>
      </c>
      <c r="T141" s="19">
        <v>-1.8780600997807002E-2</v>
      </c>
      <c r="U141" s="20">
        <v>94.950743400746205</v>
      </c>
      <c r="V141" s="19">
        <v>-1.53305625599565E-4</v>
      </c>
      <c r="W141" s="20">
        <v>115.397298300071</v>
      </c>
      <c r="X141" s="19">
        <v>-4.6162238531348701E-3</v>
      </c>
      <c r="Y141" s="20">
        <v>107.256127203293</v>
      </c>
      <c r="Z141" s="19">
        <v>-9.867392599054E-3</v>
      </c>
      <c r="AA141" s="20">
        <v>87.366518520598106</v>
      </c>
      <c r="AB141" s="19">
        <v>1.9936594486612998E-2</v>
      </c>
      <c r="AC141" s="20">
        <v>94.345457568953407</v>
      </c>
      <c r="AD141" s="19">
        <v>1.5763374724375701E-3</v>
      </c>
      <c r="AE141" s="20">
        <v>99.783292880707094</v>
      </c>
      <c r="AF141" s="19">
        <v>6.9929424921344504E-5</v>
      </c>
      <c r="AG141" s="20">
        <v>124.26735434945201</v>
      </c>
      <c r="AH141" s="19">
        <v>-8.1157150431384606E-3</v>
      </c>
      <c r="AI141" s="20">
        <v>125.602561072594</v>
      </c>
      <c r="AJ141" s="19">
        <v>-1.32025590557266E-2</v>
      </c>
      <c r="AK141" s="20">
        <v>138.40669665358399</v>
      </c>
      <c r="AL141" s="19">
        <v>-4.9258556221863899E-3</v>
      </c>
      <c r="AM141" s="20">
        <v>91.7310140612353</v>
      </c>
      <c r="AN141" s="19">
        <v>3.8220438468403702E-3</v>
      </c>
      <c r="AO141" s="20">
        <v>97.832964462021906</v>
      </c>
      <c r="AP141" s="19">
        <v>1.08619118288344E-3</v>
      </c>
      <c r="AQ141" s="20">
        <v>92.049937019578095</v>
      </c>
      <c r="AR141" s="19">
        <v>4.0370755223628797E-3</v>
      </c>
      <c r="AS141" s="20">
        <v>102.454981953871</v>
      </c>
      <c r="AT141" s="19">
        <v>8.30206914562104E-3</v>
      </c>
      <c r="AU141" s="20">
        <v>79.329870173071697</v>
      </c>
      <c r="AV141" s="19">
        <v>6.9455284901833699E-3</v>
      </c>
      <c r="AW141" s="20">
        <v>88.657976374232305</v>
      </c>
      <c r="AX141" s="19">
        <v>1.70387663786542E-3</v>
      </c>
      <c r="AY141" s="20">
        <v>93.120140970676204</v>
      </c>
      <c r="AZ141" s="19">
        <v>-4.5863703714088501E-4</v>
      </c>
      <c r="BA141" s="20">
        <v>108.329580277639</v>
      </c>
      <c r="BB141" s="19">
        <v>-2.8885939214706599E-2</v>
      </c>
      <c r="BC141" s="20">
        <v>105.174781375157</v>
      </c>
      <c r="BD141" s="19">
        <v>-1.44822864291532E-2</v>
      </c>
      <c r="BE141" s="20">
        <v>100.64627557224</v>
      </c>
      <c r="BF141" s="19">
        <v>7.8207069120972399E-3</v>
      </c>
      <c r="BG141" s="20"/>
      <c r="BH141" s="19"/>
    </row>
    <row r="142" spans="1:60" x14ac:dyDescent="0.15">
      <c r="A142" s="17">
        <v>2012</v>
      </c>
      <c r="B142" s="17">
        <v>3</v>
      </c>
      <c r="C142" s="20">
        <v>103.139558099872</v>
      </c>
      <c r="D142" s="19">
        <v>1.1506094268392E-3</v>
      </c>
      <c r="E142" s="20">
        <v>103.033678879753</v>
      </c>
      <c r="F142" s="19">
        <v>1.7576596483439601E-3</v>
      </c>
      <c r="G142" s="20">
        <v>79.736722205834994</v>
      </c>
      <c r="H142" s="19">
        <v>-9.4115517969716195E-3</v>
      </c>
      <c r="I142" s="20">
        <v>86.493412709811494</v>
      </c>
      <c r="J142" s="19">
        <v>-1.2494811621828E-2</v>
      </c>
      <c r="K142" s="20">
        <v>110.40768857896499</v>
      </c>
      <c r="L142" s="19">
        <v>1.23401264734961E-2</v>
      </c>
      <c r="M142" s="20">
        <v>141.31615373110199</v>
      </c>
      <c r="N142" s="19">
        <v>1.76799483469035E-2</v>
      </c>
      <c r="O142" s="20">
        <v>97.578900499572597</v>
      </c>
      <c r="P142" s="19">
        <v>1.0024256456847999E-2</v>
      </c>
      <c r="Q142" s="20">
        <v>74.030967482780099</v>
      </c>
      <c r="R142" s="19">
        <v>2.74417691404483E-2</v>
      </c>
      <c r="S142" s="20">
        <v>155.444683190386</v>
      </c>
      <c r="T142" s="19">
        <v>-3.8913302537867803E-2</v>
      </c>
      <c r="U142" s="20">
        <v>94.578745645824995</v>
      </c>
      <c r="V142" s="19">
        <v>-3.9177971819670497E-3</v>
      </c>
      <c r="W142" s="20">
        <v>114.85872917834</v>
      </c>
      <c r="X142" s="19">
        <v>-4.66708605543376E-3</v>
      </c>
      <c r="Y142" s="20">
        <v>106.195716831995</v>
      </c>
      <c r="Z142" s="19">
        <v>-9.88671136043906E-3</v>
      </c>
      <c r="AA142" s="20">
        <v>87.271972216687303</v>
      </c>
      <c r="AB142" s="19">
        <v>-1.08218005606497E-3</v>
      </c>
      <c r="AC142" s="20">
        <v>94.448990373177196</v>
      </c>
      <c r="AD142" s="19">
        <v>1.09737985157476E-3</v>
      </c>
      <c r="AE142" s="20">
        <v>99.681498999810003</v>
      </c>
      <c r="AF142" s="19">
        <v>-1.0201495456641E-3</v>
      </c>
      <c r="AG142" s="20">
        <v>123.051124298204</v>
      </c>
      <c r="AH142" s="19">
        <v>-9.78720483441076E-3</v>
      </c>
      <c r="AI142" s="20">
        <v>123.94241186529599</v>
      </c>
      <c r="AJ142" s="19">
        <v>-1.32174789520272E-2</v>
      </c>
      <c r="AK142" s="20">
        <v>137.168113236647</v>
      </c>
      <c r="AL142" s="19">
        <v>-8.9488691435017902E-3</v>
      </c>
      <c r="AM142" s="20">
        <v>92.058722821597996</v>
      </c>
      <c r="AN142" s="19">
        <v>3.5724968672425899E-3</v>
      </c>
      <c r="AO142" s="20">
        <v>97.988577667393699</v>
      </c>
      <c r="AP142" s="19">
        <v>1.5906009413850801E-3</v>
      </c>
      <c r="AQ142" s="20">
        <v>92.338617623090798</v>
      </c>
      <c r="AR142" s="19">
        <v>3.1361303750945301E-3</v>
      </c>
      <c r="AS142" s="20">
        <v>103.062746602901</v>
      </c>
      <c r="AT142" s="19">
        <v>5.9320165543901302E-3</v>
      </c>
      <c r="AU142" s="20">
        <v>80.272179271784495</v>
      </c>
      <c r="AV142" s="19">
        <v>1.18783643116647E-2</v>
      </c>
      <c r="AW142" s="20">
        <v>89.001003348788501</v>
      </c>
      <c r="AX142" s="19">
        <v>3.8691044910408299E-3</v>
      </c>
      <c r="AY142" s="20">
        <v>92.742580189811406</v>
      </c>
      <c r="AZ142" s="19">
        <v>-4.0545555121504996E-3</v>
      </c>
      <c r="BA142" s="20">
        <v>106.444669040432</v>
      </c>
      <c r="BB142" s="19">
        <v>-1.7399783442126001E-2</v>
      </c>
      <c r="BC142" s="20">
        <v>104.326087409416</v>
      </c>
      <c r="BD142" s="19">
        <v>-8.0693675294117896E-3</v>
      </c>
      <c r="BE142" s="20">
        <v>101.215535440596</v>
      </c>
      <c r="BF142" s="19">
        <v>5.6560450460732001E-3</v>
      </c>
      <c r="BG142" s="20"/>
      <c r="BH142" s="19"/>
    </row>
    <row r="143" spans="1:60" x14ac:dyDescent="0.15">
      <c r="A143" s="17">
        <v>2012</v>
      </c>
      <c r="B143" s="17">
        <v>4</v>
      </c>
      <c r="C143" s="20">
        <v>103.154393357069</v>
      </c>
      <c r="D143" s="19">
        <v>1.4383673414175601E-4</v>
      </c>
      <c r="E143" s="20">
        <v>102.976722516018</v>
      </c>
      <c r="F143" s="19">
        <v>-5.5279365304383699E-4</v>
      </c>
      <c r="G143" s="20">
        <v>82.650363938559707</v>
      </c>
      <c r="H143" s="19">
        <v>3.6540776346478697E-2</v>
      </c>
      <c r="I143" s="20">
        <v>86.197121163452593</v>
      </c>
      <c r="J143" s="19">
        <v>-3.4255966677255701E-3</v>
      </c>
      <c r="K143" s="20">
        <v>110.518023521098</v>
      </c>
      <c r="L143" s="19">
        <v>9.9934111068766796E-4</v>
      </c>
      <c r="M143" s="20">
        <v>139.97298692709199</v>
      </c>
      <c r="N143" s="19">
        <v>-9.5046940391947405E-3</v>
      </c>
      <c r="O143" s="20">
        <v>98.010912496134395</v>
      </c>
      <c r="P143" s="19">
        <v>4.4273095346436496E-3</v>
      </c>
      <c r="Q143" s="20">
        <v>73.844517490845803</v>
      </c>
      <c r="R143" s="19">
        <v>-2.5185405280261398E-3</v>
      </c>
      <c r="S143" s="20">
        <v>154.85048395788101</v>
      </c>
      <c r="T143" s="19">
        <v>-3.8225767540548401E-3</v>
      </c>
      <c r="U143" s="20">
        <v>94.568137718055098</v>
      </c>
      <c r="V143" s="19">
        <v>-1.1215974263067999E-4</v>
      </c>
      <c r="W143" s="20">
        <v>114.151179245893</v>
      </c>
      <c r="X143" s="19">
        <v>-6.1601755261332398E-3</v>
      </c>
      <c r="Y143" s="20">
        <v>105.55451182758399</v>
      </c>
      <c r="Z143" s="19">
        <v>-6.0379554236194002E-3</v>
      </c>
      <c r="AA143" s="20">
        <v>88.727696661948102</v>
      </c>
      <c r="AB143" s="19">
        <v>1.6680320248136898E-2</v>
      </c>
      <c r="AC143" s="20">
        <v>94.607288920227205</v>
      </c>
      <c r="AD143" s="19">
        <v>1.67602159032687E-3</v>
      </c>
      <c r="AE143" s="20">
        <v>99.413757393491693</v>
      </c>
      <c r="AF143" s="19">
        <v>-2.68597090738765E-3</v>
      </c>
      <c r="AG143" s="20">
        <v>121.21505577940501</v>
      </c>
      <c r="AH143" s="19">
        <v>-1.4921184420463101E-2</v>
      </c>
      <c r="AI143" s="20">
        <v>121.468645995412</v>
      </c>
      <c r="AJ143" s="19">
        <v>-1.9958994121991099E-2</v>
      </c>
      <c r="AK143" s="20">
        <v>135.27231216365499</v>
      </c>
      <c r="AL143" s="19">
        <v>-1.3821004228015601E-2</v>
      </c>
      <c r="AM143" s="20">
        <v>92.472771861255396</v>
      </c>
      <c r="AN143" s="19">
        <v>4.4976622200132398E-3</v>
      </c>
      <c r="AO143" s="20">
        <v>98.230328579331001</v>
      </c>
      <c r="AP143" s="19">
        <v>2.46713359548711E-3</v>
      </c>
      <c r="AQ143" s="20">
        <v>92.524378915251305</v>
      </c>
      <c r="AR143" s="19">
        <v>2.0117400167150002E-3</v>
      </c>
      <c r="AS143" s="20">
        <v>103.239088474843</v>
      </c>
      <c r="AT143" s="19">
        <v>1.7110146755685599E-3</v>
      </c>
      <c r="AU143" s="20">
        <v>81.145789631103597</v>
      </c>
      <c r="AV143" s="19">
        <v>1.0883102554887201E-2</v>
      </c>
      <c r="AW143" s="20">
        <v>89.161001712689298</v>
      </c>
      <c r="AX143" s="19">
        <v>1.7977141591738501E-3</v>
      </c>
      <c r="AY143" s="20">
        <v>92.876366772616706</v>
      </c>
      <c r="AZ143" s="19">
        <v>1.44255834301221E-3</v>
      </c>
      <c r="BA143" s="20">
        <v>108.704529222453</v>
      </c>
      <c r="BB143" s="19">
        <v>2.1230374450817501E-2</v>
      </c>
      <c r="BC143" s="20">
        <v>105.802490827285</v>
      </c>
      <c r="BD143" s="19">
        <v>1.41518143211405E-2</v>
      </c>
      <c r="BE143" s="20">
        <v>101.546721828541</v>
      </c>
      <c r="BF143" s="19">
        <v>3.2720904602605602E-3</v>
      </c>
      <c r="BG143" s="20"/>
      <c r="BH143" s="19"/>
    </row>
    <row r="144" spans="1:60" x14ac:dyDescent="0.15">
      <c r="A144" s="17">
        <v>2013</v>
      </c>
      <c r="B144" s="17">
        <v>1</v>
      </c>
      <c r="C144" s="20">
        <v>103.045033788495</v>
      </c>
      <c r="D144" s="19">
        <v>-1.0601542504958799E-3</v>
      </c>
      <c r="E144" s="20">
        <v>102.85233123399399</v>
      </c>
      <c r="F144" s="19">
        <v>-1.20795534160245E-3</v>
      </c>
      <c r="G144" s="20">
        <v>87.904540301965895</v>
      </c>
      <c r="H144" s="19">
        <v>6.3571121928901006E-2</v>
      </c>
      <c r="I144" s="20">
        <v>87.373587435802193</v>
      </c>
      <c r="J144" s="19">
        <v>1.36485564305424E-2</v>
      </c>
      <c r="K144" s="20">
        <v>110.029782769288</v>
      </c>
      <c r="L144" s="19">
        <v>-4.4177477686894199E-3</v>
      </c>
      <c r="M144" s="20">
        <v>138.39840335822399</v>
      </c>
      <c r="N144" s="19">
        <v>-1.1249196030147599E-2</v>
      </c>
      <c r="O144" s="20">
        <v>97.886615516929595</v>
      </c>
      <c r="P144" s="19">
        <v>-1.2681953064117601E-3</v>
      </c>
      <c r="Q144" s="20">
        <v>71.020341781647204</v>
      </c>
      <c r="R144" s="19">
        <v>-3.8244893529822702E-2</v>
      </c>
      <c r="S144" s="20">
        <v>153.10386286140499</v>
      </c>
      <c r="T144" s="19">
        <v>-1.12794035370983E-2</v>
      </c>
      <c r="U144" s="20">
        <v>95.066438298455196</v>
      </c>
      <c r="V144" s="19">
        <v>5.2692227257951103E-3</v>
      </c>
      <c r="W144" s="20">
        <v>113.620376620774</v>
      </c>
      <c r="X144" s="19">
        <v>-4.6499968605319096E-3</v>
      </c>
      <c r="Y144" s="20">
        <v>104.67863647351</v>
      </c>
      <c r="Z144" s="19">
        <v>-8.29784856098492E-3</v>
      </c>
      <c r="AA144" s="20">
        <v>90.447301419092597</v>
      </c>
      <c r="AB144" s="19">
        <v>1.9380698720221901E-2</v>
      </c>
      <c r="AC144" s="20">
        <v>94.752618370294897</v>
      </c>
      <c r="AD144" s="19">
        <v>1.5361337559340899E-3</v>
      </c>
      <c r="AE144" s="20">
        <v>99.407374480403007</v>
      </c>
      <c r="AF144" s="19">
        <v>-6.4205531065897298E-5</v>
      </c>
      <c r="AG144" s="20">
        <v>119.418106286127</v>
      </c>
      <c r="AH144" s="19">
        <v>-1.48244744163489E-2</v>
      </c>
      <c r="AI144" s="20">
        <v>119.71076795411599</v>
      </c>
      <c r="AJ144" s="19">
        <v>-1.4471866603021501E-2</v>
      </c>
      <c r="AK144" s="20">
        <v>132.538621810546</v>
      </c>
      <c r="AL144" s="19">
        <v>-2.0208794463428398E-2</v>
      </c>
      <c r="AM144" s="20">
        <v>93.170676079630297</v>
      </c>
      <c r="AN144" s="19">
        <v>7.5471320295457103E-3</v>
      </c>
      <c r="AO144" s="20">
        <v>98.549323022294601</v>
      </c>
      <c r="AP144" s="19">
        <v>3.2474129688573302E-3</v>
      </c>
      <c r="AQ144" s="20">
        <v>92.333976830711293</v>
      </c>
      <c r="AR144" s="19">
        <v>-2.0578585533056501E-3</v>
      </c>
      <c r="AS144" s="20">
        <v>103.077045098436</v>
      </c>
      <c r="AT144" s="19">
        <v>-1.5695932500087201E-3</v>
      </c>
      <c r="AU144" s="20">
        <v>81.932511066792401</v>
      </c>
      <c r="AV144" s="19">
        <v>9.6951602697472605E-3</v>
      </c>
      <c r="AW144" s="20">
        <v>89.052702276748406</v>
      </c>
      <c r="AX144" s="19">
        <v>-1.2146502827536901E-3</v>
      </c>
      <c r="AY144" s="20">
        <v>93.352578248483496</v>
      </c>
      <c r="AZ144" s="19">
        <v>5.1273697757012703E-3</v>
      </c>
      <c r="BA144" s="20">
        <v>109.120561387829</v>
      </c>
      <c r="BB144" s="19">
        <v>3.82718335980314E-3</v>
      </c>
      <c r="BC144" s="20">
        <v>106.056933742133</v>
      </c>
      <c r="BD144" s="19">
        <v>2.4048858666621E-3</v>
      </c>
      <c r="BE144" s="20">
        <v>101.642001343597</v>
      </c>
      <c r="BF144" s="19">
        <v>9.3828252984939897E-4</v>
      </c>
      <c r="BG144" s="20"/>
      <c r="BH144" s="19"/>
    </row>
    <row r="145" spans="1:60" x14ac:dyDescent="0.15">
      <c r="A145" s="17">
        <v>2013</v>
      </c>
      <c r="B145" s="17">
        <v>2</v>
      </c>
      <c r="C145" s="20">
        <v>103.100437437728</v>
      </c>
      <c r="D145" s="19">
        <v>5.3766442880553999E-4</v>
      </c>
      <c r="E145" s="20">
        <v>102.880438669602</v>
      </c>
      <c r="F145" s="19">
        <v>2.7327951899858101E-4</v>
      </c>
      <c r="G145" s="20">
        <v>91.211424764280906</v>
      </c>
      <c r="H145" s="19">
        <v>3.76190405063868E-2</v>
      </c>
      <c r="I145" s="20">
        <v>87.316232729799694</v>
      </c>
      <c r="J145" s="19">
        <v>-6.5643070961984905E-4</v>
      </c>
      <c r="K145" s="20">
        <v>109.76371879047601</v>
      </c>
      <c r="L145" s="19">
        <v>-2.41810873488757E-3</v>
      </c>
      <c r="M145" s="20">
        <v>136.14273106769599</v>
      </c>
      <c r="N145" s="19">
        <v>-1.6298398216988998E-2</v>
      </c>
      <c r="O145" s="20">
        <v>98.185300522951906</v>
      </c>
      <c r="P145" s="19">
        <v>3.05133653303868E-3</v>
      </c>
      <c r="Q145" s="20">
        <v>73.300921397387398</v>
      </c>
      <c r="R145" s="19">
        <v>3.2111639546200201E-2</v>
      </c>
      <c r="S145" s="20">
        <v>149.62710707313599</v>
      </c>
      <c r="T145" s="19">
        <v>-2.2708478566713E-2</v>
      </c>
      <c r="U145" s="20">
        <v>95.5240011154998</v>
      </c>
      <c r="V145" s="19">
        <v>4.8130846725120699E-3</v>
      </c>
      <c r="W145" s="20">
        <v>113.05955814628901</v>
      </c>
      <c r="X145" s="19">
        <v>-4.9358969857744598E-3</v>
      </c>
      <c r="Y145" s="20">
        <v>104.02988829264901</v>
      </c>
      <c r="Z145" s="19">
        <v>-6.1975222711792002E-3</v>
      </c>
      <c r="AA145" s="20">
        <v>90.632409968640204</v>
      </c>
      <c r="AB145" s="19">
        <v>2.0465900766888402E-3</v>
      </c>
      <c r="AC145" s="20">
        <v>95.0970458962328</v>
      </c>
      <c r="AD145" s="19">
        <v>3.6350185552853601E-3</v>
      </c>
      <c r="AE145" s="20">
        <v>99.3582877281398</v>
      </c>
      <c r="AF145" s="19">
        <v>-4.9379387112624695E-4</v>
      </c>
      <c r="AG145" s="20">
        <v>118.495746615638</v>
      </c>
      <c r="AH145" s="19">
        <v>-7.7237840991910599E-3</v>
      </c>
      <c r="AI145" s="20">
        <v>119.487069899291</v>
      </c>
      <c r="AJ145" s="19">
        <v>-1.8686544130379599E-3</v>
      </c>
      <c r="AK145" s="20">
        <v>130.20656891183501</v>
      </c>
      <c r="AL145" s="19">
        <v>-1.7595270471761099E-2</v>
      </c>
      <c r="AM145" s="20">
        <v>93.953652558105802</v>
      </c>
      <c r="AN145" s="19">
        <v>8.4036792628430206E-3</v>
      </c>
      <c r="AO145" s="20">
        <v>98.762536295515304</v>
      </c>
      <c r="AP145" s="19">
        <v>2.1635183954786799E-3</v>
      </c>
      <c r="AQ145" s="20">
        <v>92.408687002157706</v>
      </c>
      <c r="AR145" s="19">
        <v>8.0912979177094602E-4</v>
      </c>
      <c r="AS145" s="20">
        <v>102.748037258813</v>
      </c>
      <c r="AT145" s="19">
        <v>-3.1918633223151399E-3</v>
      </c>
      <c r="AU145" s="20">
        <v>82.450224177007001</v>
      </c>
      <c r="AV145" s="19">
        <v>6.31877509274159E-3</v>
      </c>
      <c r="AW145" s="20">
        <v>89.175754258173598</v>
      </c>
      <c r="AX145" s="19">
        <v>1.38178829254221E-3</v>
      </c>
      <c r="AY145" s="20">
        <v>93.784123655187798</v>
      </c>
      <c r="AZ145" s="19">
        <v>4.6227475962752297E-3</v>
      </c>
      <c r="BA145" s="20">
        <v>110.049238619495</v>
      </c>
      <c r="BB145" s="19">
        <v>8.5105613447615802E-3</v>
      </c>
      <c r="BC145" s="20">
        <v>106.59360457644</v>
      </c>
      <c r="BD145" s="19">
        <v>5.0602145033875603E-3</v>
      </c>
      <c r="BE145" s="20">
        <v>101.629775565241</v>
      </c>
      <c r="BF145" s="19">
        <v>-1.2028273935604799E-4</v>
      </c>
      <c r="BG145" s="20"/>
      <c r="BH145" s="19"/>
    </row>
    <row r="146" spans="1:60" x14ac:dyDescent="0.15">
      <c r="A146" s="17">
        <v>2013</v>
      </c>
      <c r="B146" s="17">
        <v>3</v>
      </c>
      <c r="C146" s="20">
        <v>103.036142602298</v>
      </c>
      <c r="D146" s="19">
        <v>-6.2361360463092396E-4</v>
      </c>
      <c r="E146" s="20">
        <v>102.829959810643</v>
      </c>
      <c r="F146" s="19">
        <v>-4.9065555718652597E-4</v>
      </c>
      <c r="G146" s="20">
        <v>92.446558378332895</v>
      </c>
      <c r="H146" s="19">
        <v>1.3541435376587699E-2</v>
      </c>
      <c r="I146" s="20">
        <v>86.525816179257006</v>
      </c>
      <c r="J146" s="19">
        <v>-9.0523437146977602E-3</v>
      </c>
      <c r="K146" s="20">
        <v>109.545749338433</v>
      </c>
      <c r="L146" s="19">
        <v>-1.9858060062544198E-3</v>
      </c>
      <c r="M146" s="20">
        <v>135.75995211074101</v>
      </c>
      <c r="N146" s="19">
        <v>-2.8116003987419501E-3</v>
      </c>
      <c r="O146" s="20">
        <v>98.008619391237502</v>
      </c>
      <c r="P146" s="19">
        <v>-1.79946622125071E-3</v>
      </c>
      <c r="Q146" s="20">
        <v>72.162007455862707</v>
      </c>
      <c r="R146" s="19">
        <v>-1.55375119413621E-2</v>
      </c>
      <c r="S146" s="20">
        <v>148.54303973942899</v>
      </c>
      <c r="T146" s="19">
        <v>-7.2451266011404102E-3</v>
      </c>
      <c r="U146" s="20">
        <v>95.817620819012305</v>
      </c>
      <c r="V146" s="19">
        <v>3.0737793652246799E-3</v>
      </c>
      <c r="W146" s="20">
        <v>112.788410240773</v>
      </c>
      <c r="X146" s="19">
        <v>-2.3982749442943399E-3</v>
      </c>
      <c r="Y146" s="20">
        <v>103.849325013068</v>
      </c>
      <c r="Z146" s="19">
        <v>-1.73568656609124E-3</v>
      </c>
      <c r="AA146" s="20">
        <v>90.290730106847107</v>
      </c>
      <c r="AB146" s="19">
        <v>-3.7699522931284898E-3</v>
      </c>
      <c r="AC146" s="20">
        <v>95.401687107797699</v>
      </c>
      <c r="AD146" s="19">
        <v>3.20347712900859E-3</v>
      </c>
      <c r="AE146" s="20">
        <v>99.371087487790007</v>
      </c>
      <c r="AF146" s="19">
        <v>1.2882427770088999E-4</v>
      </c>
      <c r="AG146" s="20">
        <v>117.256055211891</v>
      </c>
      <c r="AH146" s="19">
        <v>-1.0461906348154601E-2</v>
      </c>
      <c r="AI146" s="20">
        <v>118.485196308927</v>
      </c>
      <c r="AJ146" s="19">
        <v>-8.3847866652736504E-3</v>
      </c>
      <c r="AK146" s="20">
        <v>128.04436856843901</v>
      </c>
      <c r="AL146" s="19">
        <v>-1.6605923660122299E-2</v>
      </c>
      <c r="AM146" s="20">
        <v>94.680626055414294</v>
      </c>
      <c r="AN146" s="19">
        <v>7.73757568242406E-3</v>
      </c>
      <c r="AO146" s="20">
        <v>98.990399823523006</v>
      </c>
      <c r="AP146" s="19">
        <v>2.3071858677858898E-3</v>
      </c>
      <c r="AQ146" s="20">
        <v>92.571454222662098</v>
      </c>
      <c r="AR146" s="19">
        <v>1.7613844085957501E-3</v>
      </c>
      <c r="AS146" s="20">
        <v>102.55852194811899</v>
      </c>
      <c r="AT146" s="19">
        <v>-1.84446648082592E-3</v>
      </c>
      <c r="AU146" s="20">
        <v>82.7826373879507</v>
      </c>
      <c r="AV146" s="19">
        <v>4.0316835310236802E-3</v>
      </c>
      <c r="AW146" s="20">
        <v>89.577590858207699</v>
      </c>
      <c r="AX146" s="19">
        <v>4.5061194421831497E-3</v>
      </c>
      <c r="AY146" s="20">
        <v>93.865530920756996</v>
      </c>
      <c r="AZ146" s="19">
        <v>8.6802821625209204E-4</v>
      </c>
      <c r="BA146" s="20">
        <v>109.549219107768</v>
      </c>
      <c r="BB146" s="19">
        <v>-4.5435981020762696E-3</v>
      </c>
      <c r="BC146" s="20">
        <v>106.261319831224</v>
      </c>
      <c r="BD146" s="19">
        <v>-3.1173047063710602E-3</v>
      </c>
      <c r="BE146" s="20">
        <v>101.53371083636701</v>
      </c>
      <c r="BF146" s="19">
        <v>-9.4524196614542699E-4</v>
      </c>
      <c r="BG146" s="20"/>
      <c r="BH146" s="19"/>
    </row>
    <row r="147" spans="1:60" x14ac:dyDescent="0.15">
      <c r="A147" s="17">
        <v>2013</v>
      </c>
      <c r="B147" s="17">
        <v>4</v>
      </c>
      <c r="C147" s="20">
        <v>103.05013673606901</v>
      </c>
      <c r="D147" s="19">
        <v>1.35817718105447E-4</v>
      </c>
      <c r="E147" s="20">
        <v>102.86897067916399</v>
      </c>
      <c r="F147" s="19">
        <v>3.7937259328901801E-4</v>
      </c>
      <c r="G147" s="20">
        <v>91.9853185445116</v>
      </c>
      <c r="H147" s="19">
        <v>-4.98925911263981E-3</v>
      </c>
      <c r="I147" s="20">
        <v>86.534865616458205</v>
      </c>
      <c r="J147" s="19">
        <v>1.0458655694622899E-4</v>
      </c>
      <c r="K147" s="20">
        <v>109.385483180059</v>
      </c>
      <c r="L147" s="19">
        <v>-1.4630066373363399E-3</v>
      </c>
      <c r="M147" s="20">
        <v>135.369856045376</v>
      </c>
      <c r="N147" s="19">
        <v>-2.8734251839331901E-3</v>
      </c>
      <c r="O147" s="20">
        <v>97.913263670139102</v>
      </c>
      <c r="P147" s="19">
        <v>-9.7293198996917197E-4</v>
      </c>
      <c r="Q147" s="20">
        <v>74.355198598610301</v>
      </c>
      <c r="R147" s="19">
        <v>3.03926015928675E-2</v>
      </c>
      <c r="S147" s="20">
        <v>150.63995523886101</v>
      </c>
      <c r="T147" s="19">
        <v>1.41165516951269E-2</v>
      </c>
      <c r="U147" s="20">
        <v>95.955451523310799</v>
      </c>
      <c r="V147" s="19">
        <v>1.43846928279312E-3</v>
      </c>
      <c r="W147" s="20">
        <v>112.722779141456</v>
      </c>
      <c r="X147" s="19">
        <v>-5.8189577436884598E-4</v>
      </c>
      <c r="Y147" s="20">
        <v>103.192406468277</v>
      </c>
      <c r="Z147" s="19">
        <v>-6.3256891145726498E-3</v>
      </c>
      <c r="AA147" s="20">
        <v>90.216290383479006</v>
      </c>
      <c r="AB147" s="19">
        <v>-8.2444480490995197E-4</v>
      </c>
      <c r="AC147" s="20">
        <v>95.758312299796899</v>
      </c>
      <c r="AD147" s="19">
        <v>3.7381434522876199E-3</v>
      </c>
      <c r="AE147" s="20">
        <v>99.389523802634599</v>
      </c>
      <c r="AF147" s="19">
        <v>1.85529969639608E-4</v>
      </c>
      <c r="AG147" s="20">
        <v>116.03007607089501</v>
      </c>
      <c r="AH147" s="19">
        <v>-1.04555721133566E-2</v>
      </c>
      <c r="AI147" s="20">
        <v>117.556583620792</v>
      </c>
      <c r="AJ147" s="19">
        <v>-7.8373730817229408E-3</v>
      </c>
      <c r="AK147" s="20">
        <v>125.840383048554</v>
      </c>
      <c r="AL147" s="19">
        <v>-1.72126704557642E-2</v>
      </c>
      <c r="AM147" s="20">
        <v>95.146753383156394</v>
      </c>
      <c r="AN147" s="19">
        <v>4.9231542625123303E-3</v>
      </c>
      <c r="AO147" s="20">
        <v>99.137351604952201</v>
      </c>
      <c r="AP147" s="19">
        <v>1.4845053832608401E-3</v>
      </c>
      <c r="AQ147" s="20">
        <v>93.191358787376203</v>
      </c>
      <c r="AR147" s="19">
        <v>6.6964980718906596E-3</v>
      </c>
      <c r="AS147" s="20">
        <v>102.297788671647</v>
      </c>
      <c r="AT147" s="19">
        <v>-2.54228777404031E-3</v>
      </c>
      <c r="AU147" s="20">
        <v>82.827991574038606</v>
      </c>
      <c r="AV147" s="19">
        <v>5.4787075549866905E-4</v>
      </c>
      <c r="AW147" s="20">
        <v>90.142987971492502</v>
      </c>
      <c r="AX147" s="19">
        <v>6.3118142368856498E-3</v>
      </c>
      <c r="AY147" s="20">
        <v>93.486968756654903</v>
      </c>
      <c r="AZ147" s="19">
        <v>-4.0330263983875403E-3</v>
      </c>
      <c r="BA147" s="20">
        <v>108.761842384018</v>
      </c>
      <c r="BB147" s="19">
        <v>-7.1874243391515397E-3</v>
      </c>
      <c r="BC147" s="20">
        <v>105.732697106925</v>
      </c>
      <c r="BD147" s="19">
        <v>-4.9747426922477399E-3</v>
      </c>
      <c r="BE147" s="20">
        <v>101.372464126233</v>
      </c>
      <c r="BF147" s="19">
        <v>-1.58811008487725E-3</v>
      </c>
      <c r="BG147" s="20"/>
      <c r="BH147" s="19"/>
    </row>
    <row r="148" spans="1:60" x14ac:dyDescent="0.15">
      <c r="A148" s="17">
        <v>2014</v>
      </c>
      <c r="B148" s="17">
        <v>1</v>
      </c>
      <c r="C148" s="20">
        <v>102.881746909876</v>
      </c>
      <c r="D148" s="19">
        <v>-1.6340572805227901E-3</v>
      </c>
      <c r="E148" s="20">
        <v>102.706366421689</v>
      </c>
      <c r="F148" s="19">
        <v>-1.58069295728092E-3</v>
      </c>
      <c r="G148" s="20">
        <v>91.327704064382303</v>
      </c>
      <c r="H148" s="19">
        <v>-7.1491243443497802E-3</v>
      </c>
      <c r="I148" s="20">
        <v>85.998466936637698</v>
      </c>
      <c r="J148" s="19">
        <v>-6.19864231601108E-3</v>
      </c>
      <c r="K148" s="20">
        <v>108.928003559012</v>
      </c>
      <c r="L148" s="19">
        <v>-4.1822699662438199E-3</v>
      </c>
      <c r="M148" s="20">
        <v>135.82106205847501</v>
      </c>
      <c r="N148" s="19">
        <v>3.3331350588674501E-3</v>
      </c>
      <c r="O148" s="20">
        <v>97.233529929968896</v>
      </c>
      <c r="P148" s="19">
        <v>-6.9422028711062502E-3</v>
      </c>
      <c r="Q148" s="20">
        <v>75.023474044820404</v>
      </c>
      <c r="R148" s="19">
        <v>8.9876089204961006E-3</v>
      </c>
      <c r="S148" s="20">
        <v>148.37179363656799</v>
      </c>
      <c r="T148" s="19">
        <v>-1.50568393272381E-2</v>
      </c>
      <c r="U148" s="20">
        <v>96.029820157639193</v>
      </c>
      <c r="V148" s="19">
        <v>7.7503292567349103E-4</v>
      </c>
      <c r="W148" s="20">
        <v>113.033076370508</v>
      </c>
      <c r="X148" s="19">
        <v>2.7527464405634498E-3</v>
      </c>
      <c r="Y148" s="20">
        <v>103.141480387321</v>
      </c>
      <c r="Z148" s="19">
        <v>-4.9350608924414495E-4</v>
      </c>
      <c r="AA148" s="20">
        <v>89.081906290019504</v>
      </c>
      <c r="AB148" s="19">
        <v>-1.25740494165484E-2</v>
      </c>
      <c r="AC148" s="20">
        <v>96.163050588859093</v>
      </c>
      <c r="AD148" s="19">
        <v>4.2266648120847803E-3</v>
      </c>
      <c r="AE148" s="20">
        <v>99.5600038079195</v>
      </c>
      <c r="AF148" s="19">
        <v>1.7152713763210999E-3</v>
      </c>
      <c r="AG148" s="20">
        <v>114.42906914643</v>
      </c>
      <c r="AH148" s="19">
        <v>-1.3798206281334499E-2</v>
      </c>
      <c r="AI148" s="20">
        <v>116.028881950147</v>
      </c>
      <c r="AJ148" s="19">
        <v>-1.2995458217578399E-2</v>
      </c>
      <c r="AK148" s="20">
        <v>123.378053945628</v>
      </c>
      <c r="AL148" s="19">
        <v>-1.95670820707502E-2</v>
      </c>
      <c r="AM148" s="20">
        <v>95.390049857076605</v>
      </c>
      <c r="AN148" s="19">
        <v>2.55706543070833E-3</v>
      </c>
      <c r="AO148" s="20">
        <v>99.184104028435996</v>
      </c>
      <c r="AP148" s="19">
        <v>4.7159241927463601E-4</v>
      </c>
      <c r="AQ148" s="20">
        <v>93.143096932407303</v>
      </c>
      <c r="AR148" s="19">
        <v>-5.1787907802802703E-4</v>
      </c>
      <c r="AS148" s="20">
        <v>102.041706839821</v>
      </c>
      <c r="AT148" s="19">
        <v>-2.5032978244270399E-3</v>
      </c>
      <c r="AU148" s="20">
        <v>82.747512716494796</v>
      </c>
      <c r="AV148" s="19">
        <v>-9.7163840405090096E-4</v>
      </c>
      <c r="AW148" s="20">
        <v>91.031962474648793</v>
      </c>
      <c r="AX148" s="19">
        <v>9.8618264510763592E-3</v>
      </c>
      <c r="AY148" s="20">
        <v>93.867372571026195</v>
      </c>
      <c r="AZ148" s="19">
        <v>4.0690571042201196E-3</v>
      </c>
      <c r="BA148" s="20">
        <v>108.40779867241901</v>
      </c>
      <c r="BB148" s="19">
        <v>-3.2552198807828101E-3</v>
      </c>
      <c r="BC148" s="20">
        <v>105.439249072575</v>
      </c>
      <c r="BD148" s="19">
        <v>-2.7753764197815398E-3</v>
      </c>
      <c r="BE148" s="20">
        <v>101.166897968302</v>
      </c>
      <c r="BF148" s="19">
        <v>-2.0278303354168701E-3</v>
      </c>
      <c r="BG148" s="20"/>
      <c r="BH148" s="19"/>
    </row>
    <row r="149" spans="1:60" x14ac:dyDescent="0.15">
      <c r="A149" s="17">
        <v>2014</v>
      </c>
      <c r="B149" s="17">
        <v>2</v>
      </c>
      <c r="C149" s="20">
        <v>102.713468900143</v>
      </c>
      <c r="D149" s="19">
        <v>-1.6356449495477099E-3</v>
      </c>
      <c r="E149" s="20">
        <v>102.544868975073</v>
      </c>
      <c r="F149" s="19">
        <v>-1.57241904510863E-3</v>
      </c>
      <c r="G149" s="20">
        <v>90.864587922867301</v>
      </c>
      <c r="H149" s="19">
        <v>-5.0709272313308497E-3</v>
      </c>
      <c r="I149" s="20">
        <v>86.140046561517593</v>
      </c>
      <c r="J149" s="19">
        <v>1.6463040554457499E-3</v>
      </c>
      <c r="K149" s="20">
        <v>108.788217718593</v>
      </c>
      <c r="L149" s="19">
        <v>-1.28328653653254E-3</v>
      </c>
      <c r="M149" s="20">
        <v>135.27223811113501</v>
      </c>
      <c r="N149" s="19">
        <v>-4.0407867456040397E-3</v>
      </c>
      <c r="O149" s="20">
        <v>97.209582155038404</v>
      </c>
      <c r="P149" s="19">
        <v>-2.4629132509845802E-4</v>
      </c>
      <c r="Q149" s="20">
        <v>76.355879233380506</v>
      </c>
      <c r="R149" s="19">
        <v>1.77598439091755E-2</v>
      </c>
      <c r="S149" s="20">
        <v>148.09252301962201</v>
      </c>
      <c r="T149" s="19">
        <v>-1.8822352288206899E-3</v>
      </c>
      <c r="U149" s="20">
        <v>96.130081786575005</v>
      </c>
      <c r="V149" s="19">
        <v>1.0440676528524801E-3</v>
      </c>
      <c r="W149" s="20">
        <v>112.41348249252</v>
      </c>
      <c r="X149" s="19">
        <v>-5.48152715898809E-3</v>
      </c>
      <c r="Y149" s="20">
        <v>102.95590915726601</v>
      </c>
      <c r="Z149" s="19">
        <v>-1.79919106607584E-3</v>
      </c>
      <c r="AA149" s="20">
        <v>89.0219945742557</v>
      </c>
      <c r="AB149" s="19">
        <v>-6.7254640430258696E-4</v>
      </c>
      <c r="AC149" s="20">
        <v>96.317306212453602</v>
      </c>
      <c r="AD149" s="19">
        <v>1.60410493063523E-3</v>
      </c>
      <c r="AE149" s="20">
        <v>99.641940770594204</v>
      </c>
      <c r="AF149" s="19">
        <v>8.2299075472880301E-4</v>
      </c>
      <c r="AG149" s="20">
        <v>112.986991095153</v>
      </c>
      <c r="AH149" s="19">
        <v>-1.26023750960629E-2</v>
      </c>
      <c r="AI149" s="20">
        <v>114.48228275259</v>
      </c>
      <c r="AJ149" s="19">
        <v>-1.3329432909827601E-2</v>
      </c>
      <c r="AK149" s="20">
        <v>121.37276815051</v>
      </c>
      <c r="AL149" s="19">
        <v>-1.6253180618347501E-2</v>
      </c>
      <c r="AM149" s="20">
        <v>95.504155409874002</v>
      </c>
      <c r="AN149" s="19">
        <v>1.1961997395790701E-3</v>
      </c>
      <c r="AO149" s="20">
        <v>99.203865191453701</v>
      </c>
      <c r="AP149" s="19">
        <v>1.9923719845294001E-4</v>
      </c>
      <c r="AQ149" s="20">
        <v>93.258333583146495</v>
      </c>
      <c r="AR149" s="19">
        <v>1.2372001204006299E-3</v>
      </c>
      <c r="AS149" s="20">
        <v>102.109264877032</v>
      </c>
      <c r="AT149" s="19">
        <v>6.6206298682214304E-4</v>
      </c>
      <c r="AU149" s="20">
        <v>83.357011751876996</v>
      </c>
      <c r="AV149" s="19">
        <v>7.3657686542245599E-3</v>
      </c>
      <c r="AW149" s="20">
        <v>91.874272526071493</v>
      </c>
      <c r="AX149" s="19">
        <v>9.2529044582254603E-3</v>
      </c>
      <c r="AY149" s="20">
        <v>93.463158694550003</v>
      </c>
      <c r="AZ149" s="19">
        <v>-4.3062234022829297E-3</v>
      </c>
      <c r="BA149" s="20">
        <v>108.019467632307</v>
      </c>
      <c r="BB149" s="19">
        <v>-3.58213195792034E-3</v>
      </c>
      <c r="BC149" s="20">
        <v>105.136873662659</v>
      </c>
      <c r="BD149" s="19">
        <v>-2.8677690004027499E-3</v>
      </c>
      <c r="BE149" s="20">
        <v>100.989636642707</v>
      </c>
      <c r="BF149" s="19">
        <v>-1.7521672518845399E-3</v>
      </c>
      <c r="BG149" s="20"/>
      <c r="BH149" s="19"/>
    </row>
    <row r="150" spans="1:60" x14ac:dyDescent="0.15">
      <c r="A150" s="17">
        <v>2014</v>
      </c>
      <c r="B150" s="17">
        <v>3</v>
      </c>
      <c r="C150" s="20">
        <v>102.305015675147</v>
      </c>
      <c r="D150" s="19">
        <v>-3.97662769419638E-3</v>
      </c>
      <c r="E150" s="20">
        <v>102.129786534057</v>
      </c>
      <c r="F150" s="19">
        <v>-4.0478128761068898E-3</v>
      </c>
      <c r="G150" s="20">
        <v>89.084867090363502</v>
      </c>
      <c r="H150" s="19">
        <v>-1.95865174011963E-2</v>
      </c>
      <c r="I150" s="20">
        <v>87.999836109144098</v>
      </c>
      <c r="J150" s="19">
        <v>2.1590301164955601E-2</v>
      </c>
      <c r="K150" s="20">
        <v>108.408957184183</v>
      </c>
      <c r="L150" s="19">
        <v>-3.4862280342842201E-3</v>
      </c>
      <c r="M150" s="20">
        <v>131.436498255576</v>
      </c>
      <c r="N150" s="19">
        <v>-2.83557063083981E-2</v>
      </c>
      <c r="O150" s="20">
        <v>97.829688300946103</v>
      </c>
      <c r="P150" s="19">
        <v>6.3790639992531402E-3</v>
      </c>
      <c r="Q150" s="20">
        <v>76.575230633653703</v>
      </c>
      <c r="R150" s="19">
        <v>2.8727506313273002E-3</v>
      </c>
      <c r="S150" s="20">
        <v>147.85527417836201</v>
      </c>
      <c r="T150" s="19">
        <v>-1.60203119254321E-3</v>
      </c>
      <c r="U150" s="20">
        <v>96.541141274166606</v>
      </c>
      <c r="V150" s="19">
        <v>4.2760755005302204E-3</v>
      </c>
      <c r="W150" s="20">
        <v>110.36370586351499</v>
      </c>
      <c r="X150" s="19">
        <v>-1.82342596595652E-2</v>
      </c>
      <c r="Y150" s="20">
        <v>102.649658706015</v>
      </c>
      <c r="Z150" s="19">
        <v>-2.9745786692395599E-3</v>
      </c>
      <c r="AA150" s="20">
        <v>89.134390633840397</v>
      </c>
      <c r="AB150" s="19">
        <v>1.2625650562223499E-3</v>
      </c>
      <c r="AC150" s="20">
        <v>96.372049559010094</v>
      </c>
      <c r="AD150" s="19">
        <v>5.6836459312648003E-4</v>
      </c>
      <c r="AE150" s="20">
        <v>99.539019064448297</v>
      </c>
      <c r="AF150" s="19">
        <v>-1.0329155107765601E-3</v>
      </c>
      <c r="AG150" s="20">
        <v>111.872584316671</v>
      </c>
      <c r="AH150" s="19">
        <v>-9.8631423642733303E-3</v>
      </c>
      <c r="AI150" s="20">
        <v>113.364229862551</v>
      </c>
      <c r="AJ150" s="19">
        <v>-9.7661652367273498E-3</v>
      </c>
      <c r="AK150" s="20">
        <v>119.631156147469</v>
      </c>
      <c r="AL150" s="19">
        <v>-1.43492813880695E-2</v>
      </c>
      <c r="AM150" s="20">
        <v>95.855790947335706</v>
      </c>
      <c r="AN150" s="19">
        <v>3.6818873058717099E-3</v>
      </c>
      <c r="AO150" s="20">
        <v>99.093825626375505</v>
      </c>
      <c r="AP150" s="19">
        <v>-1.1092265897685301E-3</v>
      </c>
      <c r="AQ150" s="20">
        <v>93.109620009325198</v>
      </c>
      <c r="AR150" s="19">
        <v>-1.59464112329166E-3</v>
      </c>
      <c r="AS150" s="20">
        <v>101.89222987084899</v>
      </c>
      <c r="AT150" s="19">
        <v>-2.1255172725418402E-3</v>
      </c>
      <c r="AU150" s="20">
        <v>84.854550976836293</v>
      </c>
      <c r="AV150" s="19">
        <v>1.7965366002045801E-2</v>
      </c>
      <c r="AW150" s="20">
        <v>92.5759056951932</v>
      </c>
      <c r="AX150" s="19">
        <v>7.6368840789740001E-3</v>
      </c>
      <c r="AY150" s="20">
        <v>94.252220884957893</v>
      </c>
      <c r="AZ150" s="19">
        <v>8.44249436279698E-3</v>
      </c>
      <c r="BA150" s="20">
        <v>107.82440469524499</v>
      </c>
      <c r="BB150" s="19">
        <v>-1.80581279779712E-3</v>
      </c>
      <c r="BC150" s="20">
        <v>104.96650856901501</v>
      </c>
      <c r="BD150" s="19">
        <v>-1.62041239870281E-3</v>
      </c>
      <c r="BE150" s="20">
        <v>100.854342082766</v>
      </c>
      <c r="BF150" s="19">
        <v>-1.33968756041491E-3</v>
      </c>
      <c r="BG150" s="20"/>
      <c r="BH150" s="19"/>
    </row>
    <row r="151" spans="1:60" x14ac:dyDescent="0.15">
      <c r="A151" s="17">
        <v>2014</v>
      </c>
      <c r="B151" s="17">
        <v>4</v>
      </c>
      <c r="C151" s="20">
        <v>101.847860384911</v>
      </c>
      <c r="D151" s="19">
        <v>-4.4685520765516103E-3</v>
      </c>
      <c r="E151" s="20">
        <v>101.698722484328</v>
      </c>
      <c r="F151" s="19">
        <v>-4.2207475836170101E-3</v>
      </c>
      <c r="G151" s="20">
        <v>84.991596964829398</v>
      </c>
      <c r="H151" s="19">
        <v>-4.5947984873593299E-2</v>
      </c>
      <c r="I151" s="20">
        <v>93.835586799622703</v>
      </c>
      <c r="J151" s="19">
        <v>6.6315472261115005E-2</v>
      </c>
      <c r="K151" s="20">
        <v>107.71091107765901</v>
      </c>
      <c r="L151" s="19">
        <v>-6.4390076673966901E-3</v>
      </c>
      <c r="M151" s="20">
        <v>128.326506784613</v>
      </c>
      <c r="N151" s="19">
        <v>-2.3661551488653499E-2</v>
      </c>
      <c r="O151" s="20">
        <v>97.913089114567896</v>
      </c>
      <c r="P151" s="19">
        <v>8.52510266263096E-4</v>
      </c>
      <c r="Q151" s="20">
        <v>80.814026882706699</v>
      </c>
      <c r="R151" s="19">
        <v>5.5354665130974E-2</v>
      </c>
      <c r="S151" s="20">
        <v>142.48304043386901</v>
      </c>
      <c r="T151" s="19">
        <v>-3.63344072394194E-2</v>
      </c>
      <c r="U151" s="20">
        <v>97.4038231320432</v>
      </c>
      <c r="V151" s="19">
        <v>8.9358986903491592E-3</v>
      </c>
      <c r="W151" s="20">
        <v>107.573973454803</v>
      </c>
      <c r="X151" s="19">
        <v>-2.5277625346887701E-2</v>
      </c>
      <c r="Y151" s="20">
        <v>102.00345023011</v>
      </c>
      <c r="Z151" s="19">
        <v>-6.29528129027468E-3</v>
      </c>
      <c r="AA151" s="20">
        <v>90.872628073134806</v>
      </c>
      <c r="AB151" s="19">
        <v>1.9501310626949899E-2</v>
      </c>
      <c r="AC151" s="20">
        <v>96.8318578605802</v>
      </c>
      <c r="AD151" s="19">
        <v>4.7711790262230398E-3</v>
      </c>
      <c r="AE151" s="20">
        <v>99.521673816650093</v>
      </c>
      <c r="AF151" s="19">
        <v>-1.7425576383323099E-4</v>
      </c>
      <c r="AG151" s="20">
        <v>110.945920110144</v>
      </c>
      <c r="AH151" s="19">
        <v>-8.2832108705355196E-3</v>
      </c>
      <c r="AI151" s="20">
        <v>112.50234650317</v>
      </c>
      <c r="AJ151" s="19">
        <v>-7.6027805280854998E-3</v>
      </c>
      <c r="AK151" s="20">
        <v>117.990944141521</v>
      </c>
      <c r="AL151" s="19">
        <v>-1.3710575562160199E-2</v>
      </c>
      <c r="AM151" s="20">
        <v>96.115871737124394</v>
      </c>
      <c r="AN151" s="19">
        <v>2.7132506781115699E-3</v>
      </c>
      <c r="AO151" s="20">
        <v>98.826295613831405</v>
      </c>
      <c r="AP151" s="19">
        <v>-2.6997647013126099E-3</v>
      </c>
      <c r="AQ151" s="20">
        <v>93.230974090002206</v>
      </c>
      <c r="AR151" s="19">
        <v>1.30334632087248E-3</v>
      </c>
      <c r="AS151" s="20">
        <v>102.114568838784</v>
      </c>
      <c r="AT151" s="19">
        <v>2.18209934375757E-3</v>
      </c>
      <c r="AU151" s="20">
        <v>87.007149890447394</v>
      </c>
      <c r="AV151" s="19">
        <v>2.53681021092045E-2</v>
      </c>
      <c r="AW151" s="20">
        <v>93.117113692576893</v>
      </c>
      <c r="AX151" s="19">
        <v>5.8460999470601998E-3</v>
      </c>
      <c r="AY151" s="20">
        <v>95.583043239202496</v>
      </c>
      <c r="AZ151" s="19">
        <v>1.4119798363891699E-2</v>
      </c>
      <c r="BA151" s="20">
        <v>106.529881331005</v>
      </c>
      <c r="BB151" s="19">
        <v>-1.20058475434989E-2</v>
      </c>
      <c r="BC151" s="20">
        <v>104.16607550625</v>
      </c>
      <c r="BD151" s="19">
        <v>-7.6256043349220998E-3</v>
      </c>
      <c r="BE151" s="20">
        <v>100.76416327507199</v>
      </c>
      <c r="BF151" s="19">
        <v>-8.9414898586936996E-4</v>
      </c>
      <c r="BG151" s="20"/>
      <c r="BH151" s="19"/>
    </row>
    <row r="152" spans="1:60" x14ac:dyDescent="0.15">
      <c r="A152" s="17">
        <v>2015</v>
      </c>
      <c r="B152" s="17">
        <v>1</v>
      </c>
      <c r="C152" s="20">
        <v>101.575286779379</v>
      </c>
      <c r="D152" s="19">
        <v>-2.67628209862791E-3</v>
      </c>
      <c r="E152" s="20">
        <v>101.43747888175599</v>
      </c>
      <c r="F152" s="19">
        <v>-2.5687992551994801E-3</v>
      </c>
      <c r="G152" s="20">
        <v>85.623883581367906</v>
      </c>
      <c r="H152" s="19">
        <v>7.4394015304852798E-3</v>
      </c>
      <c r="I152" s="20">
        <v>104.60481295538401</v>
      </c>
      <c r="J152" s="19">
        <v>0.114766971924609</v>
      </c>
      <c r="K152" s="20">
        <v>106.480823155845</v>
      </c>
      <c r="L152" s="19">
        <v>-1.1420272185124499E-2</v>
      </c>
      <c r="M152" s="20">
        <v>123.123458849947</v>
      </c>
      <c r="N152" s="19">
        <v>-4.0545387426457601E-2</v>
      </c>
      <c r="O152" s="20">
        <v>98.032552664859395</v>
      </c>
      <c r="P152" s="19">
        <v>1.22009785792465E-3</v>
      </c>
      <c r="Q152" s="20">
        <v>93.175185332614902</v>
      </c>
      <c r="R152" s="19">
        <v>0.152958080753099</v>
      </c>
      <c r="S152" s="20">
        <v>127.882552329711</v>
      </c>
      <c r="T152" s="19">
        <v>-0.102471761268558</v>
      </c>
      <c r="U152" s="20">
        <v>98.755848008351805</v>
      </c>
      <c r="V152" s="19">
        <v>1.3880614054293699E-2</v>
      </c>
      <c r="W152" s="20">
        <v>104.298054076019</v>
      </c>
      <c r="X152" s="19">
        <v>-3.0452713361569801E-2</v>
      </c>
      <c r="Y152" s="20">
        <v>101.05275595356601</v>
      </c>
      <c r="Z152" s="19">
        <v>-9.3202168593269404E-3</v>
      </c>
      <c r="AA152" s="20">
        <v>93.5243199695784</v>
      </c>
      <c r="AB152" s="19">
        <v>2.91803148282395E-2</v>
      </c>
      <c r="AC152" s="20">
        <v>97.498344406457903</v>
      </c>
      <c r="AD152" s="19">
        <v>6.8829263488607902E-3</v>
      </c>
      <c r="AE152" s="20">
        <v>100.57099227040599</v>
      </c>
      <c r="AF152" s="19">
        <v>1.05436174203521E-2</v>
      </c>
      <c r="AG152" s="20">
        <v>110.70261588018801</v>
      </c>
      <c r="AH152" s="19">
        <v>-2.1929984420756602E-3</v>
      </c>
      <c r="AI152" s="20">
        <v>113.003315176627</v>
      </c>
      <c r="AJ152" s="19">
        <v>4.4529619961517497E-3</v>
      </c>
      <c r="AK152" s="20">
        <v>116.30171742818401</v>
      </c>
      <c r="AL152" s="19">
        <v>-1.4316579341126699E-2</v>
      </c>
      <c r="AM152" s="20">
        <v>96.273568513171398</v>
      </c>
      <c r="AN152" s="19">
        <v>1.6406944367961501E-3</v>
      </c>
      <c r="AO152" s="20">
        <v>98.565477577023898</v>
      </c>
      <c r="AP152" s="19">
        <v>-2.6391562608668599E-3</v>
      </c>
      <c r="AQ152" s="20">
        <v>93.959253659903396</v>
      </c>
      <c r="AR152" s="19">
        <v>7.8115623805252703E-3</v>
      </c>
      <c r="AS152" s="20">
        <v>102.323248766245</v>
      </c>
      <c r="AT152" s="19">
        <v>2.0435862368455302E-3</v>
      </c>
      <c r="AU152" s="20">
        <v>89.749128833040899</v>
      </c>
      <c r="AV152" s="19">
        <v>3.1514409402513897E-2</v>
      </c>
      <c r="AW152" s="20">
        <v>93.433714311697898</v>
      </c>
      <c r="AX152" s="19">
        <v>3.4000261237288102E-3</v>
      </c>
      <c r="AY152" s="20">
        <v>96.047119251525004</v>
      </c>
      <c r="AZ152" s="19">
        <v>4.8552127720085103E-3</v>
      </c>
      <c r="BA152" s="20">
        <v>105.891172265916</v>
      </c>
      <c r="BB152" s="19">
        <v>-5.9955859999933896E-3</v>
      </c>
      <c r="BC152" s="20">
        <v>103.773264782891</v>
      </c>
      <c r="BD152" s="19">
        <v>-3.77100434521549E-3</v>
      </c>
      <c r="BE152" s="20">
        <v>100.712721343422</v>
      </c>
      <c r="BF152" s="19">
        <v>-5.1051812447921996E-4</v>
      </c>
      <c r="BG152" s="20"/>
      <c r="BH152" s="19"/>
    </row>
    <row r="153" spans="1:60" x14ac:dyDescent="0.15">
      <c r="A153" s="17">
        <v>2015</v>
      </c>
      <c r="B153" s="17">
        <v>2</v>
      </c>
      <c r="C153" s="20">
        <v>101.182255384331</v>
      </c>
      <c r="D153" s="19">
        <v>-3.8693604272245202E-3</v>
      </c>
      <c r="E153" s="20">
        <v>101.07210223465199</v>
      </c>
      <c r="F153" s="19">
        <v>-3.6019886449466499E-3</v>
      </c>
      <c r="G153" s="20">
        <v>86.160111948177502</v>
      </c>
      <c r="H153" s="19">
        <v>6.2626027269601101E-3</v>
      </c>
      <c r="I153" s="20">
        <v>109.953333117632</v>
      </c>
      <c r="J153" s="19">
        <v>5.1130727269008899E-2</v>
      </c>
      <c r="K153" s="20">
        <v>105.057479827864</v>
      </c>
      <c r="L153" s="19">
        <v>-1.33671330273007E-2</v>
      </c>
      <c r="M153" s="20">
        <v>122.80317117053499</v>
      </c>
      <c r="N153" s="19">
        <v>-2.6013538151412599E-3</v>
      </c>
      <c r="O153" s="20">
        <v>96.377493578380594</v>
      </c>
      <c r="P153" s="19">
        <v>-1.6882750081362499E-2</v>
      </c>
      <c r="Q153" s="20">
        <v>94.317158276015704</v>
      </c>
      <c r="R153" s="19">
        <v>1.2256191810343899E-2</v>
      </c>
      <c r="S153" s="20">
        <v>124.95290499980101</v>
      </c>
      <c r="T153" s="19">
        <v>-2.2908890044332102E-2</v>
      </c>
      <c r="U153" s="20">
        <v>100.325204266878</v>
      </c>
      <c r="V153" s="19">
        <v>1.58912741895916E-2</v>
      </c>
      <c r="W153" s="20">
        <v>102.18853801579399</v>
      </c>
      <c r="X153" s="19">
        <v>-2.0225842935545298E-2</v>
      </c>
      <c r="Y153" s="20">
        <v>100.237342879525</v>
      </c>
      <c r="Z153" s="19">
        <v>-8.0691819470577499E-3</v>
      </c>
      <c r="AA153" s="20">
        <v>94.676886299041996</v>
      </c>
      <c r="AB153" s="19">
        <v>1.2323707136695099E-2</v>
      </c>
      <c r="AC153" s="20">
        <v>97.881825784658901</v>
      </c>
      <c r="AD153" s="19">
        <v>3.9332091281702999E-3</v>
      </c>
      <c r="AE153" s="20">
        <v>101.695697516468</v>
      </c>
      <c r="AF153" s="19">
        <v>1.11831972686349E-2</v>
      </c>
      <c r="AG153" s="20">
        <v>110.63091945485699</v>
      </c>
      <c r="AH153" s="19">
        <v>-6.4764888129398301E-4</v>
      </c>
      <c r="AI153" s="20">
        <v>113.54278464586901</v>
      </c>
      <c r="AJ153" s="19">
        <v>4.7739260427836997E-3</v>
      </c>
      <c r="AK153" s="20">
        <v>115.17003264163699</v>
      </c>
      <c r="AL153" s="19">
        <v>-9.7305939376675105E-3</v>
      </c>
      <c r="AM153" s="20">
        <v>96.512584605176997</v>
      </c>
      <c r="AN153" s="19">
        <v>2.4826761456642199E-3</v>
      </c>
      <c r="AO153" s="20">
        <v>98.441721339616393</v>
      </c>
      <c r="AP153" s="19">
        <v>-1.25557386267228E-3</v>
      </c>
      <c r="AQ153" s="20">
        <v>94.424045145651704</v>
      </c>
      <c r="AR153" s="19">
        <v>4.9467345433660296E-3</v>
      </c>
      <c r="AS153" s="20">
        <v>102.340742958756</v>
      </c>
      <c r="AT153" s="19">
        <v>1.7096986972653399E-4</v>
      </c>
      <c r="AU153" s="20">
        <v>92.0241247172588</v>
      </c>
      <c r="AV153" s="19">
        <v>2.5348389603313801E-2</v>
      </c>
      <c r="AW153" s="20">
        <v>93.911031869019794</v>
      </c>
      <c r="AX153" s="19">
        <v>5.1086223087481999E-3</v>
      </c>
      <c r="AY153" s="20">
        <v>95.407430831714606</v>
      </c>
      <c r="AZ153" s="19">
        <v>-6.6601520669784496E-3</v>
      </c>
      <c r="BA153" s="20">
        <v>104.60256483388</v>
      </c>
      <c r="BB153" s="19">
        <v>-1.21691676885008E-2</v>
      </c>
      <c r="BC153" s="20">
        <v>102.995736092098</v>
      </c>
      <c r="BD153" s="19">
        <v>-7.4925723154201096E-3</v>
      </c>
      <c r="BE153" s="20">
        <v>100.640847867451</v>
      </c>
      <c r="BF153" s="19">
        <v>-7.1364843499876996E-4</v>
      </c>
      <c r="BG153" s="20"/>
      <c r="BH153" s="19"/>
    </row>
    <row r="154" spans="1:60" x14ac:dyDescent="0.15">
      <c r="A154" s="17">
        <v>2015</v>
      </c>
      <c r="B154" s="17">
        <v>3</v>
      </c>
      <c r="C154" s="20">
        <v>100.895015799877</v>
      </c>
      <c r="D154" s="19">
        <v>-2.8388335816614801E-3</v>
      </c>
      <c r="E154" s="20">
        <v>100.78952808223301</v>
      </c>
      <c r="F154" s="19">
        <v>-2.7957680326329299E-3</v>
      </c>
      <c r="G154" s="20">
        <v>87.989804116767701</v>
      </c>
      <c r="H154" s="19">
        <v>2.1235953937603001E-2</v>
      </c>
      <c r="I154" s="20">
        <v>114.374214799176</v>
      </c>
      <c r="J154" s="19">
        <v>4.02068910163473E-2</v>
      </c>
      <c r="K154" s="20">
        <v>105.300065687209</v>
      </c>
      <c r="L154" s="19">
        <v>2.3090774663774298E-3</v>
      </c>
      <c r="M154" s="20">
        <v>123.32464597430599</v>
      </c>
      <c r="N154" s="19">
        <v>4.2464278308189697E-3</v>
      </c>
      <c r="O154" s="20">
        <v>96.629932613373001</v>
      </c>
      <c r="P154" s="19">
        <v>2.6192737082035801E-3</v>
      </c>
      <c r="Q154" s="20">
        <v>93.954749248976995</v>
      </c>
      <c r="R154" s="19">
        <v>-3.8424506597007899E-3</v>
      </c>
      <c r="S154" s="20">
        <v>120.86797424695899</v>
      </c>
      <c r="T154" s="19">
        <v>-3.26917629714049E-2</v>
      </c>
      <c r="U154" s="20">
        <v>101.27302727655101</v>
      </c>
      <c r="V154" s="19">
        <v>9.4475064027883492E-3</v>
      </c>
      <c r="W154" s="20">
        <v>99.744902758689605</v>
      </c>
      <c r="X154" s="19">
        <v>-2.39130073152319E-2</v>
      </c>
      <c r="Y154" s="20">
        <v>99.606154511785206</v>
      </c>
      <c r="Z154" s="19">
        <v>-6.2969383426095798E-3</v>
      </c>
      <c r="AA154" s="20">
        <v>95.761390093704605</v>
      </c>
      <c r="AB154" s="19">
        <v>1.1454789411188699E-2</v>
      </c>
      <c r="AC154" s="20">
        <v>97.909956243592504</v>
      </c>
      <c r="AD154" s="19">
        <v>2.87392053715196E-4</v>
      </c>
      <c r="AE154" s="20">
        <v>101.3604517728</v>
      </c>
      <c r="AF154" s="19">
        <v>-3.2965577881434202E-3</v>
      </c>
      <c r="AG154" s="20">
        <v>110.642872994732</v>
      </c>
      <c r="AH154" s="19">
        <v>1.08048816134909E-4</v>
      </c>
      <c r="AI154" s="20">
        <v>113.942194189964</v>
      </c>
      <c r="AJ154" s="19">
        <v>3.5177007974604999E-3</v>
      </c>
      <c r="AK154" s="20">
        <v>114.505889871945</v>
      </c>
      <c r="AL154" s="19">
        <v>-5.7666283012942597E-3</v>
      </c>
      <c r="AM154" s="20">
        <v>96.766017098307003</v>
      </c>
      <c r="AN154" s="19">
        <v>2.6259010072808798E-3</v>
      </c>
      <c r="AO154" s="20">
        <v>98.507003675310699</v>
      </c>
      <c r="AP154" s="19">
        <v>6.63157193981467E-4</v>
      </c>
      <c r="AQ154" s="20">
        <v>94.670812187760802</v>
      </c>
      <c r="AR154" s="19">
        <v>2.6133919779483001E-3</v>
      </c>
      <c r="AS154" s="20">
        <v>102.421293771046</v>
      </c>
      <c r="AT154" s="19">
        <v>7.8708449793030199E-4</v>
      </c>
      <c r="AU154" s="20">
        <v>93.932881336451302</v>
      </c>
      <c r="AV154" s="19">
        <v>2.0741915503756699E-2</v>
      </c>
      <c r="AW154" s="20">
        <v>94.558314901074695</v>
      </c>
      <c r="AX154" s="19">
        <v>6.8925132561388196E-3</v>
      </c>
      <c r="AY154" s="20">
        <v>95.919471227147994</v>
      </c>
      <c r="AZ154" s="19">
        <v>5.3668817089997899E-3</v>
      </c>
      <c r="BA154" s="20">
        <v>104.146861487088</v>
      </c>
      <c r="BB154" s="19">
        <v>-4.3565217307633998E-3</v>
      </c>
      <c r="BC154" s="20">
        <v>102.700255637</v>
      </c>
      <c r="BD154" s="19">
        <v>-2.86886104521844E-3</v>
      </c>
      <c r="BE154" s="20">
        <v>100.539853732468</v>
      </c>
      <c r="BF154" s="19">
        <v>-1.00351037499513E-3</v>
      </c>
      <c r="BG154" s="20"/>
      <c r="BH154" s="19"/>
    </row>
    <row r="155" spans="1:60" x14ac:dyDescent="0.15">
      <c r="A155" s="17">
        <v>2015</v>
      </c>
      <c r="B155" s="17">
        <v>4</v>
      </c>
      <c r="C155" s="20">
        <v>100.592308938343</v>
      </c>
      <c r="D155" s="19">
        <v>-3.0002162062653399E-3</v>
      </c>
      <c r="E155" s="20">
        <v>100.52101500457</v>
      </c>
      <c r="F155" s="19">
        <v>-2.6640969828175499E-3</v>
      </c>
      <c r="G155" s="20">
        <v>88.644057000624102</v>
      </c>
      <c r="H155" s="19">
        <v>7.4355533623888803E-3</v>
      </c>
      <c r="I155" s="20">
        <v>113.633970418286</v>
      </c>
      <c r="J155" s="19">
        <v>-6.4721264507917597E-3</v>
      </c>
      <c r="K155" s="20">
        <v>105.657930649113</v>
      </c>
      <c r="L155" s="19">
        <v>3.3985255333766101E-3</v>
      </c>
      <c r="M155" s="20">
        <v>120.482599778501</v>
      </c>
      <c r="N155" s="19">
        <v>-2.30452410655804E-2</v>
      </c>
      <c r="O155" s="20">
        <v>98.429215933890205</v>
      </c>
      <c r="P155" s="19">
        <v>1.86203516017793E-2</v>
      </c>
      <c r="Q155" s="20">
        <v>94.244552786680302</v>
      </c>
      <c r="R155" s="19">
        <v>3.0845012095708198E-3</v>
      </c>
      <c r="S155" s="20">
        <v>113.537444127897</v>
      </c>
      <c r="T155" s="19">
        <v>-6.0649069075027102E-2</v>
      </c>
      <c r="U155" s="20">
        <v>100.885023528327</v>
      </c>
      <c r="V155" s="19">
        <v>-3.83126444086257E-3</v>
      </c>
      <c r="W155" s="20">
        <v>97.905947682376393</v>
      </c>
      <c r="X155" s="19">
        <v>-1.84365819751421E-2</v>
      </c>
      <c r="Y155" s="20">
        <v>99.700991394403701</v>
      </c>
      <c r="Z155" s="19">
        <v>9.5211870273814703E-4</v>
      </c>
      <c r="AA155" s="20">
        <v>97.017605438541594</v>
      </c>
      <c r="AB155" s="19">
        <v>1.31181820105968E-2</v>
      </c>
      <c r="AC155" s="20">
        <v>97.720427774029602</v>
      </c>
      <c r="AD155" s="19">
        <v>-1.93574256218987E-3</v>
      </c>
      <c r="AE155" s="20">
        <v>100.37468442022001</v>
      </c>
      <c r="AF155" s="19">
        <v>-9.7253646302747406E-3</v>
      </c>
      <c r="AG155" s="20">
        <v>110.54820254654101</v>
      </c>
      <c r="AH155" s="19">
        <v>-8.5563982232561597E-4</v>
      </c>
      <c r="AI155" s="20">
        <v>113.789449195665</v>
      </c>
      <c r="AJ155" s="19">
        <v>-1.3405481207804399E-3</v>
      </c>
      <c r="AK155" s="20">
        <v>114.274856381296</v>
      </c>
      <c r="AL155" s="19">
        <v>-2.0176559555803398E-3</v>
      </c>
      <c r="AM155" s="20">
        <v>96.781856278836401</v>
      </c>
      <c r="AN155" s="19">
        <v>1.6368536191135901E-4</v>
      </c>
      <c r="AO155" s="20">
        <v>98.615529176759495</v>
      </c>
      <c r="AP155" s="19">
        <v>1.1017034058460301E-3</v>
      </c>
      <c r="AQ155" s="20">
        <v>95.240586492212699</v>
      </c>
      <c r="AR155" s="19">
        <v>6.0184790991535397E-3</v>
      </c>
      <c r="AS155" s="20">
        <v>102.370706324468</v>
      </c>
      <c r="AT155" s="19">
        <v>-4.9391532479048405E-4</v>
      </c>
      <c r="AU155" s="20">
        <v>94.3473223807609</v>
      </c>
      <c r="AV155" s="19">
        <v>4.4120976426251799E-3</v>
      </c>
      <c r="AW155" s="20">
        <v>95.368828460872706</v>
      </c>
      <c r="AX155" s="19">
        <v>8.5715736436919893E-3</v>
      </c>
      <c r="AY155" s="20">
        <v>96.664471357808097</v>
      </c>
      <c r="AZ155" s="19">
        <v>7.76693325274724E-3</v>
      </c>
      <c r="BA155" s="20">
        <v>102.746086967762</v>
      </c>
      <c r="BB155" s="19">
        <v>-1.34499926289168E-2</v>
      </c>
      <c r="BC155" s="20">
        <v>101.833123452744</v>
      </c>
      <c r="BD155" s="19">
        <v>-8.4433303391321397E-3</v>
      </c>
      <c r="BE155" s="20">
        <v>100.407581553358</v>
      </c>
      <c r="BF155" s="19">
        <v>-1.3156193708219199E-3</v>
      </c>
      <c r="BG155" s="20"/>
      <c r="BH155" s="19"/>
    </row>
    <row r="156" spans="1:60" x14ac:dyDescent="0.15">
      <c r="A156" s="17">
        <v>2016</v>
      </c>
      <c r="B156" s="17">
        <v>1</v>
      </c>
      <c r="C156" s="20">
        <v>100.418109875626</v>
      </c>
      <c r="D156" s="19">
        <v>-1.73173341537014E-3</v>
      </c>
      <c r="E156" s="20">
        <v>100.42457081879201</v>
      </c>
      <c r="F156" s="19">
        <v>-9.5944301570416403E-4</v>
      </c>
      <c r="G156" s="20">
        <v>90.060131637599596</v>
      </c>
      <c r="H156" s="19">
        <v>1.5974840106489401E-2</v>
      </c>
      <c r="I156" s="20">
        <v>114.734753555656</v>
      </c>
      <c r="J156" s="19">
        <v>9.6870956221755105E-3</v>
      </c>
      <c r="K156" s="20">
        <v>105.02630996217999</v>
      </c>
      <c r="L156" s="19">
        <v>-5.9779770723580299E-3</v>
      </c>
      <c r="M156" s="20">
        <v>119.283402385168</v>
      </c>
      <c r="N156" s="19">
        <v>-9.9532828436446098E-3</v>
      </c>
      <c r="O156" s="20">
        <v>97.746610041672</v>
      </c>
      <c r="P156" s="19">
        <v>-6.9349926822208597E-3</v>
      </c>
      <c r="Q156" s="20">
        <v>98.509369084659795</v>
      </c>
      <c r="R156" s="19">
        <v>4.5252655690697398E-2</v>
      </c>
      <c r="S156" s="20">
        <v>113.66523596752</v>
      </c>
      <c r="T156" s="19">
        <v>1.12554796882125E-3</v>
      </c>
      <c r="U156" s="20">
        <v>100.341803311262</v>
      </c>
      <c r="V156" s="19">
        <v>-5.3845476569950304E-3</v>
      </c>
      <c r="W156" s="20">
        <v>96.831523194402493</v>
      </c>
      <c r="X156" s="19">
        <v>-1.09740471688152E-2</v>
      </c>
      <c r="Y156" s="20">
        <v>99.436736450019893</v>
      </c>
      <c r="Z156" s="19">
        <v>-2.6504745909539098E-3</v>
      </c>
      <c r="AA156" s="20">
        <v>97.850084465613705</v>
      </c>
      <c r="AB156" s="19">
        <v>8.5807006193270308E-3</v>
      </c>
      <c r="AC156" s="20">
        <v>97.4300283100238</v>
      </c>
      <c r="AD156" s="19">
        <v>-2.97173754373381E-3</v>
      </c>
      <c r="AE156" s="20">
        <v>99.989424855529805</v>
      </c>
      <c r="AF156" s="19">
        <v>-3.8382144553207299E-3</v>
      </c>
      <c r="AG156" s="20">
        <v>110.337785351298</v>
      </c>
      <c r="AH156" s="19">
        <v>-1.90339770702619E-3</v>
      </c>
      <c r="AI156" s="20">
        <v>113.136910833793</v>
      </c>
      <c r="AJ156" s="19">
        <v>-5.7346121849094498E-3</v>
      </c>
      <c r="AK156" s="20">
        <v>114.493987857379</v>
      </c>
      <c r="AL156" s="19">
        <v>1.91758259884978E-3</v>
      </c>
      <c r="AM156" s="20">
        <v>97.103813995779404</v>
      </c>
      <c r="AN156" s="19">
        <v>3.3266330004602098E-3</v>
      </c>
      <c r="AO156" s="20">
        <v>98.772075517582493</v>
      </c>
      <c r="AP156" s="19">
        <v>1.5874410666336699E-3</v>
      </c>
      <c r="AQ156" s="20">
        <v>95.885362470674295</v>
      </c>
      <c r="AR156" s="19">
        <v>6.7699706838149102E-3</v>
      </c>
      <c r="AS156" s="20">
        <v>102.359537317753</v>
      </c>
      <c r="AT156" s="19">
        <v>-1.09103542565991E-4</v>
      </c>
      <c r="AU156" s="20">
        <v>93.949174134623703</v>
      </c>
      <c r="AV156" s="19">
        <v>-4.2200269821158799E-3</v>
      </c>
      <c r="AW156" s="20">
        <v>95.900614903343495</v>
      </c>
      <c r="AX156" s="19">
        <v>5.5761033353678401E-3</v>
      </c>
      <c r="AY156" s="20">
        <v>96.055354021282199</v>
      </c>
      <c r="AZ156" s="19">
        <v>-6.3013569305225801E-3</v>
      </c>
      <c r="BA156" s="20">
        <v>100.08740046042401</v>
      </c>
      <c r="BB156" s="19">
        <v>-2.5876279922685E-2</v>
      </c>
      <c r="BC156" s="20">
        <v>100.206119560614</v>
      </c>
      <c r="BD156" s="19">
        <v>-1.5977157892880199E-2</v>
      </c>
      <c r="BE156" s="20">
        <v>100.24753502271101</v>
      </c>
      <c r="BF156" s="19">
        <v>-1.59396858454841E-3</v>
      </c>
      <c r="BG156" s="20"/>
      <c r="BH156" s="19"/>
    </row>
    <row r="157" spans="1:60" x14ac:dyDescent="0.15">
      <c r="A157" s="17">
        <v>2016</v>
      </c>
      <c r="B157" s="17">
        <v>2</v>
      </c>
      <c r="C157" s="20">
        <v>100.507415536465</v>
      </c>
      <c r="D157" s="19">
        <v>8.8933819756720201E-4</v>
      </c>
      <c r="E157" s="20">
        <v>100.501660593691</v>
      </c>
      <c r="F157" s="19">
        <v>7.6763857958339599E-4</v>
      </c>
      <c r="G157" s="20">
        <v>91.772838516746106</v>
      </c>
      <c r="H157" s="19">
        <v>1.9017370372480101E-2</v>
      </c>
      <c r="I157" s="20">
        <v>113.57299013426299</v>
      </c>
      <c r="J157" s="19">
        <v>-1.01256453288036E-2</v>
      </c>
      <c r="K157" s="20">
        <v>104.89230632919799</v>
      </c>
      <c r="L157" s="19">
        <v>-1.2759053710438299E-3</v>
      </c>
      <c r="M157" s="20">
        <v>118.18710238606801</v>
      </c>
      <c r="N157" s="19">
        <v>-9.1907170417496707E-3</v>
      </c>
      <c r="O157" s="20">
        <v>98.042454959729199</v>
      </c>
      <c r="P157" s="19">
        <v>3.02665144019953E-3</v>
      </c>
      <c r="Q157" s="20">
        <v>96.542602795784703</v>
      </c>
      <c r="R157" s="19">
        <v>-1.9965271396518301E-2</v>
      </c>
      <c r="S157" s="20">
        <v>125.241525289367</v>
      </c>
      <c r="T157" s="19">
        <v>0.101845469490374</v>
      </c>
      <c r="U157" s="20">
        <v>99.492847936561603</v>
      </c>
      <c r="V157" s="19">
        <v>-8.4606350163640692E-3</v>
      </c>
      <c r="W157" s="20">
        <v>97.128250256532894</v>
      </c>
      <c r="X157" s="19">
        <v>3.06436429317203E-3</v>
      </c>
      <c r="Y157" s="20">
        <v>99.471476951106098</v>
      </c>
      <c r="Z157" s="19">
        <v>3.4937290106662499E-4</v>
      </c>
      <c r="AA157" s="20">
        <v>98.348803364350601</v>
      </c>
      <c r="AB157" s="19">
        <v>5.0967651327089598E-3</v>
      </c>
      <c r="AC157" s="20">
        <v>97.201575500725795</v>
      </c>
      <c r="AD157" s="19">
        <v>-2.34478849345154E-3</v>
      </c>
      <c r="AE157" s="20">
        <v>99.721362113431297</v>
      </c>
      <c r="AF157" s="19">
        <v>-2.6809109311890498E-3</v>
      </c>
      <c r="AG157" s="20">
        <v>109.95135974362699</v>
      </c>
      <c r="AH157" s="19">
        <v>-3.5022055811658702E-3</v>
      </c>
      <c r="AI157" s="20">
        <v>112.56645045465299</v>
      </c>
      <c r="AJ157" s="19">
        <v>-5.04221279276973E-3</v>
      </c>
      <c r="AK157" s="20">
        <v>114.11172365836801</v>
      </c>
      <c r="AL157" s="19">
        <v>-3.3387272656336701E-3</v>
      </c>
      <c r="AM157" s="20">
        <v>97.464707392732805</v>
      </c>
      <c r="AN157" s="19">
        <v>3.716572831723E-3</v>
      </c>
      <c r="AO157" s="20">
        <v>98.856064481918494</v>
      </c>
      <c r="AP157" s="19">
        <v>8.5033106670984204E-4</v>
      </c>
      <c r="AQ157" s="20">
        <v>96.336499267922804</v>
      </c>
      <c r="AR157" s="19">
        <v>4.7049600233455297E-3</v>
      </c>
      <c r="AS157" s="20">
        <v>102.20770328889201</v>
      </c>
      <c r="AT157" s="19">
        <v>-1.4833403202007E-3</v>
      </c>
      <c r="AU157" s="20">
        <v>93.4368032669191</v>
      </c>
      <c r="AV157" s="19">
        <v>-5.4537027326118101E-3</v>
      </c>
      <c r="AW157" s="20">
        <v>96.241005123947701</v>
      </c>
      <c r="AX157" s="19">
        <v>3.5494060277638799E-3</v>
      </c>
      <c r="AY157" s="20">
        <v>96.664823674766097</v>
      </c>
      <c r="AZ157" s="19">
        <v>6.3449836783569004E-3</v>
      </c>
      <c r="BA157" s="20">
        <v>100.58518886535801</v>
      </c>
      <c r="BB157" s="19">
        <v>4.9735371549692901E-3</v>
      </c>
      <c r="BC157" s="20">
        <v>100.42828458765599</v>
      </c>
      <c r="BD157" s="19">
        <v>2.21708043396651E-3</v>
      </c>
      <c r="BE157" s="20">
        <v>100.09503395539799</v>
      </c>
      <c r="BF157" s="19">
        <v>-1.5212450588264501E-3</v>
      </c>
      <c r="BG157" s="20"/>
      <c r="BH157" s="19"/>
    </row>
    <row r="158" spans="1:60" x14ac:dyDescent="0.15">
      <c r="A158" s="17">
        <v>2016</v>
      </c>
      <c r="B158" s="17">
        <v>3</v>
      </c>
      <c r="C158" s="20">
        <v>100.47659532812401</v>
      </c>
      <c r="D158" s="19">
        <v>-3.0664611339670201E-4</v>
      </c>
      <c r="E158" s="20">
        <v>100.57320002997101</v>
      </c>
      <c r="F158" s="19">
        <v>7.1182342517994701E-4</v>
      </c>
      <c r="G158" s="20">
        <v>92.990527580679498</v>
      </c>
      <c r="H158" s="19">
        <v>1.3268512597125E-2</v>
      </c>
      <c r="I158" s="20">
        <v>112.34006520016</v>
      </c>
      <c r="J158" s="19">
        <v>-1.08557935530736E-2</v>
      </c>
      <c r="K158" s="20">
        <v>104.38868189838099</v>
      </c>
      <c r="L158" s="19">
        <v>-4.8013476721243701E-3</v>
      </c>
      <c r="M158" s="20">
        <v>117.513861007272</v>
      </c>
      <c r="N158" s="19">
        <v>-5.69640312017217E-3</v>
      </c>
      <c r="O158" s="20">
        <v>97.640890857189305</v>
      </c>
      <c r="P158" s="19">
        <v>-4.0958185176497297E-3</v>
      </c>
      <c r="Q158" s="20">
        <v>95.363079972438101</v>
      </c>
      <c r="R158" s="19">
        <v>-1.22176405979202E-2</v>
      </c>
      <c r="S158" s="20">
        <v>121.630999610556</v>
      </c>
      <c r="T158" s="19">
        <v>-2.88285029303855E-2</v>
      </c>
      <c r="U158" s="20">
        <v>99.130821856445706</v>
      </c>
      <c r="V158" s="19">
        <v>-3.6387146174246001E-3</v>
      </c>
      <c r="W158" s="20">
        <v>98.649799976187197</v>
      </c>
      <c r="X158" s="19">
        <v>1.566536734303E-2</v>
      </c>
      <c r="Y158" s="20">
        <v>99.407714398687105</v>
      </c>
      <c r="Z158" s="19">
        <v>-6.4101342790290295E-4</v>
      </c>
      <c r="AA158" s="20">
        <v>99.2297767625072</v>
      </c>
      <c r="AB158" s="19">
        <v>8.9576422693502505E-3</v>
      </c>
      <c r="AC158" s="20">
        <v>97.215250757948198</v>
      </c>
      <c r="AD158" s="19">
        <v>1.40689666313865E-4</v>
      </c>
      <c r="AE158" s="20">
        <v>99.653942495739201</v>
      </c>
      <c r="AF158" s="19">
        <v>-6.7607999192187396E-4</v>
      </c>
      <c r="AG158" s="20">
        <v>108.99299927397</v>
      </c>
      <c r="AH158" s="19">
        <v>-8.7162220812157E-3</v>
      </c>
      <c r="AI158" s="20">
        <v>111.254147161449</v>
      </c>
      <c r="AJ158" s="19">
        <v>-1.1658032103735901E-2</v>
      </c>
      <c r="AK158" s="20">
        <v>113.127171255901</v>
      </c>
      <c r="AL158" s="19">
        <v>-8.6279688966511801E-3</v>
      </c>
      <c r="AM158" s="20">
        <v>97.617459257992905</v>
      </c>
      <c r="AN158" s="19">
        <v>1.56725310470129E-3</v>
      </c>
      <c r="AO158" s="20">
        <v>98.839356505306199</v>
      </c>
      <c r="AP158" s="19">
        <v>-1.6901316777950801E-4</v>
      </c>
      <c r="AQ158" s="20">
        <v>96.564528658558899</v>
      </c>
      <c r="AR158" s="19">
        <v>2.3670093097518702E-3</v>
      </c>
      <c r="AS158" s="20">
        <v>101.586568758929</v>
      </c>
      <c r="AT158" s="19">
        <v>-6.0771792142414504E-3</v>
      </c>
      <c r="AU158" s="20">
        <v>93.085955816785798</v>
      </c>
      <c r="AV158" s="19">
        <v>-3.7549170976133302E-3</v>
      </c>
      <c r="AW158" s="20">
        <v>96.611476911484999</v>
      </c>
      <c r="AX158" s="19">
        <v>3.8494172734393501E-3</v>
      </c>
      <c r="AY158" s="20">
        <v>96.911456277842703</v>
      </c>
      <c r="AZ158" s="19">
        <v>2.5514203999010801E-3</v>
      </c>
      <c r="BA158" s="20">
        <v>97.27669816593</v>
      </c>
      <c r="BB158" s="19">
        <v>-3.2892424190369203E-2</v>
      </c>
      <c r="BC158" s="20">
        <v>98.447114888678996</v>
      </c>
      <c r="BD158" s="19">
        <v>-1.97272083966284E-2</v>
      </c>
      <c r="BE158" s="20">
        <v>99.956420651884002</v>
      </c>
      <c r="BF158" s="19">
        <v>-1.38481698878301E-3</v>
      </c>
      <c r="BG158" s="20"/>
      <c r="BH158" s="19"/>
    </row>
    <row r="159" spans="1:60" x14ac:dyDescent="0.15">
      <c r="A159" s="17">
        <v>2016</v>
      </c>
      <c r="B159" s="17">
        <v>4</v>
      </c>
      <c r="C159" s="20">
        <v>100.366402416638</v>
      </c>
      <c r="D159" s="19">
        <v>-1.09670228300818E-3</v>
      </c>
      <c r="E159" s="20">
        <v>100.52207031338401</v>
      </c>
      <c r="F159" s="19">
        <v>-5.0838311371304002E-4</v>
      </c>
      <c r="G159" s="20">
        <v>91.835578221828996</v>
      </c>
      <c r="H159" s="19">
        <v>-1.2420075344217E-2</v>
      </c>
      <c r="I159" s="20">
        <v>110.745003241858</v>
      </c>
      <c r="J159" s="19">
        <v>-1.41985137311442E-2</v>
      </c>
      <c r="K159" s="20">
        <v>103.72990248109799</v>
      </c>
      <c r="L159" s="19">
        <v>-6.3108318383024997E-3</v>
      </c>
      <c r="M159" s="20">
        <v>115.76047815902599</v>
      </c>
      <c r="N159" s="19">
        <v>-1.4920647089771101E-2</v>
      </c>
      <c r="O159" s="20">
        <v>97.527908373632002</v>
      </c>
      <c r="P159" s="19">
        <v>-1.1571226211211101E-3</v>
      </c>
      <c r="Q159" s="20">
        <v>91.4011332237353</v>
      </c>
      <c r="R159" s="19">
        <v>-4.1545918502714801E-2</v>
      </c>
      <c r="S159" s="20">
        <v>127.84914500191999</v>
      </c>
      <c r="T159" s="19">
        <v>5.1123031227839497E-2</v>
      </c>
      <c r="U159" s="20">
        <v>98.915800295572495</v>
      </c>
      <c r="V159" s="19">
        <v>-2.1690686796138601E-3</v>
      </c>
      <c r="W159" s="20">
        <v>99.938532571534395</v>
      </c>
      <c r="X159" s="19">
        <v>1.30637121986894E-2</v>
      </c>
      <c r="Y159" s="20">
        <v>98.941696979960597</v>
      </c>
      <c r="Z159" s="19">
        <v>-4.6879401819611699E-3</v>
      </c>
      <c r="AA159" s="20">
        <v>99.560635395862903</v>
      </c>
      <c r="AB159" s="19">
        <v>3.3342676377034999E-3</v>
      </c>
      <c r="AC159" s="20">
        <v>97.133196696492007</v>
      </c>
      <c r="AD159" s="19">
        <v>-8.4404515563662997E-4</v>
      </c>
      <c r="AE159" s="20">
        <v>99.366760153776298</v>
      </c>
      <c r="AF159" s="19">
        <v>-2.8817960912604899E-3</v>
      </c>
      <c r="AG159" s="20">
        <v>108.04773126478401</v>
      </c>
      <c r="AH159" s="19">
        <v>-8.6727405932770507E-3</v>
      </c>
      <c r="AI159" s="20">
        <v>110.53429777552</v>
      </c>
      <c r="AJ159" s="19">
        <v>-6.4703150785391196E-3</v>
      </c>
      <c r="AK159" s="20">
        <v>111.46768898877301</v>
      </c>
      <c r="AL159" s="19">
        <v>-1.4669174953326E-2</v>
      </c>
      <c r="AM159" s="20">
        <v>97.807300236986507</v>
      </c>
      <c r="AN159" s="19">
        <v>1.9447441107018899E-3</v>
      </c>
      <c r="AO159" s="20">
        <v>98.840744874804301</v>
      </c>
      <c r="AP159" s="19">
        <v>1.40467274090117E-5</v>
      </c>
      <c r="AQ159" s="20">
        <v>96.343077275332604</v>
      </c>
      <c r="AR159" s="19">
        <v>-2.2932994786245601E-3</v>
      </c>
      <c r="AS159" s="20">
        <v>101.050030293285</v>
      </c>
      <c r="AT159" s="19">
        <v>-5.2815886213983801E-3</v>
      </c>
      <c r="AU159" s="20">
        <v>93.072561079165993</v>
      </c>
      <c r="AV159" s="19">
        <v>-1.43896439610769E-4</v>
      </c>
      <c r="AW159" s="20">
        <v>96.874923610518493</v>
      </c>
      <c r="AX159" s="19">
        <v>2.72686752604812E-3</v>
      </c>
      <c r="AY159" s="20">
        <v>97.365810730580293</v>
      </c>
      <c r="AZ159" s="19">
        <v>4.6883461480033998E-3</v>
      </c>
      <c r="BA159" s="20">
        <v>95.3155587926084</v>
      </c>
      <c r="BB159" s="19">
        <v>-2.0160422899802102E-2</v>
      </c>
      <c r="BC159" s="20">
        <v>97.268579411747297</v>
      </c>
      <c r="BD159" s="19">
        <v>-1.1971254599633401E-2</v>
      </c>
      <c r="BE159" s="20">
        <v>99.836455593438501</v>
      </c>
      <c r="BF159" s="19">
        <v>-1.2001736122915199E-3</v>
      </c>
      <c r="BG159" s="20"/>
      <c r="BH159" s="19"/>
    </row>
    <row r="160" spans="1:60" x14ac:dyDescent="0.15">
      <c r="A160" s="17">
        <v>2017</v>
      </c>
      <c r="B160" s="17">
        <v>1</v>
      </c>
      <c r="C160" s="20">
        <v>100.026421351159</v>
      </c>
      <c r="D160" s="19">
        <v>-3.3873991424699899E-3</v>
      </c>
      <c r="E160" s="20">
        <v>100.130179913552</v>
      </c>
      <c r="F160" s="19">
        <v>-3.8985508218228899E-3</v>
      </c>
      <c r="G160" s="20">
        <v>92.102968195816501</v>
      </c>
      <c r="H160" s="19">
        <v>2.9116163818516702E-3</v>
      </c>
      <c r="I160" s="20">
        <v>109.955928859908</v>
      </c>
      <c r="J160" s="19">
        <v>-7.12514658766694E-3</v>
      </c>
      <c r="K160" s="20">
        <v>102.254544167567</v>
      </c>
      <c r="L160" s="19">
        <v>-1.42230762609638E-2</v>
      </c>
      <c r="M160" s="20">
        <v>111.933805451978</v>
      </c>
      <c r="N160" s="19">
        <v>-3.30568149674672E-2</v>
      </c>
      <c r="O160" s="20">
        <v>97.0074195986533</v>
      </c>
      <c r="P160" s="19">
        <v>-5.3368188004680999E-3</v>
      </c>
      <c r="Q160" s="20">
        <v>86.427103137832006</v>
      </c>
      <c r="R160" s="19">
        <v>-5.4419785734249201E-2</v>
      </c>
      <c r="S160" s="20">
        <v>135.061071991311</v>
      </c>
      <c r="T160" s="19">
        <v>5.6409661474724697E-2</v>
      </c>
      <c r="U160" s="20">
        <v>98.977441105717404</v>
      </c>
      <c r="V160" s="19">
        <v>6.2316444855858898E-4</v>
      </c>
      <c r="W160" s="20">
        <v>100.383677298051</v>
      </c>
      <c r="X160" s="19">
        <v>4.4541851382295904E-3</v>
      </c>
      <c r="Y160" s="20">
        <v>99.230725043755697</v>
      </c>
      <c r="Z160" s="19">
        <v>2.9211957406962701E-3</v>
      </c>
      <c r="AA160" s="20">
        <v>99.927020005873203</v>
      </c>
      <c r="AB160" s="19">
        <v>3.6800147824840299E-3</v>
      </c>
      <c r="AC160" s="20">
        <v>97.184953967630506</v>
      </c>
      <c r="AD160" s="19">
        <v>5.3284842771361696E-4</v>
      </c>
      <c r="AE160" s="20">
        <v>99.487427911406598</v>
      </c>
      <c r="AF160" s="19">
        <v>1.2143674347799801E-3</v>
      </c>
      <c r="AG160" s="20">
        <v>106.74153965683701</v>
      </c>
      <c r="AH160" s="19">
        <v>-1.2089023921715699E-2</v>
      </c>
      <c r="AI160" s="20">
        <v>109.7361351671</v>
      </c>
      <c r="AJ160" s="19">
        <v>-7.2209497367130603E-3</v>
      </c>
      <c r="AK160" s="20">
        <v>108.980279876607</v>
      </c>
      <c r="AL160" s="19">
        <v>-2.2315068471693799E-2</v>
      </c>
      <c r="AM160" s="20">
        <v>97.763781259398897</v>
      </c>
      <c r="AN160" s="19">
        <v>-4.44946108135169E-4</v>
      </c>
      <c r="AO160" s="20">
        <v>98.828474205528906</v>
      </c>
      <c r="AP160" s="19">
        <v>-1.24145859998426E-4</v>
      </c>
      <c r="AQ160" s="20">
        <v>96.102470084637105</v>
      </c>
      <c r="AR160" s="19">
        <v>-2.4973998910984298E-3</v>
      </c>
      <c r="AS160" s="20">
        <v>100.69714201198499</v>
      </c>
      <c r="AT160" s="19">
        <v>-3.4922135132042799E-3</v>
      </c>
      <c r="AU160" s="20">
        <v>93.355164757007401</v>
      </c>
      <c r="AV160" s="19">
        <v>3.0363801593586998E-3</v>
      </c>
      <c r="AW160" s="20">
        <v>96.752399174819899</v>
      </c>
      <c r="AX160" s="19">
        <v>-1.26476936581843E-3</v>
      </c>
      <c r="AY160" s="20">
        <v>96.779290989326</v>
      </c>
      <c r="AZ160" s="19">
        <v>-6.02387775394042E-3</v>
      </c>
      <c r="BA160" s="20">
        <v>96.611225950673699</v>
      </c>
      <c r="BB160" s="19">
        <v>1.3593448692720301E-2</v>
      </c>
      <c r="BC160" s="20">
        <v>97.971634436275906</v>
      </c>
      <c r="BD160" s="19">
        <v>7.2279766886742501E-3</v>
      </c>
      <c r="BE160" s="20">
        <v>99.740030565257598</v>
      </c>
      <c r="BF160" s="19">
        <v>-9.65829842493382E-4</v>
      </c>
      <c r="BG160" s="20"/>
      <c r="BH160" s="19"/>
    </row>
    <row r="161" spans="1:60" x14ac:dyDescent="0.15">
      <c r="A161" s="17">
        <v>2017</v>
      </c>
      <c r="B161" s="17">
        <v>2</v>
      </c>
      <c r="C161" s="20">
        <v>99.815523757677397</v>
      </c>
      <c r="D161" s="19">
        <v>-2.1084188620690298E-3</v>
      </c>
      <c r="E161" s="20">
        <v>99.902848537931803</v>
      </c>
      <c r="F161" s="19">
        <v>-2.2703582058515299E-3</v>
      </c>
      <c r="G161" s="20">
        <v>91.043848158626702</v>
      </c>
      <c r="H161" s="19">
        <v>-1.1499304071699299E-2</v>
      </c>
      <c r="I161" s="20">
        <v>109.709350960587</v>
      </c>
      <c r="J161" s="19">
        <v>-2.2425157231432701E-3</v>
      </c>
      <c r="K161" s="20">
        <v>100.887157784412</v>
      </c>
      <c r="L161" s="19">
        <v>-1.33723776707135E-2</v>
      </c>
      <c r="M161" s="20">
        <v>109.993939748714</v>
      </c>
      <c r="N161" s="19">
        <v>-1.7330472196764202E-2</v>
      </c>
      <c r="O161" s="20">
        <v>95.927673813919597</v>
      </c>
      <c r="P161" s="19">
        <v>-1.1130548459085799E-2</v>
      </c>
      <c r="Q161" s="20">
        <v>90.527354442244999</v>
      </c>
      <c r="R161" s="19">
        <v>4.74417301465484E-2</v>
      </c>
      <c r="S161" s="20">
        <v>135.20430085879701</v>
      </c>
      <c r="T161" s="19">
        <v>1.06047483093574E-3</v>
      </c>
      <c r="U161" s="20">
        <v>99.225457238020894</v>
      </c>
      <c r="V161" s="19">
        <v>2.5057844447462499E-3</v>
      </c>
      <c r="W161" s="20">
        <v>101.03088402143899</v>
      </c>
      <c r="X161" s="19">
        <v>6.4473302912213502E-3</v>
      </c>
      <c r="Y161" s="20">
        <v>99.2231123171631</v>
      </c>
      <c r="Z161" s="19">
        <v>-7.67174339318943E-5</v>
      </c>
      <c r="AA161" s="20">
        <v>98.593633028256207</v>
      </c>
      <c r="AB161" s="19">
        <v>-1.3343607940460699E-2</v>
      </c>
      <c r="AC161" s="20">
        <v>97.514298481458198</v>
      </c>
      <c r="AD161" s="19">
        <v>3.3888426179369299E-3</v>
      </c>
      <c r="AE161" s="20">
        <v>99.545938178897899</v>
      </c>
      <c r="AF161" s="19">
        <v>5.88117199525229E-4</v>
      </c>
      <c r="AG161" s="20">
        <v>105.990894044161</v>
      </c>
      <c r="AH161" s="19">
        <v>-7.0323663597987602E-3</v>
      </c>
      <c r="AI161" s="20">
        <v>108.86172989395401</v>
      </c>
      <c r="AJ161" s="19">
        <v>-7.9682528623289395E-3</v>
      </c>
      <c r="AK161" s="20">
        <v>107.98752892644301</v>
      </c>
      <c r="AL161" s="19">
        <v>-9.1094549517414195E-3</v>
      </c>
      <c r="AM161" s="20">
        <v>97.751076275990499</v>
      </c>
      <c r="AN161" s="19">
        <v>-1.2995593301279299E-4</v>
      </c>
      <c r="AO161" s="20">
        <v>98.8108086855637</v>
      </c>
      <c r="AP161" s="19">
        <v>-1.7874929373507001E-4</v>
      </c>
      <c r="AQ161" s="20">
        <v>96.240280458329806</v>
      </c>
      <c r="AR161" s="19">
        <v>1.43399408538891E-3</v>
      </c>
      <c r="AS161" s="20">
        <v>100.31562018769699</v>
      </c>
      <c r="AT161" s="19">
        <v>-3.7888048922262202E-3</v>
      </c>
      <c r="AU161" s="20">
        <v>93.604196971508699</v>
      </c>
      <c r="AV161" s="19">
        <v>2.6675783300205099E-3</v>
      </c>
      <c r="AW161" s="20">
        <v>96.682622524871405</v>
      </c>
      <c r="AX161" s="19">
        <v>-7.2118780044350096E-4</v>
      </c>
      <c r="AY161" s="20">
        <v>97.409284620202897</v>
      </c>
      <c r="AZ161" s="19">
        <v>6.5095913024035799E-3</v>
      </c>
      <c r="BA161" s="20">
        <v>96.916654603990494</v>
      </c>
      <c r="BB161" s="19">
        <v>3.16141991069219E-3</v>
      </c>
      <c r="BC161" s="20">
        <v>98.123728876767998</v>
      </c>
      <c r="BD161" s="19">
        <v>1.5524334300154299E-3</v>
      </c>
      <c r="BE161" s="20">
        <v>99.677418998556604</v>
      </c>
      <c r="BF161" s="19">
        <v>-6.2774761894657195E-4</v>
      </c>
      <c r="BG161" s="20"/>
      <c r="BH161" s="19"/>
    </row>
    <row r="162" spans="1:60" x14ac:dyDescent="0.15">
      <c r="A162" s="17">
        <v>2017</v>
      </c>
      <c r="B162" s="17">
        <v>3</v>
      </c>
      <c r="C162" s="20">
        <v>100.102159091242</v>
      </c>
      <c r="D162" s="19">
        <v>2.8716508492216998E-3</v>
      </c>
      <c r="E162" s="20">
        <v>100.03890908001</v>
      </c>
      <c r="F162" s="19">
        <v>1.3619285542840801E-3</v>
      </c>
      <c r="G162" s="20">
        <v>91.443353030181001</v>
      </c>
      <c r="H162" s="19">
        <v>4.3880490514660603E-3</v>
      </c>
      <c r="I162" s="20">
        <v>107.10138632124399</v>
      </c>
      <c r="J162" s="19">
        <v>-2.3771580239140899E-2</v>
      </c>
      <c r="K162" s="20">
        <v>100.852606392571</v>
      </c>
      <c r="L162" s="19">
        <v>-3.4247561928924002E-4</v>
      </c>
      <c r="M162" s="20">
        <v>111.09521428597699</v>
      </c>
      <c r="N162" s="19">
        <v>1.00121383030565E-2</v>
      </c>
      <c r="O162" s="20">
        <v>95.392012777356399</v>
      </c>
      <c r="P162" s="19">
        <v>-5.5840094444730096E-3</v>
      </c>
      <c r="Q162" s="20">
        <v>91.090632081148797</v>
      </c>
      <c r="R162" s="19">
        <v>6.2221815977534503E-3</v>
      </c>
      <c r="S162" s="20">
        <v>140.96191113114401</v>
      </c>
      <c r="T162" s="19">
        <v>4.2584520135639001E-2</v>
      </c>
      <c r="U162" s="20">
        <v>99.042476219292396</v>
      </c>
      <c r="V162" s="19">
        <v>-1.8440934798578099E-3</v>
      </c>
      <c r="W162" s="20">
        <v>101.839264139355</v>
      </c>
      <c r="X162" s="19">
        <v>8.0013168819230707E-3</v>
      </c>
      <c r="Y162" s="20">
        <v>99.328740754524006</v>
      </c>
      <c r="Z162" s="19">
        <v>1.0645547684817701E-3</v>
      </c>
      <c r="AA162" s="20">
        <v>98.309951316833406</v>
      </c>
      <c r="AB162" s="19">
        <v>-2.8772822616399702E-3</v>
      </c>
      <c r="AC162" s="20">
        <v>97.087138826163894</v>
      </c>
      <c r="AD162" s="19">
        <v>-4.3804822671776903E-3</v>
      </c>
      <c r="AE162" s="20">
        <v>99.266392718524102</v>
      </c>
      <c r="AF162" s="19">
        <v>-2.8082055931940601E-3</v>
      </c>
      <c r="AG162" s="20">
        <v>106.16455175076</v>
      </c>
      <c r="AH162" s="19">
        <v>1.6384209998907601E-3</v>
      </c>
      <c r="AI162" s="20">
        <v>108.765612921455</v>
      </c>
      <c r="AJ162" s="19">
        <v>-8.8292710939419405E-4</v>
      </c>
      <c r="AK162" s="20">
        <v>108.415698731078</v>
      </c>
      <c r="AL162" s="19">
        <v>3.9649930773622E-3</v>
      </c>
      <c r="AM162" s="20">
        <v>97.846187720046203</v>
      </c>
      <c r="AN162" s="19">
        <v>9.7299638714187797E-4</v>
      </c>
      <c r="AO162" s="20">
        <v>98.8505807001834</v>
      </c>
      <c r="AP162" s="19">
        <v>4.0250672116459702E-4</v>
      </c>
      <c r="AQ162" s="20">
        <v>96.741880356095805</v>
      </c>
      <c r="AR162" s="19">
        <v>5.2119538240873496E-3</v>
      </c>
      <c r="AS162" s="20">
        <v>99.801270182559406</v>
      </c>
      <c r="AT162" s="19">
        <v>-5.1273172031980297E-3</v>
      </c>
      <c r="AU162" s="20">
        <v>94.478325520423297</v>
      </c>
      <c r="AV162" s="19">
        <v>9.3385614875864907E-3</v>
      </c>
      <c r="AW162" s="20">
        <v>96.693884962398499</v>
      </c>
      <c r="AX162" s="19">
        <v>1.16488746715548E-4</v>
      </c>
      <c r="AY162" s="20">
        <v>96.996251240393306</v>
      </c>
      <c r="AZ162" s="19">
        <v>-4.2401849209757802E-3</v>
      </c>
      <c r="BA162" s="20">
        <v>101.99186530454401</v>
      </c>
      <c r="BB162" s="19">
        <v>5.2366754932791297E-2</v>
      </c>
      <c r="BC162" s="20">
        <v>101.059404963906</v>
      </c>
      <c r="BD162" s="19">
        <v>2.9918105648272901E-2</v>
      </c>
      <c r="BE162" s="20">
        <v>99.652829506755097</v>
      </c>
      <c r="BF162" s="19">
        <v>-2.4669069533100901E-4</v>
      </c>
      <c r="BG162" s="20"/>
      <c r="BH162" s="19"/>
    </row>
    <row r="163" spans="1:60" x14ac:dyDescent="0.15">
      <c r="A163" s="17">
        <v>2017</v>
      </c>
      <c r="B163" s="17">
        <v>4</v>
      </c>
      <c r="C163" s="20">
        <v>100.47798418786</v>
      </c>
      <c r="D163" s="19">
        <v>3.7544154894404401E-3</v>
      </c>
      <c r="E163" s="20">
        <v>100.348898351163</v>
      </c>
      <c r="F163" s="19">
        <v>3.0986870409104301E-3</v>
      </c>
      <c r="G163" s="20">
        <v>90.984146897912694</v>
      </c>
      <c r="H163" s="19">
        <v>-5.0217551856037703E-3</v>
      </c>
      <c r="I163" s="20">
        <v>103.572072202003</v>
      </c>
      <c r="J163" s="19">
        <v>-3.2953019941817201E-2</v>
      </c>
      <c r="K163" s="20">
        <v>101.847608986823</v>
      </c>
      <c r="L163" s="19">
        <v>9.8659085753241005E-3</v>
      </c>
      <c r="M163" s="20">
        <v>112.398486400811</v>
      </c>
      <c r="N163" s="19">
        <v>1.17311274226428E-2</v>
      </c>
      <c r="O163" s="20">
        <v>96.258001878508196</v>
      </c>
      <c r="P163" s="19">
        <v>9.0782139503964299E-3</v>
      </c>
      <c r="Q163" s="20">
        <v>87.489252416276699</v>
      </c>
      <c r="R163" s="19">
        <v>-3.9536224336041897E-2</v>
      </c>
      <c r="S163" s="20">
        <v>146.69488154310099</v>
      </c>
      <c r="T163" s="19">
        <v>4.06703510611734E-2</v>
      </c>
      <c r="U163" s="20">
        <v>98.317601136059395</v>
      </c>
      <c r="V163" s="19">
        <v>-7.3188303736269099E-3</v>
      </c>
      <c r="W163" s="20">
        <v>103.113689012783</v>
      </c>
      <c r="X163" s="19">
        <v>1.25140817168916E-2</v>
      </c>
      <c r="Y163" s="20">
        <v>99.8465149410615</v>
      </c>
      <c r="Z163" s="19">
        <v>5.2127328163471499E-3</v>
      </c>
      <c r="AA163" s="20">
        <v>97.830073671771103</v>
      </c>
      <c r="AB163" s="19">
        <v>-4.8812723293470998E-3</v>
      </c>
      <c r="AC163" s="20">
        <v>96.902264359363201</v>
      </c>
      <c r="AD163" s="19">
        <v>-1.90421171162203E-3</v>
      </c>
      <c r="AE163" s="20">
        <v>98.743877167325905</v>
      </c>
      <c r="AF163" s="19">
        <v>-5.2637709187221002E-3</v>
      </c>
      <c r="AG163" s="20">
        <v>107.23252036891699</v>
      </c>
      <c r="AH163" s="19">
        <v>1.00595594343393E-2</v>
      </c>
      <c r="AI163" s="20">
        <v>109.389367651367</v>
      </c>
      <c r="AJ163" s="19">
        <v>5.7348523412661398E-3</v>
      </c>
      <c r="AK163" s="20">
        <v>110.359392637477</v>
      </c>
      <c r="AL163" s="19">
        <v>1.79281591978744E-2</v>
      </c>
      <c r="AM163" s="20">
        <v>97.720064093130404</v>
      </c>
      <c r="AN163" s="19">
        <v>-1.28899888544109E-3</v>
      </c>
      <c r="AO163" s="20">
        <v>98.9166583609003</v>
      </c>
      <c r="AP163" s="19">
        <v>6.6846001560039202E-4</v>
      </c>
      <c r="AQ163" s="20">
        <v>96.897823572552895</v>
      </c>
      <c r="AR163" s="19">
        <v>1.61195147213444E-3</v>
      </c>
      <c r="AS163" s="20">
        <v>99.605671492451805</v>
      </c>
      <c r="AT163" s="19">
        <v>-1.9598817705400698E-3</v>
      </c>
      <c r="AU163" s="20">
        <v>92.9175472025413</v>
      </c>
      <c r="AV163" s="19">
        <v>-1.6519961687345999E-2</v>
      </c>
      <c r="AW163" s="20">
        <v>96.734275245635402</v>
      </c>
      <c r="AX163" s="19">
        <v>4.17712901416678E-4</v>
      </c>
      <c r="AY163" s="20">
        <v>97.9067958277695</v>
      </c>
      <c r="AZ163" s="19">
        <v>9.3874203975114999E-3</v>
      </c>
      <c r="BA163" s="20">
        <v>104.606582283645</v>
      </c>
      <c r="BB163" s="19">
        <v>2.56365247492416E-2</v>
      </c>
      <c r="BC163" s="20">
        <v>102.54604735647899</v>
      </c>
      <c r="BD163" s="19">
        <v>1.4710579318222301E-2</v>
      </c>
      <c r="BE163" s="20">
        <v>99.669310085643602</v>
      </c>
      <c r="BF163" s="19">
        <v>1.65379939236043E-4</v>
      </c>
      <c r="BG163" s="20"/>
      <c r="BH163" s="19"/>
    </row>
    <row r="164" spans="1:60" x14ac:dyDescent="0.15">
      <c r="A164" s="17">
        <v>2018</v>
      </c>
      <c r="B164" s="17">
        <v>1</v>
      </c>
      <c r="C164" s="20">
        <v>100.257740306633</v>
      </c>
      <c r="D164" s="19">
        <v>-2.1919615825067898E-3</v>
      </c>
      <c r="E164" s="20">
        <v>100.683037271603</v>
      </c>
      <c r="F164" s="19">
        <v>3.3297716858953202E-3</v>
      </c>
      <c r="G164" s="20">
        <v>89.670534922799604</v>
      </c>
      <c r="H164" s="19">
        <v>-1.4437811639725E-2</v>
      </c>
      <c r="I164" s="20">
        <v>101.665649507664</v>
      </c>
      <c r="J164" s="19">
        <v>-1.8406725421315301E-2</v>
      </c>
      <c r="K164" s="20">
        <v>101.746621364978</v>
      </c>
      <c r="L164" s="19">
        <v>-9.9155613814017095E-4</v>
      </c>
      <c r="M164" s="20">
        <v>110.993485877762</v>
      </c>
      <c r="N164" s="19">
        <v>-1.2500172983101699E-2</v>
      </c>
      <c r="O164" s="20">
        <v>96.737067578118399</v>
      </c>
      <c r="P164" s="19">
        <v>4.9768922090742702E-3</v>
      </c>
      <c r="Q164" s="20">
        <v>88.6269488076355</v>
      </c>
      <c r="R164" s="19">
        <v>1.30038417284171E-2</v>
      </c>
      <c r="S164" s="20">
        <v>146.258583116822</v>
      </c>
      <c r="T164" s="19">
        <v>-2.9741898400925701E-3</v>
      </c>
      <c r="U164" s="20">
        <v>97.579485291769601</v>
      </c>
      <c r="V164" s="19">
        <v>-7.5074639307803901E-3</v>
      </c>
      <c r="W164" s="20">
        <v>104.952329033883</v>
      </c>
      <c r="X164" s="19">
        <v>1.7831192334434798E-2</v>
      </c>
      <c r="Y164" s="20">
        <v>99.960762687815503</v>
      </c>
      <c r="Z164" s="19">
        <v>1.14423369530137E-3</v>
      </c>
      <c r="AA164" s="20">
        <v>97.800207512848402</v>
      </c>
      <c r="AB164" s="19">
        <v>-3.0528607208169E-4</v>
      </c>
      <c r="AC164" s="20">
        <v>96.770689301089604</v>
      </c>
      <c r="AD164" s="19">
        <v>-1.3578120092804201E-3</v>
      </c>
      <c r="AE164" s="20">
        <v>98.7076358521456</v>
      </c>
      <c r="AF164" s="19">
        <v>-3.6702341674188499E-4</v>
      </c>
      <c r="AG164" s="20">
        <v>109.215717482995</v>
      </c>
      <c r="AH164" s="19">
        <v>1.8494362598728199E-2</v>
      </c>
      <c r="AI164" s="20">
        <v>110.707938511397</v>
      </c>
      <c r="AJ164" s="19">
        <v>1.2053921586164799E-2</v>
      </c>
      <c r="AK164" s="20">
        <v>114.09274435125801</v>
      </c>
      <c r="AL164" s="19">
        <v>3.3829034616423399E-2</v>
      </c>
      <c r="AM164" s="20">
        <v>97.583776635299301</v>
      </c>
      <c r="AN164" s="19">
        <v>-1.39467221082945E-3</v>
      </c>
      <c r="AO164" s="20">
        <v>98.906102789561004</v>
      </c>
      <c r="AP164" s="19">
        <v>-1.0671176639243101E-4</v>
      </c>
      <c r="AQ164" s="20">
        <v>96.976398233197997</v>
      </c>
      <c r="AR164" s="19">
        <v>8.1090222409718705E-4</v>
      </c>
      <c r="AS164" s="20">
        <v>99.060982475250896</v>
      </c>
      <c r="AT164" s="19">
        <v>-5.4684538444402797E-3</v>
      </c>
      <c r="AU164" s="20">
        <v>92.167127069477203</v>
      </c>
      <c r="AV164" s="19">
        <v>-8.0761939553614104E-3</v>
      </c>
      <c r="AW164" s="20">
        <v>96.604241405392898</v>
      </c>
      <c r="AX164" s="19">
        <v>-1.34423749919288E-3</v>
      </c>
      <c r="AY164" s="20">
        <v>98.269401875380694</v>
      </c>
      <c r="AZ164" s="19">
        <v>3.7035840520103199E-3</v>
      </c>
      <c r="BA164" s="20">
        <v>86.034960704493201</v>
      </c>
      <c r="BB164" s="19">
        <v>-0.17753779134848399</v>
      </c>
      <c r="BC164" s="20">
        <v>91.926784657646493</v>
      </c>
      <c r="BD164" s="19">
        <v>-0.1035560411404</v>
      </c>
      <c r="BE164" s="20">
        <v>99.729932986092606</v>
      </c>
      <c r="BF164" s="19">
        <v>6.0824039412854503E-4</v>
      </c>
      <c r="BG164" s="20"/>
      <c r="BH164" s="19"/>
    </row>
    <row r="165" spans="1:60" x14ac:dyDescent="0.15">
      <c r="A165" s="17">
        <v>2018</v>
      </c>
      <c r="B165" s="17">
        <v>2</v>
      </c>
      <c r="C165" s="20">
        <v>101.01814946770401</v>
      </c>
      <c r="D165" s="19">
        <v>7.58454318585167E-3</v>
      </c>
      <c r="E165" s="20">
        <v>100.85358086164401</v>
      </c>
      <c r="F165" s="19">
        <v>1.6938661631788999E-3</v>
      </c>
      <c r="G165" s="20">
        <v>88.9021164063074</v>
      </c>
      <c r="H165" s="19">
        <v>-8.5693535468892596E-3</v>
      </c>
      <c r="I165" s="20">
        <v>99.045841280054603</v>
      </c>
      <c r="J165" s="19">
        <v>-2.57688633308969E-2</v>
      </c>
      <c r="K165" s="20">
        <v>100.953293247522</v>
      </c>
      <c r="L165" s="19">
        <v>-7.7970954397556004E-3</v>
      </c>
      <c r="M165" s="20">
        <v>110.805493080411</v>
      </c>
      <c r="N165" s="19">
        <v>-1.6937282027343901E-3</v>
      </c>
      <c r="O165" s="20">
        <v>95.664137438244893</v>
      </c>
      <c r="P165" s="19">
        <v>-1.10911997513984E-2</v>
      </c>
      <c r="Q165" s="20">
        <v>87.813525164894898</v>
      </c>
      <c r="R165" s="19">
        <v>-9.1780621321631006E-3</v>
      </c>
      <c r="S165" s="20">
        <v>144.54826759553501</v>
      </c>
      <c r="T165" s="19">
        <v>-1.1693778818582501E-2</v>
      </c>
      <c r="U165" s="20">
        <v>97.2886061672598</v>
      </c>
      <c r="V165" s="19">
        <v>-2.9809454686100501E-3</v>
      </c>
      <c r="W165" s="20">
        <v>106.379363069284</v>
      </c>
      <c r="X165" s="19">
        <v>1.3596973488218599E-2</v>
      </c>
      <c r="Y165" s="20">
        <v>100.06236978836699</v>
      </c>
      <c r="Z165" s="19">
        <v>1.0164698409615999E-3</v>
      </c>
      <c r="AA165" s="20">
        <v>98.009297515913204</v>
      </c>
      <c r="AB165" s="19">
        <v>2.1379300553872002E-3</v>
      </c>
      <c r="AC165" s="20">
        <v>96.458071115174505</v>
      </c>
      <c r="AD165" s="19">
        <v>-3.2305048994996101E-3</v>
      </c>
      <c r="AE165" s="20">
        <v>98.839481184140297</v>
      </c>
      <c r="AF165" s="19">
        <v>1.33571562986368E-3</v>
      </c>
      <c r="AG165" s="20">
        <v>110.827055340263</v>
      </c>
      <c r="AH165" s="19">
        <v>1.4753717637016699E-2</v>
      </c>
      <c r="AI165" s="20">
        <v>112.59119314982</v>
      </c>
      <c r="AJ165" s="19">
        <v>1.7011017129805201E-2</v>
      </c>
      <c r="AK165" s="20">
        <v>116.026106714837</v>
      </c>
      <c r="AL165" s="19">
        <v>1.6945532992234801E-2</v>
      </c>
      <c r="AM165" s="20">
        <v>97.618441658801999</v>
      </c>
      <c r="AN165" s="19">
        <v>3.5523346910681897E-4</v>
      </c>
      <c r="AO165" s="20">
        <v>99.057165862470299</v>
      </c>
      <c r="AP165" s="19">
        <v>1.5273382394891399E-3</v>
      </c>
      <c r="AQ165" s="20">
        <v>97.212352433543401</v>
      </c>
      <c r="AR165" s="19">
        <v>2.4331095466965098E-3</v>
      </c>
      <c r="AS165" s="20">
        <v>99.058747949229002</v>
      </c>
      <c r="AT165" s="19">
        <v>-2.2557075107232399E-5</v>
      </c>
      <c r="AU165" s="20">
        <v>91.632699017765901</v>
      </c>
      <c r="AV165" s="19">
        <v>-5.7984670750171902E-3</v>
      </c>
      <c r="AW165" s="20">
        <v>96.540165372707904</v>
      </c>
      <c r="AX165" s="19">
        <v>-6.6328384502401005E-4</v>
      </c>
      <c r="AY165" s="20">
        <v>97.202391003890696</v>
      </c>
      <c r="AZ165" s="19">
        <v>-1.0858017359697599E-2</v>
      </c>
      <c r="BA165" s="20">
        <v>106.467406507833</v>
      </c>
      <c r="BB165" s="19">
        <v>0.23749003470251301</v>
      </c>
      <c r="BC165" s="20">
        <v>103.67809858341199</v>
      </c>
      <c r="BD165" s="19">
        <v>0.12783340535111101</v>
      </c>
      <c r="BE165" s="20">
        <v>99.864139024275701</v>
      </c>
      <c r="BF165" s="19">
        <v>1.34569465921364E-3</v>
      </c>
      <c r="BG165" s="20"/>
      <c r="BH165" s="19"/>
    </row>
    <row r="166" spans="1:60" x14ac:dyDescent="0.15">
      <c r="A166" s="17">
        <v>2018</v>
      </c>
      <c r="B166" s="17">
        <v>3</v>
      </c>
      <c r="C166" s="20">
        <v>101.143315348615</v>
      </c>
      <c r="D166" s="19">
        <v>1.23904349436366E-3</v>
      </c>
      <c r="E166" s="20">
        <v>101.03680971446801</v>
      </c>
      <c r="F166" s="19">
        <v>1.8167808347360199E-3</v>
      </c>
      <c r="G166" s="20">
        <v>87.890708368764805</v>
      </c>
      <c r="H166" s="19">
        <v>-1.13766474683258E-2</v>
      </c>
      <c r="I166" s="20">
        <v>98.669285268112105</v>
      </c>
      <c r="J166" s="19">
        <v>-3.8018356659500498E-3</v>
      </c>
      <c r="K166" s="20">
        <v>101.049723737082</v>
      </c>
      <c r="L166" s="19">
        <v>9.5519904757202E-4</v>
      </c>
      <c r="M166" s="20">
        <v>109.29202070189901</v>
      </c>
      <c r="N166" s="19">
        <v>-1.3658820843962E-2</v>
      </c>
      <c r="O166" s="20">
        <v>96.530168382343703</v>
      </c>
      <c r="P166" s="19">
        <v>9.0528276038426298E-3</v>
      </c>
      <c r="Q166" s="20">
        <v>86.314619383136701</v>
      </c>
      <c r="R166" s="19">
        <v>-1.7069190411655302E-2</v>
      </c>
      <c r="S166" s="20">
        <v>138.56295482684601</v>
      </c>
      <c r="T166" s="19">
        <v>-4.14070183493069E-2</v>
      </c>
      <c r="U166" s="20">
        <v>96.748679694387306</v>
      </c>
      <c r="V166" s="19">
        <v>-5.5497400378435903E-3</v>
      </c>
      <c r="W166" s="20">
        <v>106.787756721142</v>
      </c>
      <c r="X166" s="19">
        <v>3.8390308051774501E-3</v>
      </c>
      <c r="Y166" s="20">
        <v>100.30349314953401</v>
      </c>
      <c r="Z166" s="19">
        <v>2.4097306677526298E-3</v>
      </c>
      <c r="AA166" s="20">
        <v>98.401011143044101</v>
      </c>
      <c r="AB166" s="19">
        <v>3.9966986506281303E-3</v>
      </c>
      <c r="AC166" s="20">
        <v>96.543287999189602</v>
      </c>
      <c r="AD166" s="19">
        <v>8.8346037848219304E-4</v>
      </c>
      <c r="AE166" s="20">
        <v>99.094015037298007</v>
      </c>
      <c r="AF166" s="19">
        <v>2.5752244964094601E-3</v>
      </c>
      <c r="AG166" s="20">
        <v>111.56071679413201</v>
      </c>
      <c r="AH166" s="19">
        <v>6.6198768127172496E-3</v>
      </c>
      <c r="AI166" s="20">
        <v>113.690973039893</v>
      </c>
      <c r="AJ166" s="19">
        <v>9.7679033262405603E-3</v>
      </c>
      <c r="AK166" s="20">
        <v>116.432692873723</v>
      </c>
      <c r="AL166" s="19">
        <v>3.5042644314975399E-3</v>
      </c>
      <c r="AM166" s="20">
        <v>97.851067569308896</v>
      </c>
      <c r="AN166" s="19">
        <v>2.3830119243246602E-3</v>
      </c>
      <c r="AO166" s="20">
        <v>99.252110349443697</v>
      </c>
      <c r="AP166" s="19">
        <v>1.9679998440902402E-3</v>
      </c>
      <c r="AQ166" s="20">
        <v>97.6493612939542</v>
      </c>
      <c r="AR166" s="19">
        <v>4.4954046422183104E-3</v>
      </c>
      <c r="AS166" s="20">
        <v>99.413259463228698</v>
      </c>
      <c r="AT166" s="19">
        <v>3.57880067474103E-3</v>
      </c>
      <c r="AU166" s="20">
        <v>91.500069094280605</v>
      </c>
      <c r="AV166" s="19">
        <v>-1.4474082386196599E-3</v>
      </c>
      <c r="AW166" s="20">
        <v>96.507744954602401</v>
      </c>
      <c r="AX166" s="19">
        <v>-3.3582310513280401E-4</v>
      </c>
      <c r="AY166" s="20">
        <v>97.494495919277298</v>
      </c>
      <c r="AZ166" s="19">
        <v>3.00512068036363E-3</v>
      </c>
      <c r="BA166" s="20">
        <v>104.676207452423</v>
      </c>
      <c r="BB166" s="19">
        <v>-1.6823919302264501E-2</v>
      </c>
      <c r="BC166" s="20">
        <v>102.72013737500301</v>
      </c>
      <c r="BD166" s="19">
        <v>-9.2397644391398696E-3</v>
      </c>
      <c r="BE166" s="20">
        <v>100.068829142582</v>
      </c>
      <c r="BF166" s="19">
        <v>2.04968590633414E-3</v>
      </c>
      <c r="BG166" s="20"/>
      <c r="BH166" s="19"/>
    </row>
    <row r="167" spans="1:60" x14ac:dyDescent="0.15">
      <c r="A167" s="17">
        <v>2018</v>
      </c>
      <c r="B167" s="17">
        <v>4</v>
      </c>
      <c r="C167" s="20">
        <v>101.005755604434</v>
      </c>
      <c r="D167" s="19">
        <v>-1.3600478064865801E-3</v>
      </c>
      <c r="E167" s="20">
        <v>100.94557344355199</v>
      </c>
      <c r="F167" s="19">
        <v>-9.0300031417822602E-4</v>
      </c>
      <c r="G167" s="20">
        <v>89.591021901197607</v>
      </c>
      <c r="H167" s="19">
        <v>1.9345771174112101E-2</v>
      </c>
      <c r="I167" s="20">
        <v>99.442184593701697</v>
      </c>
      <c r="J167" s="19">
        <v>7.8332312176931894E-3</v>
      </c>
      <c r="K167" s="20">
        <v>99.954549664350296</v>
      </c>
      <c r="L167" s="19">
        <v>-1.0837971962998001E-2</v>
      </c>
      <c r="M167" s="20">
        <v>107.48628299790199</v>
      </c>
      <c r="N167" s="19">
        <v>-1.6522136679330099E-2</v>
      </c>
      <c r="O167" s="20">
        <v>95.808748086446997</v>
      </c>
      <c r="P167" s="19">
        <v>-7.47352157347603E-3</v>
      </c>
      <c r="Q167" s="20">
        <v>87.952688185803297</v>
      </c>
      <c r="R167" s="19">
        <v>1.8977883635164401E-2</v>
      </c>
      <c r="S167" s="20">
        <v>125.418592713403</v>
      </c>
      <c r="T167" s="19">
        <v>-9.4862022319523204E-2</v>
      </c>
      <c r="U167" s="20">
        <v>96.8336108180428</v>
      </c>
      <c r="V167" s="19">
        <v>8.7785305105714305E-4</v>
      </c>
      <c r="W167" s="20">
        <v>107.01371435645299</v>
      </c>
      <c r="X167" s="19">
        <v>2.1159507629773299E-3</v>
      </c>
      <c r="Y167" s="20">
        <v>100.49247205266801</v>
      </c>
      <c r="Z167" s="19">
        <v>1.8840710049046201E-3</v>
      </c>
      <c r="AA167" s="20">
        <v>98.523071083580305</v>
      </c>
      <c r="AB167" s="19">
        <v>1.2404338036606801E-3</v>
      </c>
      <c r="AC167" s="20">
        <v>96.673708477741698</v>
      </c>
      <c r="AD167" s="19">
        <v>1.3509015619317399E-3</v>
      </c>
      <c r="AE167" s="20">
        <v>99.412350926379006</v>
      </c>
      <c r="AF167" s="19">
        <v>3.2124633254710898E-3</v>
      </c>
      <c r="AG167" s="20">
        <v>111.567398263876</v>
      </c>
      <c r="AH167" s="19">
        <v>5.9890882161850497E-5</v>
      </c>
      <c r="AI167" s="20">
        <v>114.26458872305599</v>
      </c>
      <c r="AJ167" s="19">
        <v>5.0453933837066901E-3</v>
      </c>
      <c r="AK167" s="20">
        <v>115.40397063044399</v>
      </c>
      <c r="AL167" s="19">
        <v>-8.8353384078643203E-3</v>
      </c>
      <c r="AM167" s="20">
        <v>98.133381764042795</v>
      </c>
      <c r="AN167" s="19">
        <v>2.8851416928483702E-3</v>
      </c>
      <c r="AO167" s="20">
        <v>99.515885746573204</v>
      </c>
      <c r="AP167" s="19">
        <v>2.6576301118519398E-3</v>
      </c>
      <c r="AQ167" s="20">
        <v>98.007497893699707</v>
      </c>
      <c r="AR167" s="19">
        <v>3.6675774935945901E-3</v>
      </c>
      <c r="AS167" s="20">
        <v>99.3147652438319</v>
      </c>
      <c r="AT167" s="19">
        <v>-9.907553572695571E-4</v>
      </c>
      <c r="AU167" s="20">
        <v>92.089575370786804</v>
      </c>
      <c r="AV167" s="19">
        <v>6.4426866814582002E-3</v>
      </c>
      <c r="AW167" s="20">
        <v>96.676273333174606</v>
      </c>
      <c r="AX167" s="19">
        <v>1.74626791509214E-3</v>
      </c>
      <c r="AY167" s="20">
        <v>97.289663241200998</v>
      </c>
      <c r="AZ167" s="19">
        <v>-2.10096658426662E-3</v>
      </c>
      <c r="BA167" s="20">
        <v>102.970803927622</v>
      </c>
      <c r="BB167" s="19">
        <v>-1.6292179152332501E-2</v>
      </c>
      <c r="BC167" s="20">
        <v>101.865296931695</v>
      </c>
      <c r="BD167" s="19">
        <v>-8.3220336844662696E-3</v>
      </c>
      <c r="BE167" s="20">
        <v>100.331838970159</v>
      </c>
      <c r="BF167" s="19">
        <v>2.6282892468154598E-3</v>
      </c>
      <c r="BG167" s="20"/>
      <c r="BH167" s="19"/>
    </row>
    <row r="168" spans="1:60" x14ac:dyDescent="0.15">
      <c r="A168" s="17">
        <v>2019</v>
      </c>
      <c r="B168" s="17">
        <v>1</v>
      </c>
      <c r="C168" s="20">
        <v>101.045159219616</v>
      </c>
      <c r="D168" s="19">
        <v>3.9011257274901301E-4</v>
      </c>
      <c r="E168" s="20">
        <v>101.055937955804</v>
      </c>
      <c r="F168" s="19">
        <v>1.09330710091426E-3</v>
      </c>
      <c r="G168" s="20">
        <v>92.282215944194604</v>
      </c>
      <c r="H168" s="19">
        <v>3.0038657734754899E-2</v>
      </c>
      <c r="I168" s="20">
        <v>101.17222500821001</v>
      </c>
      <c r="J168" s="19">
        <v>1.7397449800373901E-2</v>
      </c>
      <c r="K168" s="20">
        <v>100.07885843046</v>
      </c>
      <c r="L168" s="19">
        <v>1.24365290552042E-3</v>
      </c>
      <c r="M168" s="20">
        <v>105.88182189229499</v>
      </c>
      <c r="N168" s="19">
        <v>-1.4927124288395301E-2</v>
      </c>
      <c r="O168" s="20">
        <v>96.734383573185895</v>
      </c>
      <c r="P168" s="19">
        <v>9.6612836011977805E-3</v>
      </c>
      <c r="Q168" s="20">
        <v>91.856861609161101</v>
      </c>
      <c r="R168" s="19">
        <v>4.4389472384403203E-2</v>
      </c>
      <c r="S168" s="20">
        <v>113.26414342315201</v>
      </c>
      <c r="T168" s="19">
        <v>-9.6911064199425995E-2</v>
      </c>
      <c r="U168" s="20">
        <v>96.916403558380495</v>
      </c>
      <c r="V168" s="19">
        <v>8.5500003189231699E-4</v>
      </c>
      <c r="W168" s="20">
        <v>106.711687967448</v>
      </c>
      <c r="X168" s="19">
        <v>-2.8223147922750201E-3</v>
      </c>
      <c r="Y168" s="20">
        <v>100.41757215284299</v>
      </c>
      <c r="Z168" s="19">
        <v>-7.4532846386710105E-4</v>
      </c>
      <c r="AA168" s="20">
        <v>97.824285014898294</v>
      </c>
      <c r="AB168" s="19">
        <v>-7.09261354722857E-3</v>
      </c>
      <c r="AC168" s="20">
        <v>96.743987391991595</v>
      </c>
      <c r="AD168" s="19">
        <v>7.2697029374913002E-4</v>
      </c>
      <c r="AE168" s="20">
        <v>99.617604934559097</v>
      </c>
      <c r="AF168" s="19">
        <v>2.0646731142290901E-3</v>
      </c>
      <c r="AG168" s="20">
        <v>110.948068799851</v>
      </c>
      <c r="AH168" s="19">
        <v>-5.5511688330294202E-3</v>
      </c>
      <c r="AI168" s="20">
        <v>114.714562581766</v>
      </c>
      <c r="AJ168" s="19">
        <v>3.9379991976409299E-3</v>
      </c>
      <c r="AK168" s="20">
        <v>112.86050467409299</v>
      </c>
      <c r="AL168" s="19">
        <v>-2.2039674566280001E-2</v>
      </c>
      <c r="AM168" s="20">
        <v>98.4395001377748</v>
      </c>
      <c r="AN168" s="19">
        <v>3.1194112363115401E-3</v>
      </c>
      <c r="AO168" s="20">
        <v>99.808140899270995</v>
      </c>
      <c r="AP168" s="19">
        <v>2.9367688435393302E-3</v>
      </c>
      <c r="AQ168" s="20">
        <v>98.823301737029297</v>
      </c>
      <c r="AR168" s="19">
        <v>8.3238921599080307E-3</v>
      </c>
      <c r="AS168" s="20">
        <v>99.404579003109703</v>
      </c>
      <c r="AT168" s="19">
        <v>9.0433440644321905E-4</v>
      </c>
      <c r="AU168" s="20">
        <v>92.910803494496406</v>
      </c>
      <c r="AV168" s="19">
        <v>8.9177099623169997E-3</v>
      </c>
      <c r="AW168" s="20">
        <v>96.823740878658398</v>
      </c>
      <c r="AX168" s="19">
        <v>1.5253747419039501E-3</v>
      </c>
      <c r="AY168" s="20">
        <v>96.155860431666696</v>
      </c>
      <c r="AZ168" s="19">
        <v>-1.16538876974355E-2</v>
      </c>
      <c r="BA168" s="20">
        <v>100.565069743829</v>
      </c>
      <c r="BB168" s="19">
        <v>-2.33632650424236E-2</v>
      </c>
      <c r="BC168" s="20">
        <v>100.64283557418</v>
      </c>
      <c r="BD168" s="19">
        <v>-1.2000763698111301E-2</v>
      </c>
      <c r="BE168" s="20">
        <v>100.625805923296</v>
      </c>
      <c r="BF168" s="19">
        <v>2.92994682600201E-3</v>
      </c>
      <c r="BG168" s="20"/>
      <c r="BH168" s="19"/>
    </row>
    <row r="169" spans="1:60" x14ac:dyDescent="0.15">
      <c r="A169" s="17">
        <v>2019</v>
      </c>
      <c r="B169" s="17">
        <v>2</v>
      </c>
      <c r="C169" s="20">
        <v>100.900463911819</v>
      </c>
      <c r="D169" s="19">
        <v>-1.43198653863585E-3</v>
      </c>
      <c r="E169" s="20">
        <v>100.987538431424</v>
      </c>
      <c r="F169" s="19">
        <v>-6.7684814730906205E-4</v>
      </c>
      <c r="G169" s="20">
        <v>92.472038093085004</v>
      </c>
      <c r="H169" s="19">
        <v>2.0569743254244001E-3</v>
      </c>
      <c r="I169" s="20">
        <v>100.766786526479</v>
      </c>
      <c r="J169" s="19">
        <v>-4.0074089672176303E-3</v>
      </c>
      <c r="K169" s="20">
        <v>100.31059715636501</v>
      </c>
      <c r="L169" s="19">
        <v>2.3155612437915098E-3</v>
      </c>
      <c r="M169" s="20">
        <v>105.686265400286</v>
      </c>
      <c r="N169" s="19">
        <v>-1.8469316877431901E-3</v>
      </c>
      <c r="O169" s="20">
        <v>97.211368777596405</v>
      </c>
      <c r="P169" s="19">
        <v>4.9308755252437404E-3</v>
      </c>
      <c r="Q169" s="20">
        <v>90.241394154838403</v>
      </c>
      <c r="R169" s="19">
        <v>-1.75867912970533E-2</v>
      </c>
      <c r="S169" s="20">
        <v>108.72888242998199</v>
      </c>
      <c r="T169" s="19">
        <v>-4.0041454039222997E-2</v>
      </c>
      <c r="U169" s="20">
        <v>96.991501232032803</v>
      </c>
      <c r="V169" s="19">
        <v>7.7487061936953904E-4</v>
      </c>
      <c r="W169" s="20">
        <v>105.901372132342</v>
      </c>
      <c r="X169" s="19">
        <v>-7.5935059274263601E-3</v>
      </c>
      <c r="Y169" s="20">
        <v>100.505838723727</v>
      </c>
      <c r="Z169" s="19">
        <v>8.7899526937262895E-4</v>
      </c>
      <c r="AA169" s="20">
        <v>97.665048205506906</v>
      </c>
      <c r="AB169" s="19">
        <v>-1.6277840350903401E-3</v>
      </c>
      <c r="AC169" s="20">
        <v>97.166751715757897</v>
      </c>
      <c r="AD169" s="19">
        <v>4.3699286659881799E-3</v>
      </c>
      <c r="AE169" s="20">
        <v>99.963463741210504</v>
      </c>
      <c r="AF169" s="19">
        <v>3.4718643042925801E-3</v>
      </c>
      <c r="AG169" s="20">
        <v>109.92420999138299</v>
      </c>
      <c r="AH169" s="19">
        <v>-9.2282706634099192E-3</v>
      </c>
      <c r="AI169" s="20">
        <v>114.09480654843701</v>
      </c>
      <c r="AJ169" s="19">
        <v>-5.4025924815531701E-3</v>
      </c>
      <c r="AK169" s="20">
        <v>110.488026180717</v>
      </c>
      <c r="AL169" s="19">
        <v>-2.10213351448965E-2</v>
      </c>
      <c r="AM169" s="20">
        <v>98.771266431158907</v>
      </c>
      <c r="AN169" s="19">
        <v>3.3702557704962102E-3</v>
      </c>
      <c r="AO169" s="20">
        <v>99.933479734212995</v>
      </c>
      <c r="AP169" s="19">
        <v>1.2557977116160999E-3</v>
      </c>
      <c r="AQ169" s="20">
        <v>99.179667583831602</v>
      </c>
      <c r="AR169" s="19">
        <v>3.6060912814936999E-3</v>
      </c>
      <c r="AS169" s="20">
        <v>99.456822821200902</v>
      </c>
      <c r="AT169" s="19">
        <v>5.2556752028065602E-4</v>
      </c>
      <c r="AU169" s="20">
        <v>94.272075990912697</v>
      </c>
      <c r="AV169" s="19">
        <v>1.46513908524843E-2</v>
      </c>
      <c r="AW169" s="20">
        <v>97.220321529636706</v>
      </c>
      <c r="AX169" s="19">
        <v>4.0959030025013998E-3</v>
      </c>
      <c r="AY169" s="20">
        <v>97.978986346131194</v>
      </c>
      <c r="AZ169" s="19">
        <v>1.8960112324719801E-2</v>
      </c>
      <c r="BA169" s="20">
        <v>97.782010395401798</v>
      </c>
      <c r="BB169" s="19">
        <v>-2.7674214869207601E-2</v>
      </c>
      <c r="BC169" s="20">
        <v>99.141743308424495</v>
      </c>
      <c r="BD169" s="19">
        <v>-1.49150434523394E-2</v>
      </c>
      <c r="BE169" s="20">
        <v>100.776311631814</v>
      </c>
      <c r="BF169" s="19">
        <v>1.495696925224E-3</v>
      </c>
      <c r="BG169" s="20"/>
      <c r="BH169" s="19"/>
    </row>
    <row r="170" spans="1:60" x14ac:dyDescent="0.15">
      <c r="A170" s="17">
        <v>2019</v>
      </c>
      <c r="B170" s="17">
        <v>3</v>
      </c>
      <c r="C170" s="20">
        <v>100.700053516662</v>
      </c>
      <c r="D170" s="19">
        <v>-1.98621876835037E-3</v>
      </c>
      <c r="E170" s="20">
        <v>100.80579532772001</v>
      </c>
      <c r="F170" s="19">
        <v>-1.79965871559173E-3</v>
      </c>
      <c r="G170" s="20">
        <v>94.070472927369707</v>
      </c>
      <c r="H170" s="19">
        <v>1.7285601866757299E-2</v>
      </c>
      <c r="I170" s="20">
        <v>100.95246707356399</v>
      </c>
      <c r="J170" s="19">
        <v>1.8426760789504999E-3</v>
      </c>
      <c r="K170" s="20">
        <v>100.486067768659</v>
      </c>
      <c r="L170" s="19">
        <v>1.74927293096339E-3</v>
      </c>
      <c r="M170" s="20">
        <v>104.080095141022</v>
      </c>
      <c r="N170" s="19">
        <v>-1.5197530664748301E-2</v>
      </c>
      <c r="O170" s="20">
        <v>98.406908741910001</v>
      </c>
      <c r="P170" s="19">
        <v>1.2298355422284E-2</v>
      </c>
      <c r="Q170" s="20">
        <v>92.317538519918401</v>
      </c>
      <c r="R170" s="19">
        <v>2.3006563501419799E-2</v>
      </c>
      <c r="S170" s="20">
        <v>102.95793216552801</v>
      </c>
      <c r="T170" s="19">
        <v>-5.3076515967780798E-2</v>
      </c>
      <c r="U170" s="20">
        <v>97.3303491667847</v>
      </c>
      <c r="V170" s="19">
        <v>3.49358377226583E-3</v>
      </c>
      <c r="W170" s="20">
        <v>104.38961324432201</v>
      </c>
      <c r="X170" s="19">
        <v>-1.42751586460119E-2</v>
      </c>
      <c r="Y170" s="20">
        <v>100.361284854392</v>
      </c>
      <c r="Z170" s="19">
        <v>-1.4382634001263201E-3</v>
      </c>
      <c r="AA170" s="20">
        <v>97.400723116767097</v>
      </c>
      <c r="AB170" s="19">
        <v>-2.7064450752498602E-3</v>
      </c>
      <c r="AC170" s="20">
        <v>97.635215692226396</v>
      </c>
      <c r="AD170" s="19">
        <v>4.8212373903260301E-3</v>
      </c>
      <c r="AE170" s="20">
        <v>99.742453453556095</v>
      </c>
      <c r="AF170" s="19">
        <v>-2.2109106605841E-3</v>
      </c>
      <c r="AG170" s="20">
        <v>108.27396134974801</v>
      </c>
      <c r="AH170" s="19">
        <v>-1.50126040638796E-2</v>
      </c>
      <c r="AI170" s="20">
        <v>112.152359291105</v>
      </c>
      <c r="AJ170" s="19">
        <v>-1.7024852542327301E-2</v>
      </c>
      <c r="AK170" s="20">
        <v>108.049497278899</v>
      </c>
      <c r="AL170" s="19">
        <v>-2.2070526428166599E-2</v>
      </c>
      <c r="AM170" s="20">
        <v>99.115550828808097</v>
      </c>
      <c r="AN170" s="19">
        <v>3.4856736183401802E-3</v>
      </c>
      <c r="AO170" s="20">
        <v>99.941785709608297</v>
      </c>
      <c r="AP170" s="19">
        <v>8.3115042300407907E-5</v>
      </c>
      <c r="AQ170" s="20">
        <v>99.609915753063007</v>
      </c>
      <c r="AR170" s="19">
        <v>4.3380682725890898E-3</v>
      </c>
      <c r="AS170" s="20">
        <v>99.379077418145599</v>
      </c>
      <c r="AT170" s="19">
        <v>-7.8170004681432604E-4</v>
      </c>
      <c r="AU170" s="20">
        <v>96.083485312832394</v>
      </c>
      <c r="AV170" s="19">
        <v>1.9214696429241201E-2</v>
      </c>
      <c r="AW170" s="20">
        <v>97.853180483722795</v>
      </c>
      <c r="AX170" s="19">
        <v>6.5095336461433702E-3</v>
      </c>
      <c r="AY170" s="20">
        <v>98.634780889813996</v>
      </c>
      <c r="AZ170" s="19">
        <v>6.6932162511466097E-3</v>
      </c>
      <c r="BA170" s="20">
        <v>96.924253343268006</v>
      </c>
      <c r="BB170" s="19">
        <v>-8.7721355765261206E-3</v>
      </c>
      <c r="BC170" s="20">
        <v>98.661109540073795</v>
      </c>
      <c r="BD170" s="19">
        <v>-4.8479455001666496E-3</v>
      </c>
      <c r="BE170" s="20">
        <v>100.759802511967</v>
      </c>
      <c r="BF170" s="19">
        <v>-1.63819449035096E-4</v>
      </c>
      <c r="BG170" s="20"/>
      <c r="BH170" s="19"/>
    </row>
    <row r="171" spans="1:60" x14ac:dyDescent="0.15">
      <c r="A171" s="17">
        <v>2019</v>
      </c>
      <c r="B171" s="17">
        <v>4</v>
      </c>
      <c r="C171" s="20">
        <v>100.424068363543</v>
      </c>
      <c r="D171" s="19">
        <v>-2.7406654066292101E-3</v>
      </c>
      <c r="E171" s="20">
        <v>100.467701307436</v>
      </c>
      <c r="F171" s="19">
        <v>-3.3539145163679102E-3</v>
      </c>
      <c r="G171" s="20">
        <v>97.644732418556003</v>
      </c>
      <c r="H171" s="19">
        <v>3.7995551419688398E-2</v>
      </c>
      <c r="I171" s="20">
        <v>100.29138111301199</v>
      </c>
      <c r="J171" s="19">
        <v>-6.5484874190335799E-3</v>
      </c>
      <c r="K171" s="20">
        <v>100.740146682602</v>
      </c>
      <c r="L171" s="19">
        <v>2.5284989211360499E-3</v>
      </c>
      <c r="M171" s="20">
        <v>103.077048768136</v>
      </c>
      <c r="N171" s="19">
        <v>-9.6372545732934505E-3</v>
      </c>
      <c r="O171" s="20">
        <v>99.359261558649095</v>
      </c>
      <c r="P171" s="19">
        <v>9.6777028047576596E-3</v>
      </c>
      <c r="Q171" s="20">
        <v>92.498242329113793</v>
      </c>
      <c r="R171" s="19">
        <v>1.9574158073598601E-3</v>
      </c>
      <c r="S171" s="20">
        <v>99.578971930273099</v>
      </c>
      <c r="T171" s="19">
        <v>-3.2818843232231602E-2</v>
      </c>
      <c r="U171" s="20">
        <v>98.058333505308894</v>
      </c>
      <c r="V171" s="19">
        <v>7.4795204656736801E-3</v>
      </c>
      <c r="W171" s="20">
        <v>101.777361605943</v>
      </c>
      <c r="X171" s="19">
        <v>-2.50240570607854E-2</v>
      </c>
      <c r="Y171" s="20">
        <v>100.114875035678</v>
      </c>
      <c r="Z171" s="19">
        <v>-2.4552278208818099E-3</v>
      </c>
      <c r="AA171" s="20">
        <v>97.335466953000306</v>
      </c>
      <c r="AB171" s="19">
        <v>-6.6997617346831195E-4</v>
      </c>
      <c r="AC171" s="20">
        <v>98.160365694105494</v>
      </c>
      <c r="AD171" s="19">
        <v>5.3786945433138599E-3</v>
      </c>
      <c r="AE171" s="20">
        <v>99.852659423309106</v>
      </c>
      <c r="AF171" s="19">
        <v>1.1049053430824999E-3</v>
      </c>
      <c r="AG171" s="20">
        <v>106.102187965952</v>
      </c>
      <c r="AH171" s="19">
        <v>-2.00581317679948E-2</v>
      </c>
      <c r="AI171" s="20">
        <v>109.25735436923</v>
      </c>
      <c r="AJ171" s="19">
        <v>-2.5813143300539899E-2</v>
      </c>
      <c r="AK171" s="20">
        <v>105.300865032461</v>
      </c>
      <c r="AL171" s="19">
        <v>-2.5438639842471401E-2</v>
      </c>
      <c r="AM171" s="20">
        <v>99.606064779616702</v>
      </c>
      <c r="AN171" s="19">
        <v>4.9489101024711201E-3</v>
      </c>
      <c r="AO171" s="20">
        <v>99.888632162770193</v>
      </c>
      <c r="AP171" s="19">
        <v>-5.31845078219906E-4</v>
      </c>
      <c r="AQ171" s="20">
        <v>99.570018521833603</v>
      </c>
      <c r="AR171" s="19">
        <v>-4.0053473519896499E-4</v>
      </c>
      <c r="AS171" s="20">
        <v>99.598496596568495</v>
      </c>
      <c r="AT171" s="19">
        <v>2.2079011409992201E-3</v>
      </c>
      <c r="AU171" s="20">
        <v>97.899561630445007</v>
      </c>
      <c r="AV171" s="19">
        <v>1.8901024579819799E-2</v>
      </c>
      <c r="AW171" s="20">
        <v>98.642988581936706</v>
      </c>
      <c r="AX171" s="19">
        <v>8.0713584812432994E-3</v>
      </c>
      <c r="AY171" s="20">
        <v>98.612663519134301</v>
      </c>
      <c r="AZ171" s="19">
        <v>-2.2423500594959101E-4</v>
      </c>
      <c r="BA171" s="20">
        <v>98.803160697038706</v>
      </c>
      <c r="BB171" s="19">
        <v>1.93853167701621E-2</v>
      </c>
      <c r="BC171" s="20">
        <v>99.640373878426402</v>
      </c>
      <c r="BD171" s="19">
        <v>9.9255354305019007E-3</v>
      </c>
      <c r="BE171" s="20">
        <v>100.577956430908</v>
      </c>
      <c r="BF171" s="19">
        <v>-1.80474828776189E-3</v>
      </c>
      <c r="BG171" s="20"/>
      <c r="BH171" s="19"/>
    </row>
    <row r="172" spans="1:60" x14ac:dyDescent="0.15">
      <c r="A172" s="17">
        <v>2020</v>
      </c>
      <c r="B172" s="17">
        <v>1</v>
      </c>
      <c r="C172" s="20">
        <v>99.937274841453799</v>
      </c>
      <c r="D172" s="19">
        <v>-4.8473790200070904E-3</v>
      </c>
      <c r="E172" s="20">
        <v>99.970515711491402</v>
      </c>
      <c r="F172" s="19">
        <v>-4.9487107744523601E-3</v>
      </c>
      <c r="G172" s="20">
        <v>98.819969587333304</v>
      </c>
      <c r="H172" s="19">
        <v>1.20358481166158E-2</v>
      </c>
      <c r="I172" s="20">
        <v>100.62446776880201</v>
      </c>
      <c r="J172" s="19">
        <v>3.3211892397240201E-3</v>
      </c>
      <c r="K172" s="20">
        <v>100.49306360294101</v>
      </c>
      <c r="L172" s="19">
        <v>-2.4526773862942899E-3</v>
      </c>
      <c r="M172" s="20">
        <v>101.50285088663701</v>
      </c>
      <c r="N172" s="19">
        <v>-1.52720503769921E-2</v>
      </c>
      <c r="O172" s="20">
        <v>99.796680615864005</v>
      </c>
      <c r="P172" s="19">
        <v>4.4023984312395702E-3</v>
      </c>
      <c r="Q172" s="20">
        <v>92.744983843059998</v>
      </c>
      <c r="R172" s="19">
        <v>2.66752651437652E-3</v>
      </c>
      <c r="S172" s="20">
        <v>99.884076303131195</v>
      </c>
      <c r="T172" s="19">
        <v>3.0639437919861602E-3</v>
      </c>
      <c r="U172" s="20">
        <v>99.3505159669824</v>
      </c>
      <c r="V172" s="19">
        <v>1.31776914361241E-2</v>
      </c>
      <c r="W172" s="20">
        <v>98.895931356163203</v>
      </c>
      <c r="X172" s="19">
        <v>-2.8311111668780801E-2</v>
      </c>
      <c r="Y172" s="20">
        <v>100.045581040626</v>
      </c>
      <c r="Z172" s="19">
        <v>-6.9214484887813999E-4</v>
      </c>
      <c r="AA172" s="20">
        <v>99.008258512662906</v>
      </c>
      <c r="AB172" s="19">
        <v>1.71858379276109E-2</v>
      </c>
      <c r="AC172" s="20">
        <v>99.202285604554504</v>
      </c>
      <c r="AD172" s="19">
        <v>1.0614466471079701E-2</v>
      </c>
      <c r="AE172" s="20">
        <v>99.958086202800303</v>
      </c>
      <c r="AF172" s="19">
        <v>1.05582345127408E-3</v>
      </c>
      <c r="AG172" s="20">
        <v>103.366143309272</v>
      </c>
      <c r="AH172" s="19">
        <v>-2.5786882524586101E-2</v>
      </c>
      <c r="AI172" s="20">
        <v>105.791590438822</v>
      </c>
      <c r="AJ172" s="19">
        <v>-3.1721104271798098E-2</v>
      </c>
      <c r="AK172" s="20">
        <v>101.962263860574</v>
      </c>
      <c r="AL172" s="19">
        <v>-3.1705353710604102E-2</v>
      </c>
      <c r="AM172" s="20">
        <v>99.887952280366093</v>
      </c>
      <c r="AN172" s="19">
        <v>2.8300234666738299E-3</v>
      </c>
      <c r="AO172" s="20">
        <v>99.775074184376507</v>
      </c>
      <c r="AP172" s="19">
        <v>-1.13684586458884E-3</v>
      </c>
      <c r="AQ172" s="20">
        <v>99.285904108397602</v>
      </c>
      <c r="AR172" s="19">
        <v>-2.85341328297251E-3</v>
      </c>
      <c r="AS172" s="20">
        <v>99.962022427534194</v>
      </c>
      <c r="AT172" s="19">
        <v>3.6499128339073602E-3</v>
      </c>
      <c r="AU172" s="20">
        <v>99.942741618911796</v>
      </c>
      <c r="AV172" s="19">
        <v>2.08701648346441E-2</v>
      </c>
      <c r="AW172" s="20">
        <v>99.428520540002694</v>
      </c>
      <c r="AX172" s="19">
        <v>7.9633836054497902E-3</v>
      </c>
      <c r="AY172" s="20">
        <v>99.064688816660393</v>
      </c>
      <c r="AZ172" s="19">
        <v>4.5838463478720098E-3</v>
      </c>
      <c r="BA172" s="20">
        <v>98.703830135852101</v>
      </c>
      <c r="BB172" s="19">
        <v>-1.0053378908719799E-3</v>
      </c>
      <c r="BC172" s="20">
        <v>99.4287876734208</v>
      </c>
      <c r="BD172" s="19">
        <v>-2.1234987060939599E-3</v>
      </c>
      <c r="BE172" s="20">
        <v>100.259381893842</v>
      </c>
      <c r="BF172" s="19">
        <v>-3.1674389535374398E-3</v>
      </c>
      <c r="BG172" s="20"/>
      <c r="BH172" s="19"/>
    </row>
    <row r="173" spans="1:60" x14ac:dyDescent="0.15">
      <c r="A173" s="17">
        <v>2020</v>
      </c>
      <c r="B173" s="17">
        <v>2</v>
      </c>
      <c r="C173" s="20">
        <v>99.7354022656951</v>
      </c>
      <c r="D173" s="19">
        <v>-2.0199928012739599E-3</v>
      </c>
      <c r="E173" s="20">
        <v>99.764696898153204</v>
      </c>
      <c r="F173" s="19">
        <v>-2.05879515448459E-3</v>
      </c>
      <c r="G173" s="20">
        <v>98.422272765695894</v>
      </c>
      <c r="H173" s="19">
        <v>-4.0244580452530902E-3</v>
      </c>
      <c r="I173" s="20">
        <v>99.72197316319</v>
      </c>
      <c r="J173" s="19">
        <v>-8.9689379295456693E-3</v>
      </c>
      <c r="K173" s="20">
        <v>100.227782519212</v>
      </c>
      <c r="L173" s="19">
        <v>-2.63979496910782E-3</v>
      </c>
      <c r="M173" s="20">
        <v>100.695647919832</v>
      </c>
      <c r="N173" s="19">
        <v>-7.95251522252227E-3</v>
      </c>
      <c r="O173" s="20">
        <v>100.257387255</v>
      </c>
      <c r="P173" s="19">
        <v>4.6164525342244902E-3</v>
      </c>
      <c r="Q173" s="20">
        <v>103.979867783735</v>
      </c>
      <c r="R173" s="19">
        <v>0.121137375576946</v>
      </c>
      <c r="S173" s="20">
        <v>97.041378574819703</v>
      </c>
      <c r="T173" s="19">
        <v>-2.8459969131459699E-2</v>
      </c>
      <c r="U173" s="20">
        <v>100.21521904075</v>
      </c>
      <c r="V173" s="19">
        <v>8.7035589634492094E-3</v>
      </c>
      <c r="W173" s="20">
        <v>97.856808581883797</v>
      </c>
      <c r="X173" s="19">
        <v>-1.05072348278628E-2</v>
      </c>
      <c r="Y173" s="20">
        <v>99.929803757439501</v>
      </c>
      <c r="Z173" s="19">
        <v>-1.1572453473888101E-3</v>
      </c>
      <c r="AA173" s="20">
        <v>99.683087261936194</v>
      </c>
      <c r="AB173" s="19">
        <v>6.8158834365010801E-3</v>
      </c>
      <c r="AC173" s="20">
        <v>99.689724023721695</v>
      </c>
      <c r="AD173" s="19">
        <v>4.9135805308990798E-3</v>
      </c>
      <c r="AE173" s="20">
        <v>100.146417891132</v>
      </c>
      <c r="AF173" s="19">
        <v>1.8841065839283501E-3</v>
      </c>
      <c r="AG173" s="20">
        <v>100.80941688317201</v>
      </c>
      <c r="AH173" s="19">
        <v>-2.4734660153190501E-2</v>
      </c>
      <c r="AI173" s="20">
        <v>101.723763681115</v>
      </c>
      <c r="AJ173" s="19">
        <v>-3.8451324352285897E-2</v>
      </c>
      <c r="AK173" s="20">
        <v>99.922683701085404</v>
      </c>
      <c r="AL173" s="19">
        <v>-2.0003284374676501E-2</v>
      </c>
      <c r="AM173" s="20">
        <v>100.049598409803</v>
      </c>
      <c r="AN173" s="19">
        <v>1.61827453407715E-3</v>
      </c>
      <c r="AO173" s="20">
        <v>99.829436604874601</v>
      </c>
      <c r="AP173" s="19">
        <v>5.4484971264123804E-4</v>
      </c>
      <c r="AQ173" s="20">
        <v>99.790652878887698</v>
      </c>
      <c r="AR173" s="19">
        <v>5.0837908464729199E-3</v>
      </c>
      <c r="AS173" s="20">
        <v>100.155012757327</v>
      </c>
      <c r="AT173" s="19">
        <v>1.9306365068103601E-3</v>
      </c>
      <c r="AU173" s="20">
        <v>100.75029750644801</v>
      </c>
      <c r="AV173" s="19">
        <v>8.0801854587442302E-3</v>
      </c>
      <c r="AW173" s="20">
        <v>99.952901243650501</v>
      </c>
      <c r="AX173" s="19">
        <v>5.2739465577871202E-3</v>
      </c>
      <c r="AY173" s="20">
        <v>99.942591753137904</v>
      </c>
      <c r="AZ173" s="19">
        <v>8.8619158548230992E-3</v>
      </c>
      <c r="BA173" s="20">
        <v>98.693923863508303</v>
      </c>
      <c r="BB173" s="19">
        <v>-1.00363606256426E-4</v>
      </c>
      <c r="BC173" s="20">
        <v>99.289690960346206</v>
      </c>
      <c r="BD173" s="19">
        <v>-1.3989581521546301E-3</v>
      </c>
      <c r="BE173" s="20">
        <v>100.01499841453899</v>
      </c>
      <c r="BF173" s="19">
        <v>-2.4375123273915299E-3</v>
      </c>
      <c r="BG173" s="20"/>
      <c r="BH173" s="19"/>
    </row>
    <row r="174" spans="1:60" x14ac:dyDescent="0.15">
      <c r="A174" s="17">
        <v>2020</v>
      </c>
      <c r="B174" s="17">
        <v>3</v>
      </c>
      <c r="C174" s="20">
        <v>99.942533685082907</v>
      </c>
      <c r="D174" s="19">
        <v>2.0768093844556498E-3</v>
      </c>
      <c r="E174" s="20">
        <v>99.915537361576099</v>
      </c>
      <c r="F174" s="19">
        <v>1.5119623284860499E-3</v>
      </c>
      <c r="G174" s="20">
        <v>100.625557684181</v>
      </c>
      <c r="H174" s="19">
        <v>2.2386039831963502E-2</v>
      </c>
      <c r="I174" s="20">
        <v>99.871997036057394</v>
      </c>
      <c r="J174" s="19">
        <v>1.50442142397167E-3</v>
      </c>
      <c r="K174" s="20">
        <v>100.13522460470099</v>
      </c>
      <c r="L174" s="19">
        <v>-9.2347562905536996E-4</v>
      </c>
      <c r="M174" s="20">
        <v>100.008062268711</v>
      </c>
      <c r="N174" s="19">
        <v>-6.82835520029779E-3</v>
      </c>
      <c r="O174" s="20">
        <v>100.10227439561901</v>
      </c>
      <c r="P174" s="19">
        <v>-1.5471464360751199E-3</v>
      </c>
      <c r="Q174" s="20">
        <v>103.589707774847</v>
      </c>
      <c r="R174" s="19">
        <v>-3.7522649066956699E-3</v>
      </c>
      <c r="S174" s="20">
        <v>97.867892868828804</v>
      </c>
      <c r="T174" s="19">
        <v>8.5171326515294209E-3</v>
      </c>
      <c r="U174" s="20">
        <v>100.233856676223</v>
      </c>
      <c r="V174" s="19">
        <v>1.8597609875259399E-4</v>
      </c>
      <c r="W174" s="20">
        <v>99.309497230185201</v>
      </c>
      <c r="X174" s="19">
        <v>1.4845044196244E-2</v>
      </c>
      <c r="Y174" s="20">
        <v>99.971036299032306</v>
      </c>
      <c r="Z174" s="19">
        <v>4.12615056193832E-4</v>
      </c>
      <c r="AA174" s="20">
        <v>100.46252942257399</v>
      </c>
      <c r="AB174" s="19">
        <v>7.8192016524287807E-3</v>
      </c>
      <c r="AC174" s="20">
        <v>100.337802433177</v>
      </c>
      <c r="AD174" s="19">
        <v>6.5009549961312398E-3</v>
      </c>
      <c r="AE174" s="20">
        <v>100.034359119255</v>
      </c>
      <c r="AF174" s="19">
        <v>-1.11894937669199E-3</v>
      </c>
      <c r="AG174" s="20">
        <v>98.691484440845201</v>
      </c>
      <c r="AH174" s="19">
        <v>-2.1009271830039599E-2</v>
      </c>
      <c r="AI174" s="20">
        <v>97.8170985813302</v>
      </c>
      <c r="AJ174" s="19">
        <v>-3.8404645664031699E-2</v>
      </c>
      <c r="AK174" s="20">
        <v>98.984715963851599</v>
      </c>
      <c r="AL174" s="19">
        <v>-9.3869350030645303E-3</v>
      </c>
      <c r="AM174" s="20">
        <v>100.00938162996199</v>
      </c>
      <c r="AN174" s="19">
        <v>-4.0196842846174102E-4</v>
      </c>
      <c r="AO174" s="20">
        <v>99.953497423105205</v>
      </c>
      <c r="AP174" s="19">
        <v>1.24272782107027E-3</v>
      </c>
      <c r="AQ174" s="20">
        <v>100.12278596751101</v>
      </c>
      <c r="AR174" s="19">
        <v>3.3282985834985901E-3</v>
      </c>
      <c r="AS174" s="20">
        <v>100.083853631175</v>
      </c>
      <c r="AT174" s="19">
        <v>-7.1048991151800899E-4</v>
      </c>
      <c r="AU174" s="20">
        <v>100.279105683643</v>
      </c>
      <c r="AV174" s="19">
        <v>-4.6768281034044196E-3</v>
      </c>
      <c r="AW174" s="20">
        <v>100.38692259746</v>
      </c>
      <c r="AX174" s="19">
        <v>4.3422586879366997E-3</v>
      </c>
      <c r="AY174" s="20">
        <v>100.709118383955</v>
      </c>
      <c r="AZ174" s="19">
        <v>7.6696693308742096E-3</v>
      </c>
      <c r="BA174" s="20">
        <v>100.928316547471</v>
      </c>
      <c r="BB174" s="19">
        <v>2.26396174809405E-2</v>
      </c>
      <c r="BC174" s="20">
        <v>100.438754068444</v>
      </c>
      <c r="BD174" s="19">
        <v>1.15728339667909E-2</v>
      </c>
      <c r="BE174" s="20">
        <v>99.875878769201293</v>
      </c>
      <c r="BF174" s="19">
        <v>-1.39098782725378E-3</v>
      </c>
      <c r="BG174" s="20"/>
      <c r="BH174" s="19"/>
    </row>
    <row r="175" spans="1:60" x14ac:dyDescent="0.15">
      <c r="A175" s="17">
        <v>2020</v>
      </c>
      <c r="B175" s="17">
        <v>4</v>
      </c>
      <c r="C175" s="20">
        <v>100.36643027106901</v>
      </c>
      <c r="D175" s="19">
        <v>4.2414032380027099E-3</v>
      </c>
      <c r="E175" s="20">
        <v>100.33275043956699</v>
      </c>
      <c r="F175" s="19">
        <v>4.1756576505300701E-3</v>
      </c>
      <c r="G175" s="20">
        <v>102.207828958066</v>
      </c>
      <c r="H175" s="19">
        <v>1.5724347872448301E-2</v>
      </c>
      <c r="I175" s="20">
        <v>99.780177072329707</v>
      </c>
      <c r="J175" s="19">
        <v>-9.1937646640361003E-4</v>
      </c>
      <c r="K175" s="20">
        <v>99.193966575101697</v>
      </c>
      <c r="L175" s="19">
        <v>-9.3998693598101903E-3</v>
      </c>
      <c r="M175" s="20">
        <v>97.903335227656299</v>
      </c>
      <c r="N175" s="19">
        <v>-2.1045573659846301E-2</v>
      </c>
      <c r="O175" s="20">
        <v>99.893474124729906</v>
      </c>
      <c r="P175" s="19">
        <v>-2.0858693985658099E-3</v>
      </c>
      <c r="Q175" s="20">
        <v>100.473835034603</v>
      </c>
      <c r="R175" s="19">
        <v>-3.0078979921598099E-2</v>
      </c>
      <c r="S175" s="20">
        <v>105.346960986876</v>
      </c>
      <c r="T175" s="19">
        <v>7.6420038265989906E-2</v>
      </c>
      <c r="U175" s="20">
        <v>100.214441693144</v>
      </c>
      <c r="V175" s="19">
        <v>-1.9369685775349999E-4</v>
      </c>
      <c r="W175" s="20">
        <v>103.929506826972</v>
      </c>
      <c r="X175" s="19">
        <v>4.6521327019492603E-2</v>
      </c>
      <c r="Y175" s="20">
        <v>100.050692922469</v>
      </c>
      <c r="Z175" s="19">
        <v>7.9679701627011202E-4</v>
      </c>
      <c r="AA175" s="20">
        <v>100.889028580409</v>
      </c>
      <c r="AB175" s="19">
        <v>4.2453555597898899E-3</v>
      </c>
      <c r="AC175" s="20">
        <v>100.88386807467</v>
      </c>
      <c r="AD175" s="19">
        <v>5.4422722867266699E-3</v>
      </c>
      <c r="AE175" s="20">
        <v>99.868368069282795</v>
      </c>
      <c r="AF175" s="19">
        <v>-1.65934036498394E-3</v>
      </c>
      <c r="AG175" s="20">
        <v>97.181194385731104</v>
      </c>
      <c r="AH175" s="19">
        <v>-1.53031445789977E-2</v>
      </c>
      <c r="AI175" s="20">
        <v>94.906729129528003</v>
      </c>
      <c r="AJ175" s="19">
        <v>-2.9753177041765801E-2</v>
      </c>
      <c r="AK175" s="20">
        <v>99.081146969963697</v>
      </c>
      <c r="AL175" s="19">
        <v>9.7420096802980404E-4</v>
      </c>
      <c r="AM175" s="20">
        <v>100.05495340866</v>
      </c>
      <c r="AN175" s="19">
        <v>4.55675037241976E-4</v>
      </c>
      <c r="AO175" s="20">
        <v>100.439877189193</v>
      </c>
      <c r="AP175" s="19">
        <v>4.8660605044081899E-3</v>
      </c>
      <c r="AQ175" s="20">
        <v>100.803347387252</v>
      </c>
      <c r="AR175" s="19">
        <v>6.7972681060037799E-3</v>
      </c>
      <c r="AS175" s="20">
        <v>99.808986941865598</v>
      </c>
      <c r="AT175" s="19">
        <v>-2.7463639671860799E-3</v>
      </c>
      <c r="AU175" s="20">
        <v>99.280582003184094</v>
      </c>
      <c r="AV175" s="19">
        <v>-9.9574450096257001E-3</v>
      </c>
      <c r="AW175" s="20">
        <v>100.199618245902</v>
      </c>
      <c r="AX175" s="19">
        <v>-1.86582422004788E-3</v>
      </c>
      <c r="AY175" s="20">
        <v>100.42662165791199</v>
      </c>
      <c r="AZ175" s="19">
        <v>-2.8050759511737398E-3</v>
      </c>
      <c r="BA175" s="20">
        <v>101.610063298623</v>
      </c>
      <c r="BB175" s="19">
        <v>6.7547619386951804E-3</v>
      </c>
      <c r="BC175" s="20">
        <v>100.796078138411</v>
      </c>
      <c r="BD175" s="19">
        <v>3.5576314469523101E-3</v>
      </c>
      <c r="BE175" s="20">
        <v>99.852687366961604</v>
      </c>
      <c r="BF175" s="19">
        <v>-2.32202234668799E-4</v>
      </c>
      <c r="BG175" s="20"/>
      <c r="BH175" s="19"/>
    </row>
    <row r="176" spans="1:60" x14ac:dyDescent="0.15">
      <c r="A176" s="17">
        <v>2021</v>
      </c>
      <c r="B176" s="17">
        <v>1</v>
      </c>
      <c r="C176" s="20">
        <v>100.798736487046</v>
      </c>
      <c r="D176" s="19">
        <v>4.3072789857083703E-3</v>
      </c>
      <c r="E176" s="20">
        <v>100.73773537692701</v>
      </c>
      <c r="F176" s="19">
        <v>4.0364181743834902E-3</v>
      </c>
      <c r="G176" s="20">
        <v>100.272213700519</v>
      </c>
      <c r="H176" s="19">
        <v>-1.8938033194514401E-2</v>
      </c>
      <c r="I176" s="20">
        <v>102.188080965483</v>
      </c>
      <c r="J176" s="19">
        <v>2.4132086791222699E-2</v>
      </c>
      <c r="K176" s="20">
        <v>97.754871365717804</v>
      </c>
      <c r="L176" s="19">
        <v>-1.45078905408462E-2</v>
      </c>
      <c r="M176" s="20">
        <v>97.494146314020099</v>
      </c>
      <c r="N176" s="19">
        <v>-4.1795196525707999E-3</v>
      </c>
      <c r="O176" s="20">
        <v>97.914472949959105</v>
      </c>
      <c r="P176" s="19">
        <v>-1.98111157121208E-2</v>
      </c>
      <c r="Q176" s="20">
        <v>91.541186148500202</v>
      </c>
      <c r="R176" s="19">
        <v>-8.8905224758528995E-2</v>
      </c>
      <c r="S176" s="20">
        <v>111.88230243052099</v>
      </c>
      <c r="T176" s="19">
        <v>6.2036354750266698E-2</v>
      </c>
      <c r="U176" s="20">
        <v>100.51318201282901</v>
      </c>
      <c r="V176" s="19">
        <v>2.98101066710355E-3</v>
      </c>
      <c r="W176" s="20">
        <v>110.27266019728</v>
      </c>
      <c r="X176" s="19">
        <v>6.1033228810262401E-2</v>
      </c>
      <c r="Y176" s="20">
        <v>100.084375086862</v>
      </c>
      <c r="Z176" s="19">
        <v>3.3665098570545598E-4</v>
      </c>
      <c r="AA176" s="20">
        <v>100.735540593339</v>
      </c>
      <c r="AB176" s="19">
        <v>-1.5213545935531801E-3</v>
      </c>
      <c r="AC176" s="20">
        <v>99.892747481238899</v>
      </c>
      <c r="AD176" s="19">
        <v>-9.8243714515116008E-3</v>
      </c>
      <c r="AE176" s="20">
        <v>99.677564550467693</v>
      </c>
      <c r="AF176" s="19">
        <v>-1.91055008211127E-3</v>
      </c>
      <c r="AG176" s="20">
        <v>96.273655507027399</v>
      </c>
      <c r="AH176" s="19">
        <v>-9.3386265155529502E-3</v>
      </c>
      <c r="AI176" s="20">
        <v>92.894865291153295</v>
      </c>
      <c r="AJ176" s="19">
        <v>-2.1198326576285099E-2</v>
      </c>
      <c r="AK176" s="20">
        <v>100.26696455623301</v>
      </c>
      <c r="AL176" s="19">
        <v>1.19681455305372E-2</v>
      </c>
      <c r="AM176" s="20">
        <v>100.27080684510901</v>
      </c>
      <c r="AN176" s="19">
        <v>2.1573488277659698E-3</v>
      </c>
      <c r="AO176" s="20">
        <v>101.163309156588</v>
      </c>
      <c r="AP176" s="19">
        <v>7.2026369171296302E-3</v>
      </c>
      <c r="AQ176" s="20">
        <v>101.85085868856299</v>
      </c>
      <c r="AR176" s="19">
        <v>1.03916321080801E-2</v>
      </c>
      <c r="AS176" s="20">
        <v>99.430582914045402</v>
      </c>
      <c r="AT176" s="19">
        <v>-3.79128212212609E-3</v>
      </c>
      <c r="AU176" s="20">
        <v>97.3641531715312</v>
      </c>
      <c r="AV176" s="19">
        <v>-1.9303158714273301E-2</v>
      </c>
      <c r="AW176" s="20">
        <v>99.723437310708604</v>
      </c>
      <c r="AX176" s="19">
        <v>-4.7523228484215299E-3</v>
      </c>
      <c r="AY176" s="20">
        <v>100.68353624794599</v>
      </c>
      <c r="AZ176" s="19">
        <v>2.5582319288719501E-3</v>
      </c>
      <c r="BA176" s="20">
        <v>103.056558908851</v>
      </c>
      <c r="BB176" s="19">
        <v>1.42357514922196E-2</v>
      </c>
      <c r="BC176" s="20">
        <v>101.601165744154</v>
      </c>
      <c r="BD176" s="19">
        <v>7.9872909800833298E-3</v>
      </c>
      <c r="BE176" s="20">
        <v>99.938963468228707</v>
      </c>
      <c r="BF176" s="19">
        <v>8.6403384367694802E-4</v>
      </c>
      <c r="BG176" s="20"/>
      <c r="BH176" s="19"/>
    </row>
    <row r="177" spans="1:60" x14ac:dyDescent="0.15">
      <c r="A177" s="17">
        <v>2021</v>
      </c>
      <c r="B177" s="17">
        <v>2</v>
      </c>
      <c r="C177" s="20">
        <v>101.67425438902001</v>
      </c>
      <c r="D177" s="19">
        <v>8.6858023471942901E-3</v>
      </c>
      <c r="E177" s="20">
        <v>101.56644807616</v>
      </c>
      <c r="F177" s="19">
        <v>8.2264376515197597E-3</v>
      </c>
      <c r="G177" s="20">
        <v>103.217213122884</v>
      </c>
      <c r="H177" s="19">
        <v>2.9370044937477201E-2</v>
      </c>
      <c r="I177" s="20">
        <v>100.08156686262301</v>
      </c>
      <c r="J177" s="19">
        <v>-2.0614088090871799E-2</v>
      </c>
      <c r="K177" s="20">
        <v>97.363524816509198</v>
      </c>
      <c r="L177" s="19">
        <v>-4.0033457539364603E-3</v>
      </c>
      <c r="M177" s="20">
        <v>96.698797359114394</v>
      </c>
      <c r="N177" s="19">
        <v>-8.1579149618272694E-3</v>
      </c>
      <c r="O177" s="20">
        <v>97.798254168537994</v>
      </c>
      <c r="P177" s="19">
        <v>-1.1869418066572401E-3</v>
      </c>
      <c r="Q177" s="20">
        <v>89.573222637009195</v>
      </c>
      <c r="R177" s="19">
        <v>-2.1498121165903501E-2</v>
      </c>
      <c r="S177" s="20">
        <v>114.886855650496</v>
      </c>
      <c r="T177" s="19">
        <v>2.6854588748215402E-2</v>
      </c>
      <c r="U177" s="20">
        <v>100.70022600131099</v>
      </c>
      <c r="V177" s="19">
        <v>1.8608901313872401E-3</v>
      </c>
      <c r="W177" s="20">
        <v>116.73034643254501</v>
      </c>
      <c r="X177" s="19">
        <v>5.8561081447674197E-2</v>
      </c>
      <c r="Y177" s="20">
        <v>99.882153139054793</v>
      </c>
      <c r="Z177" s="19">
        <v>-2.02051466706421E-3</v>
      </c>
      <c r="AA177" s="20">
        <v>101.12140736977599</v>
      </c>
      <c r="AB177" s="19">
        <v>3.83049293391724E-3</v>
      </c>
      <c r="AC177" s="20">
        <v>100.96915160325101</v>
      </c>
      <c r="AD177" s="19">
        <v>1.0775598320734299E-2</v>
      </c>
      <c r="AE177" s="20">
        <v>99.145242284538099</v>
      </c>
      <c r="AF177" s="19">
        <v>-5.3404421379106299E-3</v>
      </c>
      <c r="AG177" s="20">
        <v>95.821322476269302</v>
      </c>
      <c r="AH177" s="19">
        <v>-4.6984092208386397E-3</v>
      </c>
      <c r="AI177" s="20">
        <v>91.999802097705</v>
      </c>
      <c r="AJ177" s="19">
        <v>-9.6352278529381295E-3</v>
      </c>
      <c r="AK177" s="20">
        <v>100.95399471511899</v>
      </c>
      <c r="AL177" s="19">
        <v>6.8520091530346302E-3</v>
      </c>
      <c r="AM177" s="20">
        <v>100.64182948203801</v>
      </c>
      <c r="AN177" s="19">
        <v>3.7002059582775799E-3</v>
      </c>
      <c r="AO177" s="20">
        <v>101.804829784519</v>
      </c>
      <c r="AP177" s="19">
        <v>6.3414357762654498E-3</v>
      </c>
      <c r="AQ177" s="20">
        <v>102.864096770578</v>
      </c>
      <c r="AR177" s="19">
        <v>9.9482527203085293E-3</v>
      </c>
      <c r="AS177" s="20">
        <v>99.064206556320102</v>
      </c>
      <c r="AT177" s="19">
        <v>-3.6847451456864001E-3</v>
      </c>
      <c r="AU177" s="20">
        <v>96.025630160638997</v>
      </c>
      <c r="AV177" s="19">
        <v>-1.37475956734723E-2</v>
      </c>
      <c r="AW177" s="20">
        <v>99.205335080774503</v>
      </c>
      <c r="AX177" s="19">
        <v>-5.19539081189013E-3</v>
      </c>
      <c r="AY177" s="20">
        <v>101.328924755401</v>
      </c>
      <c r="AZ177" s="19">
        <v>6.41006992310467E-3</v>
      </c>
      <c r="BA177" s="20">
        <v>105.61741313558601</v>
      </c>
      <c r="BB177" s="19">
        <v>2.48490174118874E-2</v>
      </c>
      <c r="BC177" s="20">
        <v>103.072877622112</v>
      </c>
      <c r="BD177" s="19">
        <v>1.44851869285045E-2</v>
      </c>
      <c r="BE177" s="20">
        <v>100.02971154605601</v>
      </c>
      <c r="BF177" s="19">
        <v>9.0803501134617505E-4</v>
      </c>
      <c r="BG177" s="20"/>
      <c r="BH177" s="19"/>
    </row>
    <row r="178" spans="1:60" x14ac:dyDescent="0.15">
      <c r="A178" s="17">
        <v>2021</v>
      </c>
      <c r="B178" s="17">
        <v>3</v>
      </c>
      <c r="C178" s="20">
        <v>102.255812312614</v>
      </c>
      <c r="D178" s="19">
        <v>5.71981498255814E-3</v>
      </c>
      <c r="E178" s="20">
        <v>102.151203934623</v>
      </c>
      <c r="F178" s="19">
        <v>5.7573723364248196E-3</v>
      </c>
      <c r="G178" s="20">
        <v>103.046353227447</v>
      </c>
      <c r="H178" s="19">
        <v>-1.65534304082893E-3</v>
      </c>
      <c r="I178" s="20">
        <v>99.436267947755695</v>
      </c>
      <c r="J178" s="19">
        <v>-6.4477299376538601E-3</v>
      </c>
      <c r="K178" s="20">
        <v>96.588634527054893</v>
      </c>
      <c r="L178" s="19">
        <v>-7.9587329127064291E-3</v>
      </c>
      <c r="M178" s="20">
        <v>94.856854734051595</v>
      </c>
      <c r="N178" s="19">
        <v>-1.9048247500144899E-2</v>
      </c>
      <c r="O178" s="20">
        <v>97.760956064466598</v>
      </c>
      <c r="P178" s="19">
        <v>-3.81378015267275E-4</v>
      </c>
      <c r="Q178" s="20">
        <v>87.370952835942205</v>
      </c>
      <c r="R178" s="19">
        <v>-2.45862517416786E-2</v>
      </c>
      <c r="S178" s="20">
        <v>118.669338201239</v>
      </c>
      <c r="T178" s="19">
        <v>3.2923544902735198E-2</v>
      </c>
      <c r="U178" s="20">
        <v>101.309628183882</v>
      </c>
      <c r="V178" s="19">
        <v>6.0516466225506403E-3</v>
      </c>
      <c r="W178" s="20">
        <v>123.839845736906</v>
      </c>
      <c r="X178" s="19">
        <v>6.0905321723423202E-2</v>
      </c>
      <c r="Y178" s="20">
        <v>99.911654331808194</v>
      </c>
      <c r="Z178" s="19">
        <v>2.9536000002305902E-4</v>
      </c>
      <c r="AA178" s="20">
        <v>101.456718424914</v>
      </c>
      <c r="AB178" s="19">
        <v>3.3159255182462202E-3</v>
      </c>
      <c r="AC178" s="20">
        <v>100.59137839925501</v>
      </c>
      <c r="AD178" s="19">
        <v>-3.7414715088465202E-3</v>
      </c>
      <c r="AE178" s="20">
        <v>98.935959155378796</v>
      </c>
      <c r="AF178" s="19">
        <v>-2.1108741512643201E-3</v>
      </c>
      <c r="AG178" s="20">
        <v>95.702202167774502</v>
      </c>
      <c r="AH178" s="19">
        <v>-1.2431503283034701E-3</v>
      </c>
      <c r="AI178" s="20">
        <v>91.561877220598504</v>
      </c>
      <c r="AJ178" s="19">
        <v>-4.7600632514562804E-3</v>
      </c>
      <c r="AK178" s="20">
        <v>101.26687858882801</v>
      </c>
      <c r="AL178" s="19">
        <v>3.0992718474598399E-3</v>
      </c>
      <c r="AM178" s="20">
        <v>101.071936162574</v>
      </c>
      <c r="AN178" s="19">
        <v>4.2736373409470998E-3</v>
      </c>
      <c r="AO178" s="20">
        <v>102.324589821873</v>
      </c>
      <c r="AP178" s="19">
        <v>5.1054555904077601E-3</v>
      </c>
      <c r="AQ178" s="20">
        <v>103.347290497765</v>
      </c>
      <c r="AR178" s="19">
        <v>4.6973992127199403E-3</v>
      </c>
      <c r="AS178" s="20">
        <v>98.773946066810595</v>
      </c>
      <c r="AT178" s="19">
        <v>-2.9300238663343401E-3</v>
      </c>
      <c r="AU178" s="20">
        <v>95.158899235728896</v>
      </c>
      <c r="AV178" s="19">
        <v>-9.0260373554452693E-3</v>
      </c>
      <c r="AW178" s="20">
        <v>98.624191358558406</v>
      </c>
      <c r="AX178" s="19">
        <v>-5.8579886025571497E-3</v>
      </c>
      <c r="AY178" s="20">
        <v>100.956213600071</v>
      </c>
      <c r="AZ178" s="19">
        <v>-3.6782306358158498E-3</v>
      </c>
      <c r="BA178" s="20">
        <v>106.069556195012</v>
      </c>
      <c r="BB178" s="19">
        <v>4.2809518430997296E-3</v>
      </c>
      <c r="BC178" s="20">
        <v>103.38815543118599</v>
      </c>
      <c r="BD178" s="19">
        <v>3.0587853599064502E-3</v>
      </c>
      <c r="BE178" s="20">
        <v>100.114044094498</v>
      </c>
      <c r="BF178" s="19">
        <v>8.4307499381020001E-4</v>
      </c>
      <c r="BG178" s="20"/>
      <c r="BH178" s="19"/>
    </row>
    <row r="179" spans="1:60" x14ac:dyDescent="0.15">
      <c r="A179" s="17">
        <v>2021</v>
      </c>
      <c r="B179" s="17">
        <v>4</v>
      </c>
      <c r="C179" s="20">
        <v>102.89492810889401</v>
      </c>
      <c r="D179" s="19">
        <v>6.2501659497435904E-3</v>
      </c>
      <c r="E179" s="20">
        <v>102.803069858803</v>
      </c>
      <c r="F179" s="19">
        <v>6.3813826863672301E-3</v>
      </c>
      <c r="G179" s="20">
        <v>100.30812745918099</v>
      </c>
      <c r="H179" s="19">
        <v>-2.6572757623189398E-2</v>
      </c>
      <c r="I179" s="20">
        <v>99.691650109326901</v>
      </c>
      <c r="J179" s="19">
        <v>2.5682999457035099E-3</v>
      </c>
      <c r="K179" s="20">
        <v>95.010195072059602</v>
      </c>
      <c r="L179" s="19">
        <v>-1.63418756536334E-2</v>
      </c>
      <c r="M179" s="20">
        <v>92.484772777325801</v>
      </c>
      <c r="N179" s="19">
        <v>-2.5006964055221601E-2</v>
      </c>
      <c r="O179" s="20">
        <v>96.813553739008199</v>
      </c>
      <c r="P179" s="19">
        <v>-9.6910092085603604E-3</v>
      </c>
      <c r="Q179" s="20">
        <v>86.952407106197398</v>
      </c>
      <c r="R179" s="19">
        <v>-4.7904448350333303E-3</v>
      </c>
      <c r="S179" s="20">
        <v>115.98942561235199</v>
      </c>
      <c r="T179" s="19">
        <v>-2.25830246423269E-2</v>
      </c>
      <c r="U179" s="20">
        <v>103.050364323807</v>
      </c>
      <c r="V179" s="19">
        <v>1.71823366754962E-2</v>
      </c>
      <c r="W179" s="20">
        <v>131.21557883420999</v>
      </c>
      <c r="X179" s="19">
        <v>5.9558642482268498E-2</v>
      </c>
      <c r="Y179" s="20">
        <v>99.969850160357595</v>
      </c>
      <c r="Z179" s="19">
        <v>5.8247287504697997E-4</v>
      </c>
      <c r="AA179" s="20">
        <v>102.155170490255</v>
      </c>
      <c r="AB179" s="19">
        <v>6.8842367088588503E-3</v>
      </c>
      <c r="AC179" s="20">
        <v>100.44527166342</v>
      </c>
      <c r="AD179" s="19">
        <v>-1.45247771887103E-3</v>
      </c>
      <c r="AE179" s="20">
        <v>98.627237484596904</v>
      </c>
      <c r="AF179" s="19">
        <v>-3.1204192430891501E-3</v>
      </c>
      <c r="AG179" s="20">
        <v>96.139171312740203</v>
      </c>
      <c r="AH179" s="19">
        <v>4.5659257056560598E-3</v>
      </c>
      <c r="AI179" s="20">
        <v>91.849599811310696</v>
      </c>
      <c r="AJ179" s="19">
        <v>3.1423841389695002E-3</v>
      </c>
      <c r="AK179" s="20">
        <v>101.286306296785</v>
      </c>
      <c r="AL179" s="19">
        <v>1.9184661586724199E-4</v>
      </c>
      <c r="AM179" s="20">
        <v>101.435441191306</v>
      </c>
      <c r="AN179" s="19">
        <v>3.59649812334828E-3</v>
      </c>
      <c r="AO179" s="20">
        <v>102.79670964168</v>
      </c>
      <c r="AP179" s="19">
        <v>4.61394294987194E-3</v>
      </c>
      <c r="AQ179" s="20">
        <v>103.653418079719</v>
      </c>
      <c r="AR179" s="19">
        <v>2.9621248944209401E-3</v>
      </c>
      <c r="AS179" s="20">
        <v>98.608248555213706</v>
      </c>
      <c r="AT179" s="19">
        <v>-1.6775426941514301E-3</v>
      </c>
      <c r="AU179" s="20">
        <v>94.201466993031005</v>
      </c>
      <c r="AV179" s="19">
        <v>-1.0061405190555E-2</v>
      </c>
      <c r="AW179" s="20">
        <v>98.198001296912395</v>
      </c>
      <c r="AX179" s="19">
        <v>-4.3213541807056704E-3</v>
      </c>
      <c r="AY179" s="20">
        <v>101.299134762158</v>
      </c>
      <c r="AZ179" s="19">
        <v>3.3967316112395499E-3</v>
      </c>
      <c r="BA179" s="20">
        <v>106.25542486171101</v>
      </c>
      <c r="BB179" s="19">
        <v>1.75232812662229E-3</v>
      </c>
      <c r="BC179" s="20">
        <v>103.515089834897</v>
      </c>
      <c r="BD179" s="19">
        <v>1.2277460912446499E-3</v>
      </c>
      <c r="BE179" s="20">
        <v>100.192078370784</v>
      </c>
      <c r="BF179" s="19">
        <v>7.7945384178290699E-4</v>
      </c>
      <c r="BG179" s="20"/>
      <c r="BH179" s="19"/>
    </row>
    <row r="180" spans="1:60" x14ac:dyDescent="0.15">
      <c r="A180" s="17">
        <v>2022</v>
      </c>
      <c r="B180" s="17">
        <v>1</v>
      </c>
      <c r="C180" s="20">
        <v>104.199680669496</v>
      </c>
      <c r="D180" s="19">
        <v>1.26804360971131E-2</v>
      </c>
      <c r="E180" s="20">
        <v>104.145652357667</v>
      </c>
      <c r="F180" s="19">
        <v>1.3059751043504399E-2</v>
      </c>
      <c r="G180" s="20">
        <v>96.1579098212556</v>
      </c>
      <c r="H180" s="19">
        <v>-4.1374689599443501E-2</v>
      </c>
      <c r="I180" s="20">
        <v>101.377413869718</v>
      </c>
      <c r="J180" s="19">
        <v>1.6909778888630302E-2</v>
      </c>
      <c r="K180" s="20">
        <v>94.252839538705203</v>
      </c>
      <c r="L180" s="19">
        <v>-7.9713080557303195E-3</v>
      </c>
      <c r="M180" s="20">
        <v>91.573656528657594</v>
      </c>
      <c r="N180" s="19">
        <v>-9.8515271358443606E-3</v>
      </c>
      <c r="O180" s="20">
        <v>96.044046568965996</v>
      </c>
      <c r="P180" s="19">
        <v>-7.9483413253961192E-3</v>
      </c>
      <c r="Q180" s="20">
        <v>91.170270179594695</v>
      </c>
      <c r="R180" s="19">
        <v>4.85077206459152E-2</v>
      </c>
      <c r="S180" s="20">
        <v>114.716519447661</v>
      </c>
      <c r="T180" s="19">
        <v>-1.0974329409517499E-2</v>
      </c>
      <c r="U180" s="20">
        <v>105.76382173081301</v>
      </c>
      <c r="V180" s="19">
        <v>2.6331371313541799E-2</v>
      </c>
      <c r="W180" s="20">
        <v>139.472857777277</v>
      </c>
      <c r="X180" s="19">
        <v>6.2929105037903693E-2</v>
      </c>
      <c r="Y180" s="20">
        <v>100.269578554673</v>
      </c>
      <c r="Z180" s="19">
        <v>2.9981878919931302E-3</v>
      </c>
      <c r="AA180" s="20">
        <v>103.419047690493</v>
      </c>
      <c r="AB180" s="19">
        <v>1.2372131475797001E-2</v>
      </c>
      <c r="AC180" s="20">
        <v>100.19135679070099</v>
      </c>
      <c r="AD180" s="19">
        <v>-2.5278927371504799E-3</v>
      </c>
      <c r="AE180" s="20">
        <v>98.289541444494006</v>
      </c>
      <c r="AF180" s="19">
        <v>-3.4239632855545001E-3</v>
      </c>
      <c r="AG180" s="20">
        <v>97.009842287850006</v>
      </c>
      <c r="AH180" s="19">
        <v>9.0563603078863703E-3</v>
      </c>
      <c r="AI180" s="20">
        <v>93.464423215065196</v>
      </c>
      <c r="AJ180" s="19">
        <v>1.7581169728249298E-2</v>
      </c>
      <c r="AK180" s="20">
        <v>101.058552708162</v>
      </c>
      <c r="AL180" s="19">
        <v>-2.24861185040659E-3</v>
      </c>
      <c r="AM180" s="20">
        <v>101.902745648277</v>
      </c>
      <c r="AN180" s="19">
        <v>4.6069150139533797E-3</v>
      </c>
      <c r="AO180" s="20">
        <v>103.33720019418701</v>
      </c>
      <c r="AP180" s="19">
        <v>5.2578584897411398E-3</v>
      </c>
      <c r="AQ180" s="20">
        <v>103.968972308556</v>
      </c>
      <c r="AR180" s="19">
        <v>3.04432053165726E-3</v>
      </c>
      <c r="AS180" s="20">
        <v>98.564428020034001</v>
      </c>
      <c r="AT180" s="19">
        <v>-4.4439015824460098E-4</v>
      </c>
      <c r="AU180" s="20">
        <v>93.612193236434905</v>
      </c>
      <c r="AV180" s="19">
        <v>-6.2554626313803298E-3</v>
      </c>
      <c r="AW180" s="20">
        <v>97.621401337150104</v>
      </c>
      <c r="AX180" s="19">
        <v>-5.8718095291866402E-3</v>
      </c>
      <c r="AY180" s="20">
        <v>101.04307599045799</v>
      </c>
      <c r="AZ180" s="19">
        <v>-2.5277488529484899E-3</v>
      </c>
      <c r="BA180" s="20">
        <v>106.180345863773</v>
      </c>
      <c r="BB180" s="19">
        <v>-7.0658978622550905E-4</v>
      </c>
      <c r="BC180" s="20">
        <v>103.489870934903</v>
      </c>
      <c r="BD180" s="19">
        <v>-2.43625350024868E-4</v>
      </c>
      <c r="BE180" s="20">
        <v>100.27555013553901</v>
      </c>
      <c r="BF180" s="19">
        <v>8.3311740920799504E-4</v>
      </c>
      <c r="BG180" s="20"/>
      <c r="BH180" s="19"/>
    </row>
    <row r="181" spans="1:60" x14ac:dyDescent="0.15">
      <c r="A181" s="17">
        <v>2022</v>
      </c>
      <c r="B181" s="17">
        <v>2</v>
      </c>
      <c r="C181" s="20">
        <v>104.770668376245</v>
      </c>
      <c r="D181" s="19">
        <v>5.4797452648629504E-3</v>
      </c>
      <c r="E181" s="20">
        <v>104.765063723477</v>
      </c>
      <c r="F181" s="19">
        <v>5.9475489546405597E-3</v>
      </c>
      <c r="G181" s="20">
        <v>93.953257106881907</v>
      </c>
      <c r="H181" s="19">
        <v>-2.29274192676585E-2</v>
      </c>
      <c r="I181" s="20">
        <v>99.985101229097694</v>
      </c>
      <c r="J181" s="19">
        <v>-1.37339530322789E-2</v>
      </c>
      <c r="K181" s="20">
        <v>93.391763731789396</v>
      </c>
      <c r="L181" s="19">
        <v>-9.1358075908379906E-3</v>
      </c>
      <c r="M181" s="20">
        <v>90.018329406427398</v>
      </c>
      <c r="N181" s="19">
        <v>-1.69844383329113E-2</v>
      </c>
      <c r="O181" s="20">
        <v>95.596773359403798</v>
      </c>
      <c r="P181" s="19">
        <v>-4.6569592342308201E-3</v>
      </c>
      <c r="Q181" s="20">
        <v>85.357711618287496</v>
      </c>
      <c r="R181" s="19">
        <v>-6.3754977909544E-2</v>
      </c>
      <c r="S181" s="20">
        <v>115.125815559389</v>
      </c>
      <c r="T181" s="19">
        <v>3.5678916489003702E-3</v>
      </c>
      <c r="U181" s="20">
        <v>107.82077979518</v>
      </c>
      <c r="V181" s="19">
        <v>1.94485981189534E-2</v>
      </c>
      <c r="W181" s="20">
        <v>144.04729768679701</v>
      </c>
      <c r="X181" s="19">
        <v>3.2798065390081003E-2</v>
      </c>
      <c r="Y181" s="20">
        <v>101.41145311853001</v>
      </c>
      <c r="Z181" s="19">
        <v>1.13880459090097E-2</v>
      </c>
      <c r="AA181" s="20">
        <v>105.480566709714</v>
      </c>
      <c r="AB181" s="19">
        <v>1.99336492189559E-2</v>
      </c>
      <c r="AC181" s="20">
        <v>98.922537088222001</v>
      </c>
      <c r="AD181" s="19">
        <v>-1.26639636703333E-2</v>
      </c>
      <c r="AE181" s="20">
        <v>98.251288668624298</v>
      </c>
      <c r="AF181" s="19">
        <v>-3.8918459998404898E-4</v>
      </c>
      <c r="AG181" s="20">
        <v>98.823880022998395</v>
      </c>
      <c r="AH181" s="19">
        <v>1.8699522567676902E-2</v>
      </c>
      <c r="AI181" s="20">
        <v>97.262406103029605</v>
      </c>
      <c r="AJ181" s="19">
        <v>4.0635599700061101E-2</v>
      </c>
      <c r="AK181" s="20">
        <v>101.04975616693299</v>
      </c>
      <c r="AL181" s="19">
        <v>-8.7044005610881201E-5</v>
      </c>
      <c r="AM181" s="20">
        <v>102.481323388021</v>
      </c>
      <c r="AN181" s="19">
        <v>5.6777443636399898E-3</v>
      </c>
      <c r="AO181" s="20">
        <v>103.90364488912201</v>
      </c>
      <c r="AP181" s="19">
        <v>5.4815177290461498E-3</v>
      </c>
      <c r="AQ181" s="20">
        <v>104.135050310236</v>
      </c>
      <c r="AR181" s="19">
        <v>1.5973804298781099E-3</v>
      </c>
      <c r="AS181" s="20">
        <v>98.586913960440498</v>
      </c>
      <c r="AT181" s="19">
        <v>2.2813443813518599E-4</v>
      </c>
      <c r="AU181" s="20">
        <v>92.727802198850895</v>
      </c>
      <c r="AV181" s="19">
        <v>-9.4473914883106396E-3</v>
      </c>
      <c r="AW181" s="20">
        <v>97.454931715621399</v>
      </c>
      <c r="AX181" s="19">
        <v>-1.7052574460985101E-3</v>
      </c>
      <c r="AY181" s="20">
        <v>102.201807703453</v>
      </c>
      <c r="AZ181" s="19">
        <v>1.14677003014492E-2</v>
      </c>
      <c r="BA181" s="20">
        <v>104.98545385803401</v>
      </c>
      <c r="BB181" s="19">
        <v>-1.12534197926977E-2</v>
      </c>
      <c r="BC181" s="20">
        <v>102.92054082154201</v>
      </c>
      <c r="BD181" s="19">
        <v>-5.5013124300773396E-3</v>
      </c>
      <c r="BE181" s="20">
        <v>100.461497907523</v>
      </c>
      <c r="BF181" s="19">
        <v>1.8543680062801399E-3</v>
      </c>
      <c r="BG181" s="20"/>
      <c r="BH181" s="19"/>
    </row>
    <row r="182" spans="1:60" x14ac:dyDescent="0.15">
      <c r="A182" s="17">
        <v>2022</v>
      </c>
      <c r="B182" s="17">
        <v>3</v>
      </c>
      <c r="C182" s="20">
        <v>105.344728041788</v>
      </c>
      <c r="D182" s="19">
        <v>5.4792020938696498E-3</v>
      </c>
      <c r="E182" s="20">
        <v>105.41366142113</v>
      </c>
      <c r="F182" s="19">
        <v>6.1909731603386796E-3</v>
      </c>
      <c r="G182" s="20">
        <v>94.2262670984571</v>
      </c>
      <c r="H182" s="19">
        <v>2.9058065678830799E-3</v>
      </c>
      <c r="I182" s="20">
        <v>101.447151268483</v>
      </c>
      <c r="J182" s="19">
        <v>1.4622678993298799E-2</v>
      </c>
      <c r="K182" s="20">
        <v>93.1368043476011</v>
      </c>
      <c r="L182" s="19">
        <v>-2.7299985994543299E-3</v>
      </c>
      <c r="M182" s="20">
        <v>87.697131558166504</v>
      </c>
      <c r="N182" s="19">
        <v>-2.57858356577669E-2</v>
      </c>
      <c r="O182" s="20">
        <v>96.704988543678795</v>
      </c>
      <c r="P182" s="19">
        <v>1.15926003078428E-2</v>
      </c>
      <c r="Q182" s="20">
        <v>88.011108074012398</v>
      </c>
      <c r="R182" s="19">
        <v>3.10856090846332E-2</v>
      </c>
      <c r="S182" s="20">
        <v>107.872543636111</v>
      </c>
      <c r="T182" s="19">
        <v>-6.3003001438344294E-2</v>
      </c>
      <c r="U182" s="20">
        <v>110.20544648354699</v>
      </c>
      <c r="V182" s="19">
        <v>2.2116949004600699E-2</v>
      </c>
      <c r="W182" s="20">
        <v>144.76030288325299</v>
      </c>
      <c r="X182" s="19">
        <v>4.9497991833584703E-3</v>
      </c>
      <c r="Y182" s="20">
        <v>102.380737398598</v>
      </c>
      <c r="Z182" s="19">
        <v>9.5579370008154196E-3</v>
      </c>
      <c r="AA182" s="20">
        <v>106.420026810091</v>
      </c>
      <c r="AB182" s="19">
        <v>8.9064756635419701E-3</v>
      </c>
      <c r="AC182" s="20">
        <v>100.427082325353</v>
      </c>
      <c r="AD182" s="19">
        <v>1.52093272313565E-2</v>
      </c>
      <c r="AE182" s="20">
        <v>98.4140878526471</v>
      </c>
      <c r="AF182" s="19">
        <v>1.65696741721022E-3</v>
      </c>
      <c r="AG182" s="20">
        <v>101.79095168809501</v>
      </c>
      <c r="AH182" s="19">
        <v>3.00238329481286E-2</v>
      </c>
      <c r="AI182" s="20">
        <v>103.86516209822901</v>
      </c>
      <c r="AJ182" s="19">
        <v>6.7886003027783498E-2</v>
      </c>
      <c r="AK182" s="20">
        <v>101.303256404219</v>
      </c>
      <c r="AL182" s="19">
        <v>2.5086674812691001E-3</v>
      </c>
      <c r="AM182" s="20">
        <v>102.964513609259</v>
      </c>
      <c r="AN182" s="19">
        <v>4.71491004666502E-3</v>
      </c>
      <c r="AO182" s="20">
        <v>104.821419890908</v>
      </c>
      <c r="AP182" s="19">
        <v>8.8329432789957495E-3</v>
      </c>
      <c r="AQ182" s="20">
        <v>104.029390405157</v>
      </c>
      <c r="AR182" s="19">
        <v>-1.0146430501913901E-3</v>
      </c>
      <c r="AS182" s="20">
        <v>98.861382292472697</v>
      </c>
      <c r="AT182" s="19">
        <v>2.7840239744432202E-3</v>
      </c>
      <c r="AU182" s="20">
        <v>91.901743977155604</v>
      </c>
      <c r="AV182" s="19">
        <v>-8.9084201513146607E-3</v>
      </c>
      <c r="AW182" s="20">
        <v>97.700708100982794</v>
      </c>
      <c r="AX182" s="19">
        <v>2.5219491824037799E-3</v>
      </c>
      <c r="AY182" s="20">
        <v>101.92346856723999</v>
      </c>
      <c r="AZ182" s="19">
        <v>-2.7234267423257301E-3</v>
      </c>
      <c r="BA182" s="20">
        <v>102.86417563039301</v>
      </c>
      <c r="BB182" s="19">
        <v>-2.0205448942565599E-2</v>
      </c>
      <c r="BC182" s="20">
        <v>101.885885387814</v>
      </c>
      <c r="BD182" s="19">
        <v>-1.0052953720110299E-2</v>
      </c>
      <c r="BE182" s="20">
        <v>100.76088955274</v>
      </c>
      <c r="BF182" s="19">
        <v>2.9801630619981099E-3</v>
      </c>
      <c r="BG182" s="20"/>
      <c r="BH182" s="19"/>
    </row>
    <row r="183" spans="1:60" x14ac:dyDescent="0.15">
      <c r="A183" s="17">
        <v>2022</v>
      </c>
      <c r="B183" s="17">
        <v>4</v>
      </c>
      <c r="C183" s="20">
        <v>105.803805349115</v>
      </c>
      <c r="D183" s="19">
        <v>4.3578574444171903E-3</v>
      </c>
      <c r="E183" s="20">
        <v>105.91607243042699</v>
      </c>
      <c r="F183" s="19">
        <v>4.7660901113171202E-3</v>
      </c>
      <c r="G183" s="20">
        <v>95.924460020789098</v>
      </c>
      <c r="H183" s="19">
        <v>1.8022500249931E-2</v>
      </c>
      <c r="I183" s="20">
        <v>102.036697359741</v>
      </c>
      <c r="J183" s="19">
        <v>5.8113617177626403E-3</v>
      </c>
      <c r="K183" s="20">
        <v>93.344548711685306</v>
      </c>
      <c r="L183" s="19">
        <v>2.2305292256850099E-3</v>
      </c>
      <c r="M183" s="20">
        <v>86.890312656228502</v>
      </c>
      <c r="N183" s="19">
        <v>-9.2000603395200296E-3</v>
      </c>
      <c r="O183" s="20">
        <v>97.6928169655977</v>
      </c>
      <c r="P183" s="19">
        <v>1.0214865197701701E-2</v>
      </c>
      <c r="Q183" s="20">
        <v>105.085066701965</v>
      </c>
      <c r="R183" s="19">
        <v>0.19399776916334899</v>
      </c>
      <c r="S183" s="20">
        <v>106.38007596969101</v>
      </c>
      <c r="T183" s="19">
        <v>-1.3835473013915901E-2</v>
      </c>
      <c r="U183" s="20">
        <v>112.22246527474</v>
      </c>
      <c r="V183" s="19">
        <v>1.83023512498919E-2</v>
      </c>
      <c r="W183" s="20">
        <v>141.77484436653799</v>
      </c>
      <c r="X183" s="19">
        <v>-2.0623461385837399E-2</v>
      </c>
      <c r="Y183" s="20">
        <v>103.34232435737</v>
      </c>
      <c r="Z183" s="19">
        <v>9.3922644357207208E-3</v>
      </c>
      <c r="AA183" s="20">
        <v>105.99515454626101</v>
      </c>
      <c r="AB183" s="19">
        <v>-3.9924089155540798E-3</v>
      </c>
      <c r="AC183" s="20">
        <v>100.80090756950401</v>
      </c>
      <c r="AD183" s="19">
        <v>3.72235492155726E-3</v>
      </c>
      <c r="AE183" s="20">
        <v>97.929489222691203</v>
      </c>
      <c r="AF183" s="19">
        <v>-4.9240778483008504E-3</v>
      </c>
      <c r="AG183" s="20">
        <v>104.895611663403</v>
      </c>
      <c r="AH183" s="19">
        <v>3.05003531632317E-2</v>
      </c>
      <c r="AI183" s="20">
        <v>110.874453310166</v>
      </c>
      <c r="AJ183" s="19">
        <v>6.7484525805752801E-2</v>
      </c>
      <c r="AK183" s="20">
        <v>101.893329197825</v>
      </c>
      <c r="AL183" s="19">
        <v>5.8248156530231699E-3</v>
      </c>
      <c r="AM183" s="20">
        <v>103.462665204129</v>
      </c>
      <c r="AN183" s="19">
        <v>4.8380901089903902E-3</v>
      </c>
      <c r="AO183" s="20">
        <v>105.771467684152</v>
      </c>
      <c r="AP183" s="19">
        <v>9.0634890677134799E-3</v>
      </c>
      <c r="AQ183" s="20">
        <v>104.649320605125</v>
      </c>
      <c r="AR183" s="19">
        <v>5.95918324189926E-3</v>
      </c>
      <c r="AS183" s="20">
        <v>99.075879218019196</v>
      </c>
      <c r="AT183" s="19">
        <v>2.1696735426168798E-3</v>
      </c>
      <c r="AU183" s="20">
        <v>90.874477160050901</v>
      </c>
      <c r="AV183" s="19">
        <v>-1.1177881644553E-2</v>
      </c>
      <c r="AW183" s="20">
        <v>98.366899027213805</v>
      </c>
      <c r="AX183" s="19">
        <v>6.8186908690814896E-3</v>
      </c>
      <c r="AY183" s="20">
        <v>102.320416492341</v>
      </c>
      <c r="AZ183" s="19">
        <v>3.8945684510291998E-3</v>
      </c>
      <c r="BA183" s="20">
        <v>101.647195106127</v>
      </c>
      <c r="BB183" s="19">
        <v>-1.18309461657347E-2</v>
      </c>
      <c r="BC183" s="20">
        <v>101.42513480926</v>
      </c>
      <c r="BD183" s="19">
        <v>-4.5222218642006996E-3</v>
      </c>
      <c r="BE183" s="20">
        <v>101.170352566161</v>
      </c>
      <c r="BF183" s="19">
        <v>4.06370979096127E-3</v>
      </c>
      <c r="BG183" s="20"/>
      <c r="BH183" s="19"/>
    </row>
    <row r="184" spans="1:60" x14ac:dyDescent="0.15">
      <c r="A184" s="17">
        <v>2023</v>
      </c>
      <c r="B184" s="17">
        <v>1</v>
      </c>
      <c r="C184" s="20">
        <v>106.21496010890399</v>
      </c>
      <c r="D184" s="19">
        <v>3.8860110790159799E-3</v>
      </c>
      <c r="E184" s="20">
        <v>106.356349409331</v>
      </c>
      <c r="F184" s="19">
        <v>4.1568476700566404E-3</v>
      </c>
      <c r="G184" s="20">
        <v>96.269760896047401</v>
      </c>
      <c r="H184" s="19">
        <v>3.59971664352843E-3</v>
      </c>
      <c r="I184" s="20">
        <v>103.51929559625501</v>
      </c>
      <c r="J184" s="19">
        <v>1.45300492359819E-2</v>
      </c>
      <c r="K184" s="20">
        <v>94.540820029315896</v>
      </c>
      <c r="L184" s="19">
        <v>1.2815652698965301E-2</v>
      </c>
      <c r="M184" s="20">
        <v>85.668646893189205</v>
      </c>
      <c r="N184" s="19">
        <v>-1.40598615161244E-2</v>
      </c>
      <c r="O184" s="20">
        <v>100.430090799053</v>
      </c>
      <c r="P184" s="19">
        <v>2.8019192387699999E-2</v>
      </c>
      <c r="Q184" s="20">
        <v>126.606782751192</v>
      </c>
      <c r="R184" s="19">
        <v>0.204802801431957</v>
      </c>
      <c r="S184" s="20">
        <v>102.883163475804</v>
      </c>
      <c r="T184" s="19">
        <v>-3.2871874380720499E-2</v>
      </c>
      <c r="U184" s="20">
        <v>113.226062980892</v>
      </c>
      <c r="V184" s="19">
        <v>8.9429304880712691E-3</v>
      </c>
      <c r="W184" s="20">
        <v>137.46042444347901</v>
      </c>
      <c r="X184" s="19">
        <v>-3.0431491160059599E-2</v>
      </c>
      <c r="Y184" s="20">
        <v>104.736357782532</v>
      </c>
      <c r="Z184" s="19">
        <v>1.34894723321812E-2</v>
      </c>
      <c r="AA184" s="20">
        <v>104.328099236407</v>
      </c>
      <c r="AB184" s="19">
        <v>-1.5727655825302101E-2</v>
      </c>
      <c r="AC184" s="20">
        <v>103.317062237492</v>
      </c>
      <c r="AD184" s="19">
        <v>2.4961627118814701E-2</v>
      </c>
      <c r="AE184" s="20">
        <v>97.980850349744301</v>
      </c>
      <c r="AF184" s="19">
        <v>5.2447048851966805E-4</v>
      </c>
      <c r="AG184" s="20">
        <v>106.944499182542</v>
      </c>
      <c r="AH184" s="19">
        <v>1.95326333165722E-2</v>
      </c>
      <c r="AI184" s="20">
        <v>114.647800550749</v>
      </c>
      <c r="AJ184" s="19">
        <v>3.4032611913111403E-2</v>
      </c>
      <c r="AK184" s="20">
        <v>102.724019166753</v>
      </c>
      <c r="AL184" s="19">
        <v>8.1525451711939E-3</v>
      </c>
      <c r="AM184" s="20">
        <v>103.995145974518</v>
      </c>
      <c r="AN184" s="19">
        <v>5.1465982375276101E-3</v>
      </c>
      <c r="AO184" s="20">
        <v>106.65395255065999</v>
      </c>
      <c r="AP184" s="19">
        <v>8.3433168304307692E-3</v>
      </c>
      <c r="AQ184" s="20">
        <v>105.96906872470601</v>
      </c>
      <c r="AR184" s="19">
        <v>1.26111484713884E-2</v>
      </c>
      <c r="AS184" s="20">
        <v>99.244364701011094</v>
      </c>
      <c r="AT184" s="19">
        <v>1.7005701521062299E-3</v>
      </c>
      <c r="AU184" s="20">
        <v>89.997378495830802</v>
      </c>
      <c r="AV184" s="19">
        <v>-9.6517602260901593E-3</v>
      </c>
      <c r="AW184" s="20">
        <v>99.653563702847407</v>
      </c>
      <c r="AX184" s="19">
        <v>1.308026061976E-2</v>
      </c>
      <c r="AY184" s="20">
        <v>102.42174033390199</v>
      </c>
      <c r="AZ184" s="19">
        <v>9.9026025337578495E-4</v>
      </c>
      <c r="BA184" s="20">
        <v>100.997666312931</v>
      </c>
      <c r="BB184" s="19">
        <v>-6.3900316434520902E-3</v>
      </c>
      <c r="BC184" s="20">
        <v>101.30324778326499</v>
      </c>
      <c r="BD184" s="19">
        <v>-1.20174379087012E-3</v>
      </c>
      <c r="BE184" s="20">
        <v>101.662719820983</v>
      </c>
      <c r="BF184" s="19">
        <v>4.8667148263641397E-3</v>
      </c>
      <c r="BG184" s="20"/>
      <c r="BH184" s="19"/>
    </row>
    <row r="185" spans="1:60" x14ac:dyDescent="0.15">
      <c r="A185" s="17">
        <v>2023</v>
      </c>
      <c r="B185" s="17">
        <v>2</v>
      </c>
      <c r="C185" s="20">
        <v>106.158285154059</v>
      </c>
      <c r="D185" s="19">
        <v>-5.3358730998498405E-4</v>
      </c>
      <c r="E185" s="20">
        <v>106.29761665503899</v>
      </c>
      <c r="F185" s="19">
        <v>-5.5222612113803304E-4</v>
      </c>
      <c r="G185" s="20">
        <v>96.377661323840897</v>
      </c>
      <c r="H185" s="19">
        <v>1.1208132936986199E-3</v>
      </c>
      <c r="I185" s="20">
        <v>105.04995572988</v>
      </c>
      <c r="J185" s="19">
        <v>1.47862301883828E-2</v>
      </c>
      <c r="K185" s="20">
        <v>94.561300045806604</v>
      </c>
      <c r="L185" s="19">
        <v>2.1662617781736899E-4</v>
      </c>
      <c r="M185" s="20">
        <v>82.413081838695803</v>
      </c>
      <c r="N185" s="19">
        <v>-3.8001826485626798E-2</v>
      </c>
      <c r="O185" s="20">
        <v>102.85842409134</v>
      </c>
      <c r="P185" s="19">
        <v>2.4179339807089299E-2</v>
      </c>
      <c r="Q185" s="20">
        <v>139.32140379898999</v>
      </c>
      <c r="R185" s="19">
        <v>0.100426065424825</v>
      </c>
      <c r="S185" s="20">
        <v>99.722047209699198</v>
      </c>
      <c r="T185" s="19">
        <v>-3.07253019766239E-2</v>
      </c>
      <c r="U185" s="20">
        <v>114.19832901325501</v>
      </c>
      <c r="V185" s="19">
        <v>8.5869455032394609E-3</v>
      </c>
      <c r="W185" s="20">
        <v>133.38255471084801</v>
      </c>
      <c r="X185" s="19">
        <v>-2.9665772888013801E-2</v>
      </c>
      <c r="Y185" s="20">
        <v>105.006106167418</v>
      </c>
      <c r="Z185" s="19">
        <v>2.5754990014628101E-3</v>
      </c>
      <c r="AA185" s="20">
        <v>103.80954195674801</v>
      </c>
      <c r="AB185" s="19">
        <v>-4.9704469213471799E-3</v>
      </c>
      <c r="AC185" s="20">
        <v>104.143470235403</v>
      </c>
      <c r="AD185" s="19">
        <v>7.9987562558727597E-3</v>
      </c>
      <c r="AE185" s="20">
        <v>97.770278344605998</v>
      </c>
      <c r="AF185" s="19">
        <v>-2.1491138767079101E-3</v>
      </c>
      <c r="AG185" s="20">
        <v>108.47345432705499</v>
      </c>
      <c r="AH185" s="19">
        <v>1.4296716111631899E-2</v>
      </c>
      <c r="AI185" s="20">
        <v>118.17675952683901</v>
      </c>
      <c r="AJ185" s="19">
        <v>3.0780869402962801E-2</v>
      </c>
      <c r="AK185" s="20">
        <v>103.268351573172</v>
      </c>
      <c r="AL185" s="19">
        <v>5.2989788642787703E-3</v>
      </c>
      <c r="AM185" s="20">
        <v>104.421961596751</v>
      </c>
      <c r="AN185" s="19">
        <v>4.1041879237104801E-3</v>
      </c>
      <c r="AO185" s="20">
        <v>107.486439328941</v>
      </c>
      <c r="AP185" s="19">
        <v>7.8054939209621903E-3</v>
      </c>
      <c r="AQ185" s="20">
        <v>107.162877516104</v>
      </c>
      <c r="AR185" s="19">
        <v>1.1265634451303399E-2</v>
      </c>
      <c r="AS185" s="20">
        <v>99.342932830875895</v>
      </c>
      <c r="AT185" s="19">
        <v>9.9318616388721593E-4</v>
      </c>
      <c r="AU185" s="20">
        <v>89.334637968651407</v>
      </c>
      <c r="AV185" s="19">
        <v>-7.3639981325686098E-3</v>
      </c>
      <c r="AW185" s="20">
        <v>100.573561864699</v>
      </c>
      <c r="AX185" s="19">
        <v>9.2319644944700591E-3</v>
      </c>
      <c r="AY185" s="20">
        <v>102.82826698038799</v>
      </c>
      <c r="AZ185" s="19">
        <v>3.9691441012477098E-3</v>
      </c>
      <c r="BA185" s="20">
        <v>100.97362881307301</v>
      </c>
      <c r="BB185" s="19">
        <v>-2.3800054729849999E-4</v>
      </c>
      <c r="BC185" s="20">
        <v>101.526184703232</v>
      </c>
      <c r="BD185" s="19">
        <v>2.2006887720278398E-3</v>
      </c>
      <c r="BE185" s="20">
        <v>102.12542404446199</v>
      </c>
      <c r="BF185" s="19">
        <v>4.5513657739377801E-3</v>
      </c>
      <c r="BG185" s="20"/>
      <c r="BH185" s="19"/>
    </row>
    <row r="186" spans="1:60" x14ac:dyDescent="0.15">
      <c r="A186" s="17">
        <v>2023</v>
      </c>
      <c r="B186" s="17">
        <v>3</v>
      </c>
      <c r="C186" s="20">
        <v>106.14332103759401</v>
      </c>
      <c r="D186" s="19">
        <v>-1.4096042002664799E-4</v>
      </c>
      <c r="E186" s="20">
        <v>106.281695133214</v>
      </c>
      <c r="F186" s="19">
        <v>-1.49782491137285E-4</v>
      </c>
      <c r="G186" s="20">
        <v>98.854912538625001</v>
      </c>
      <c r="H186" s="19">
        <v>2.5703582975107098E-2</v>
      </c>
      <c r="I186" s="20">
        <v>104.982778576174</v>
      </c>
      <c r="J186" s="19">
        <v>-6.3947817245491002E-4</v>
      </c>
      <c r="K186" s="20">
        <v>94.028444316118296</v>
      </c>
      <c r="L186" s="19">
        <v>-5.6350296519840403E-3</v>
      </c>
      <c r="M186" s="20">
        <v>80.540705909755502</v>
      </c>
      <c r="N186" s="19">
        <v>-2.2719401910064101E-2</v>
      </c>
      <c r="O186" s="20">
        <v>103.579070877725</v>
      </c>
      <c r="P186" s="19">
        <v>7.0062009286180303E-3</v>
      </c>
      <c r="Q186" s="20">
        <v>140.27793012327399</v>
      </c>
      <c r="R186" s="19">
        <v>6.8656092904722001E-3</v>
      </c>
      <c r="S186" s="20">
        <v>96.942458426517703</v>
      </c>
      <c r="T186" s="19">
        <v>-2.7873362620970201E-2</v>
      </c>
      <c r="U186" s="20">
        <v>115.258630093484</v>
      </c>
      <c r="V186" s="19">
        <v>9.2847337556596406E-3</v>
      </c>
      <c r="W186" s="20">
        <v>131.60814154305501</v>
      </c>
      <c r="X186" s="19">
        <v>-1.33031877492495E-2</v>
      </c>
      <c r="Y186" s="20">
        <v>105.169854147831</v>
      </c>
      <c r="Z186" s="19">
        <v>1.5594138892431901E-3</v>
      </c>
      <c r="AA186" s="20">
        <v>104.090538182891</v>
      </c>
      <c r="AB186" s="19">
        <v>2.7068439070929702E-3</v>
      </c>
      <c r="AC186" s="20">
        <v>105.072437087841</v>
      </c>
      <c r="AD186" s="19">
        <v>8.9200681553871508E-3</v>
      </c>
      <c r="AE186" s="20">
        <v>97.925783214374903</v>
      </c>
      <c r="AF186" s="19">
        <v>1.5905127038788899E-3</v>
      </c>
      <c r="AG186" s="20">
        <v>109.020894762201</v>
      </c>
      <c r="AH186" s="19">
        <v>5.0467687098347796E-3</v>
      </c>
      <c r="AI186" s="20">
        <v>119.281623983518</v>
      </c>
      <c r="AJ186" s="19">
        <v>9.3492532804511103E-3</v>
      </c>
      <c r="AK186" s="20">
        <v>103.549490951359</v>
      </c>
      <c r="AL186" s="19">
        <v>2.7224156666088E-3</v>
      </c>
      <c r="AM186" s="20">
        <v>104.738693307562</v>
      </c>
      <c r="AN186" s="19">
        <v>3.0331905852680799E-3</v>
      </c>
      <c r="AO186" s="20">
        <v>108.155627499855</v>
      </c>
      <c r="AP186" s="19">
        <v>6.2257915983858804E-3</v>
      </c>
      <c r="AQ186" s="20">
        <v>108.817199194566</v>
      </c>
      <c r="AR186" s="19">
        <v>1.5437451072682899E-2</v>
      </c>
      <c r="AS186" s="20">
        <v>99.434853666661596</v>
      </c>
      <c r="AT186" s="19">
        <v>9.2528812232806101E-4</v>
      </c>
      <c r="AU186" s="20">
        <v>89.348572169748707</v>
      </c>
      <c r="AV186" s="19">
        <v>1.5597758511298699E-4</v>
      </c>
      <c r="AW186" s="20">
        <v>100.97400780418</v>
      </c>
      <c r="AX186" s="19">
        <v>3.9816223275406203E-3</v>
      </c>
      <c r="AY186" s="20">
        <v>103.711610125839</v>
      </c>
      <c r="AZ186" s="19">
        <v>8.5904700272632101E-3</v>
      </c>
      <c r="BA186" s="20">
        <v>100.964547604666</v>
      </c>
      <c r="BB186" s="19">
        <v>-8.9936437004611806E-5</v>
      </c>
      <c r="BC186" s="20">
        <v>101.722815219065</v>
      </c>
      <c r="BD186" s="19">
        <v>1.93674682455947E-3</v>
      </c>
      <c r="BE186" s="20">
        <v>102.52943172534199</v>
      </c>
      <c r="BF186" s="19">
        <v>3.9559951369607703E-3</v>
      </c>
      <c r="BG186" s="20"/>
      <c r="BH186" s="19"/>
    </row>
    <row r="187" spans="1:60" x14ac:dyDescent="0.15">
      <c r="A187" s="17">
        <v>2023</v>
      </c>
      <c r="B187" s="17">
        <v>4</v>
      </c>
      <c r="C187" s="20">
        <v>106.306480734079</v>
      </c>
      <c r="D187" s="19">
        <v>1.5371640428214501E-3</v>
      </c>
      <c r="E187" s="20">
        <v>106.409972284031</v>
      </c>
      <c r="F187" s="19">
        <v>1.20695431754525E-3</v>
      </c>
      <c r="G187" s="20">
        <v>100.808587117001</v>
      </c>
      <c r="H187" s="19">
        <v>1.9763049991194499E-2</v>
      </c>
      <c r="I187" s="20">
        <v>105.328667625099</v>
      </c>
      <c r="J187" s="19">
        <v>3.2947217973882102E-3</v>
      </c>
      <c r="K187" s="20">
        <v>93.578808763442098</v>
      </c>
      <c r="L187" s="19">
        <v>-4.7819099416831498E-3</v>
      </c>
      <c r="M187" s="20">
        <v>80.160874352002907</v>
      </c>
      <c r="N187" s="19">
        <v>-4.7160197252077403E-3</v>
      </c>
      <c r="O187" s="20">
        <v>103.068443049097</v>
      </c>
      <c r="P187" s="19">
        <v>-4.9298359630135496E-3</v>
      </c>
      <c r="Q187" s="20">
        <v>138.950157903178</v>
      </c>
      <c r="R187" s="19">
        <v>-9.4652966359652906E-3</v>
      </c>
      <c r="S187" s="20">
        <v>97.280215464479795</v>
      </c>
      <c r="T187" s="19">
        <v>3.4840981283561501E-3</v>
      </c>
      <c r="U187" s="20">
        <v>116.02408361779101</v>
      </c>
      <c r="V187" s="19">
        <v>6.6411818679990003E-3</v>
      </c>
      <c r="W187" s="20">
        <v>131.67153524654</v>
      </c>
      <c r="X187" s="19">
        <v>4.8168527221670299E-4</v>
      </c>
      <c r="Y187" s="20">
        <v>104.90835290964</v>
      </c>
      <c r="Z187" s="19">
        <v>-2.4864657302220402E-3</v>
      </c>
      <c r="AA187" s="20">
        <v>104.85333750760999</v>
      </c>
      <c r="AB187" s="19">
        <v>7.3282292323062501E-3</v>
      </c>
      <c r="AC187" s="20">
        <v>105.92302382471399</v>
      </c>
      <c r="AD187" s="19">
        <v>8.0952413444201898E-3</v>
      </c>
      <c r="AE187" s="20">
        <v>98.113085535630503</v>
      </c>
      <c r="AF187" s="19">
        <v>1.91269668832383E-3</v>
      </c>
      <c r="AG187" s="20">
        <v>108.433431314914</v>
      </c>
      <c r="AH187" s="19">
        <v>-5.38853995436728E-3</v>
      </c>
      <c r="AI187" s="20">
        <v>117.67417093092401</v>
      </c>
      <c r="AJ187" s="19">
        <v>-1.34761164285987E-2</v>
      </c>
      <c r="AK187" s="20">
        <v>103.637593178621</v>
      </c>
      <c r="AL187" s="19">
        <v>8.50822408221097E-4</v>
      </c>
      <c r="AM187" s="20">
        <v>105.304139817402</v>
      </c>
      <c r="AN187" s="19">
        <v>5.3986401012320303E-3</v>
      </c>
      <c r="AO187" s="20">
        <v>108.657866135025</v>
      </c>
      <c r="AP187" s="19">
        <v>4.6436662315165701E-3</v>
      </c>
      <c r="AQ187" s="20">
        <v>110.135424240471</v>
      </c>
      <c r="AR187" s="19">
        <v>1.2114124014050501E-2</v>
      </c>
      <c r="AS187" s="20">
        <v>99.471066798851794</v>
      </c>
      <c r="AT187" s="19">
        <v>3.6418952565298003E-4</v>
      </c>
      <c r="AU187" s="20">
        <v>89.479654087539799</v>
      </c>
      <c r="AV187" s="19">
        <v>1.4670846394953E-3</v>
      </c>
      <c r="AW187" s="20">
        <v>101.35348068933099</v>
      </c>
      <c r="AX187" s="19">
        <v>3.7581244263031901E-3</v>
      </c>
      <c r="AY187" s="20">
        <v>103.514618438791</v>
      </c>
      <c r="AZ187" s="19">
        <v>-1.8994178839596399E-3</v>
      </c>
      <c r="BA187" s="20">
        <v>102.42986935989001</v>
      </c>
      <c r="BB187" s="19">
        <v>1.45132305347611E-2</v>
      </c>
      <c r="BC187" s="20">
        <v>102.66395128610201</v>
      </c>
      <c r="BD187" s="19">
        <v>9.2519663854171395E-3</v>
      </c>
      <c r="BE187" s="20">
        <v>102.860198907643</v>
      </c>
      <c r="BF187" s="19">
        <v>3.2260705705182699E-3</v>
      </c>
      <c r="BG187" s="20"/>
      <c r="BH187" s="19"/>
    </row>
    <row r="188" spans="1:60" x14ac:dyDescent="0.15">
      <c r="A188" s="17">
        <v>2024</v>
      </c>
      <c r="B188" s="17">
        <v>1</v>
      </c>
      <c r="C188" s="20">
        <v>106.9662308516</v>
      </c>
      <c r="D188" s="19">
        <v>6.2061138038351799E-3</v>
      </c>
      <c r="E188" s="20">
        <v>106.972457679353</v>
      </c>
      <c r="F188" s="19">
        <v>5.2860214437502303E-3</v>
      </c>
      <c r="G188" s="20">
        <v>102.44914682940799</v>
      </c>
      <c r="H188" s="19">
        <v>1.6274007595231201E-2</v>
      </c>
      <c r="I188" s="20">
        <v>107.480221238038</v>
      </c>
      <c r="J188" s="19">
        <v>2.04270467048671E-2</v>
      </c>
      <c r="K188" s="20">
        <v>93.702534677800401</v>
      </c>
      <c r="L188" s="19">
        <v>1.32215739859531E-3</v>
      </c>
      <c r="M188" s="20">
        <v>78.756150725895907</v>
      </c>
      <c r="N188" s="19">
        <v>-1.7523806189271501E-2</v>
      </c>
      <c r="O188" s="20">
        <v>104.208978167038</v>
      </c>
      <c r="P188" s="19">
        <v>1.10658033070097E-2</v>
      </c>
      <c r="Q188" s="20">
        <v>153.120514373476</v>
      </c>
      <c r="R188" s="19">
        <v>0.101981578748351</v>
      </c>
      <c r="S188" s="20">
        <v>96.584631888885696</v>
      </c>
      <c r="T188" s="19">
        <v>-7.1503087474976698E-3</v>
      </c>
      <c r="U188" s="20">
        <v>116.365795461959</v>
      </c>
      <c r="V188" s="19">
        <v>2.9451802894038298E-3</v>
      </c>
      <c r="W188" s="20">
        <v>132.459531871792</v>
      </c>
      <c r="X188" s="19">
        <v>5.9845632070476603E-3</v>
      </c>
      <c r="Y188" s="20">
        <v>103.872164950917</v>
      </c>
      <c r="Z188" s="19">
        <v>-9.8770777539019007E-3</v>
      </c>
      <c r="AA188" s="20">
        <v>104.70528172515699</v>
      </c>
      <c r="AB188" s="19">
        <v>-1.4120273705384701E-3</v>
      </c>
      <c r="AC188" s="20">
        <v>107.251783344549</v>
      </c>
      <c r="AD188" s="19">
        <v>1.2544576918751301E-2</v>
      </c>
      <c r="AE188" s="20">
        <v>98.071989181741003</v>
      </c>
      <c r="AF188" s="19">
        <v>-4.1886720476902499E-4</v>
      </c>
      <c r="AG188" s="20">
        <v>108.611820903469</v>
      </c>
      <c r="AH188" s="19">
        <v>1.64515303437307E-3</v>
      </c>
      <c r="AI188" s="20">
        <v>117.810899251764</v>
      </c>
      <c r="AJ188" s="19">
        <v>1.16192295861217E-3</v>
      </c>
      <c r="AK188" s="20">
        <v>103.58214984059001</v>
      </c>
      <c r="AL188" s="19">
        <v>-5.3497323056339596E-4</v>
      </c>
      <c r="AM188" s="20">
        <v>105.775331690136</v>
      </c>
      <c r="AN188" s="19">
        <v>4.4745807102213302E-3</v>
      </c>
      <c r="AO188" s="20">
        <v>109.055244340361</v>
      </c>
      <c r="AP188" s="19">
        <v>3.6571508301312902E-3</v>
      </c>
      <c r="AQ188" s="20">
        <v>111.25750386989</v>
      </c>
      <c r="AR188" s="19">
        <v>1.01881809341338E-2</v>
      </c>
      <c r="AS188" s="20">
        <v>99.535617947917402</v>
      </c>
      <c r="AT188" s="19">
        <v>6.4894397077463995E-4</v>
      </c>
      <c r="AU188" s="20">
        <v>90.162413845500197</v>
      </c>
      <c r="AV188" s="19">
        <v>7.6303352412650004E-3</v>
      </c>
      <c r="AW188" s="20">
        <v>102.074900807601</v>
      </c>
      <c r="AX188" s="19">
        <v>7.1178622910945703E-3</v>
      </c>
      <c r="AY188" s="20">
        <v>103.87932375953601</v>
      </c>
      <c r="AZ188" s="19">
        <v>3.5232252820458498E-3</v>
      </c>
      <c r="BA188" s="20">
        <v>106.90445484425599</v>
      </c>
      <c r="BB188" s="19">
        <v>4.3684381443898301E-2</v>
      </c>
      <c r="BC188" s="20">
        <v>105.116646375996</v>
      </c>
      <c r="BD188" s="19">
        <v>2.38905191079073E-2</v>
      </c>
      <c r="BE188" s="20">
        <v>103.10961173106899</v>
      </c>
      <c r="BF188" s="19">
        <v>2.4247748504677702E-3</v>
      </c>
      <c r="BG188" s="20"/>
      <c r="BH188" s="19"/>
    </row>
    <row r="189" spans="1:60" x14ac:dyDescent="0.15">
      <c r="A189" s="17">
        <v>2024</v>
      </c>
      <c r="B189" s="17">
        <v>2</v>
      </c>
      <c r="C189" s="20">
        <v>107.265880142311</v>
      </c>
      <c r="D189" s="19">
        <v>2.8013447639052601E-3</v>
      </c>
      <c r="E189" s="20">
        <v>107.271821865558</v>
      </c>
      <c r="F189" s="19">
        <v>2.79851648450857E-3</v>
      </c>
      <c r="G189" s="20">
        <v>102.081645796544</v>
      </c>
      <c r="H189" s="19">
        <v>-3.5871556204928302E-3</v>
      </c>
      <c r="I189" s="20">
        <v>105.183117689513</v>
      </c>
      <c r="J189" s="19">
        <v>-2.1372337366500498E-2</v>
      </c>
      <c r="K189" s="20">
        <v>93.535365848628999</v>
      </c>
      <c r="L189" s="19">
        <v>-1.7840374302168201E-3</v>
      </c>
      <c r="M189" s="20">
        <v>80.004071220112394</v>
      </c>
      <c r="N189" s="19">
        <v>1.5845371856221702E-2</v>
      </c>
      <c r="O189" s="20">
        <v>103.015344956205</v>
      </c>
      <c r="P189" s="19">
        <v>-1.14542262272158E-2</v>
      </c>
      <c r="Q189" s="20">
        <v>157.88366529446</v>
      </c>
      <c r="R189" s="19">
        <v>3.11072029797799E-2</v>
      </c>
      <c r="S189" s="20">
        <v>96.4946092842181</v>
      </c>
      <c r="T189" s="19">
        <v>-9.3205930288287097E-4</v>
      </c>
      <c r="U189" s="20">
        <v>116.97612671168</v>
      </c>
      <c r="V189" s="19">
        <v>5.2449368587941204E-3</v>
      </c>
      <c r="W189" s="20">
        <v>132.83597005247401</v>
      </c>
      <c r="X189" s="19">
        <v>2.8419108490096399E-3</v>
      </c>
      <c r="Y189" s="20">
        <v>103.25405184695801</v>
      </c>
      <c r="Z189" s="19">
        <v>-5.9507097426082503E-3</v>
      </c>
      <c r="AA189" s="20">
        <v>104.84570026616301</v>
      </c>
      <c r="AB189" s="19">
        <v>1.3410836463339001E-3</v>
      </c>
      <c r="AC189" s="20">
        <v>107.830895364841</v>
      </c>
      <c r="AD189" s="19">
        <v>5.3995560934474397E-3</v>
      </c>
      <c r="AE189" s="20">
        <v>97.738322505989601</v>
      </c>
      <c r="AF189" s="19">
        <v>-3.4022627514267399E-3</v>
      </c>
      <c r="AG189" s="20">
        <v>109.23153910572999</v>
      </c>
      <c r="AH189" s="19">
        <v>5.7058080520642198E-3</v>
      </c>
      <c r="AI189" s="20">
        <v>119.079738177568</v>
      </c>
      <c r="AJ189" s="19">
        <v>1.0770131913621099E-2</v>
      </c>
      <c r="AK189" s="20">
        <v>103.833722734327</v>
      </c>
      <c r="AL189" s="19">
        <v>2.4287282521528999E-3</v>
      </c>
      <c r="AM189" s="20">
        <v>106.322568845288</v>
      </c>
      <c r="AN189" s="19">
        <v>5.1735801382783997E-3</v>
      </c>
      <c r="AO189" s="20">
        <v>109.45735872185401</v>
      </c>
      <c r="AP189" s="19">
        <v>3.6872539594521299E-3</v>
      </c>
      <c r="AQ189" s="20">
        <v>112.134124290065</v>
      </c>
      <c r="AR189" s="19">
        <v>7.8792026576459707E-3</v>
      </c>
      <c r="AS189" s="20">
        <v>99.544562511203793</v>
      </c>
      <c r="AT189" s="19">
        <v>8.9862940229279404E-5</v>
      </c>
      <c r="AU189" s="20">
        <v>90.872609301653497</v>
      </c>
      <c r="AV189" s="19">
        <v>7.8768460810103597E-3</v>
      </c>
      <c r="AW189" s="20">
        <v>102.579812481503</v>
      </c>
      <c r="AX189" s="19">
        <v>4.9464821411262499E-3</v>
      </c>
      <c r="AY189" s="20">
        <v>104.757350890083</v>
      </c>
      <c r="AZ189" s="19">
        <v>8.4523762647865704E-3</v>
      </c>
      <c r="BA189" s="20">
        <v>107.23682050367201</v>
      </c>
      <c r="BB189" s="19">
        <v>3.1089972808002698E-3</v>
      </c>
      <c r="BC189" s="20">
        <v>105.36100714530799</v>
      </c>
      <c r="BD189" s="19">
        <v>2.3246629124593601E-3</v>
      </c>
      <c r="BE189" s="20">
        <v>103.27099476574401</v>
      </c>
      <c r="BF189" s="19">
        <v>1.56515994936157E-3</v>
      </c>
      <c r="BG189" s="20"/>
      <c r="BH189" s="19"/>
    </row>
    <row r="190" spans="1:60" x14ac:dyDescent="0.15">
      <c r="A190" s="17">
        <v>2024</v>
      </c>
      <c r="B190" s="17">
        <v>3</v>
      </c>
      <c r="C190" s="20">
        <v>107.88017403401599</v>
      </c>
      <c r="D190" s="19">
        <v>5.7268340211245102E-3</v>
      </c>
      <c r="E190" s="20">
        <v>107.888145226972</v>
      </c>
      <c r="F190" s="19">
        <v>5.7454357602555496E-3</v>
      </c>
      <c r="G190" s="20">
        <v>103.851071743779</v>
      </c>
      <c r="H190" s="19">
        <v>1.7333438674783899E-2</v>
      </c>
      <c r="I190" s="20">
        <v>105.575880407211</v>
      </c>
      <c r="J190" s="19">
        <v>3.7340851490748101E-3</v>
      </c>
      <c r="K190" s="20">
        <v>94.506838666419995</v>
      </c>
      <c r="L190" s="19">
        <v>1.0386155108038199E-2</v>
      </c>
      <c r="M190" s="20">
        <v>79.610241727662398</v>
      </c>
      <c r="N190" s="19">
        <v>-4.9226181423499497E-3</v>
      </c>
      <c r="O190" s="20">
        <v>105.184737317977</v>
      </c>
      <c r="P190" s="19">
        <v>2.10589244029054E-2</v>
      </c>
      <c r="Q190" s="20">
        <v>161.43432333807499</v>
      </c>
      <c r="R190" s="19">
        <v>2.2489077872572399E-2</v>
      </c>
      <c r="S190" s="20">
        <v>96.763332322402306</v>
      </c>
      <c r="T190" s="19">
        <v>2.7848502644600699E-3</v>
      </c>
      <c r="U190" s="20">
        <v>116.97878171755001</v>
      </c>
      <c r="V190" s="19">
        <v>2.2696989078419001E-5</v>
      </c>
      <c r="W190" s="20">
        <v>133.146252497315</v>
      </c>
      <c r="X190" s="19">
        <v>2.3358315124921698E-3</v>
      </c>
      <c r="Y190" s="20">
        <v>102.58740926236</v>
      </c>
      <c r="Z190" s="19">
        <v>-6.4563334094304096E-3</v>
      </c>
      <c r="AA190" s="20">
        <v>105.50746433403999</v>
      </c>
      <c r="AB190" s="19">
        <v>6.3117902422031901E-3</v>
      </c>
      <c r="AC190" s="20">
        <v>108.557108283547</v>
      </c>
      <c r="AD190" s="19">
        <v>6.7347388357428296E-3</v>
      </c>
      <c r="AE190" s="20">
        <v>98.005872775709804</v>
      </c>
      <c r="AF190" s="19">
        <v>2.73741417757445E-3</v>
      </c>
      <c r="AG190" s="20">
        <v>109.53232002771</v>
      </c>
      <c r="AH190" s="19">
        <v>2.7536087511275099E-3</v>
      </c>
      <c r="AI190" s="20">
        <v>119.057317340388</v>
      </c>
      <c r="AJ190" s="19">
        <v>-1.8828423309547E-4</v>
      </c>
      <c r="AK190" s="20">
        <v>104.459645044203</v>
      </c>
      <c r="AL190" s="19">
        <v>6.0281216294011397E-3</v>
      </c>
      <c r="AM190" s="20">
        <v>107.021048789083</v>
      </c>
      <c r="AN190" s="19">
        <v>6.5694419480404297E-3</v>
      </c>
      <c r="AO190" s="20">
        <v>109.997504483751</v>
      </c>
      <c r="AP190" s="19">
        <v>4.9347596927669102E-3</v>
      </c>
      <c r="AQ190" s="20">
        <v>112.69163659463401</v>
      </c>
      <c r="AR190" s="19">
        <v>4.9718344714295704E-3</v>
      </c>
      <c r="AS190" s="20">
        <v>99.477650038587697</v>
      </c>
      <c r="AT190" s="19">
        <v>-6.7218611371744298E-4</v>
      </c>
      <c r="AU190" s="20">
        <v>91.931822506881801</v>
      </c>
      <c r="AV190" s="19">
        <v>1.16560227924367E-2</v>
      </c>
      <c r="AW190" s="20">
        <v>103.04675851572399</v>
      </c>
      <c r="AX190" s="19">
        <v>4.5520265920284703E-3</v>
      </c>
      <c r="AY190" s="20">
        <v>104.851804437166</v>
      </c>
      <c r="AZ190" s="19">
        <v>9.0164123357139303E-4</v>
      </c>
      <c r="BA190" s="20">
        <v>107.811242178171</v>
      </c>
      <c r="BB190" s="19">
        <v>5.3565712951988403E-3</v>
      </c>
      <c r="BC190" s="20">
        <v>105.677675778215</v>
      </c>
      <c r="BD190" s="19">
        <v>3.0055581423018602E-3</v>
      </c>
      <c r="BE190" s="20">
        <v>103.344045993325</v>
      </c>
      <c r="BF190" s="19">
        <v>7.07374105828107E-4</v>
      </c>
      <c r="BG190" s="20"/>
      <c r="BH190" s="19"/>
    </row>
    <row r="191" spans="1:60" x14ac:dyDescent="0.15">
      <c r="A191" s="17">
        <v>2024</v>
      </c>
      <c r="B191" s="17">
        <v>4</v>
      </c>
      <c r="C191" s="20">
        <v>108.247645709455</v>
      </c>
      <c r="D191" s="19">
        <v>3.4062947963346998E-3</v>
      </c>
      <c r="E191" s="20">
        <v>108.223079201445</v>
      </c>
      <c r="F191" s="19">
        <v>3.1044557654453801E-3</v>
      </c>
      <c r="G191" s="20">
        <v>105.20593514657</v>
      </c>
      <c r="H191" s="19">
        <v>1.30462149310695E-2</v>
      </c>
      <c r="I191" s="20">
        <v>105.54319823110499</v>
      </c>
      <c r="J191" s="19">
        <v>-3.09561009388504E-4</v>
      </c>
      <c r="K191" s="20">
        <v>94.959657317820302</v>
      </c>
      <c r="L191" s="19">
        <v>4.7913850234548904E-3</v>
      </c>
      <c r="M191" s="20">
        <v>81.366837465605599</v>
      </c>
      <c r="N191" s="19">
        <v>2.2064946667946801E-2</v>
      </c>
      <c r="O191" s="20">
        <v>104.592566141208</v>
      </c>
      <c r="P191" s="19">
        <v>-5.6298203700342296E-3</v>
      </c>
      <c r="Q191" s="20">
        <v>161.831311967251</v>
      </c>
      <c r="R191" s="19">
        <v>2.4591339745312401E-3</v>
      </c>
      <c r="S191" s="20">
        <v>95.781743386525406</v>
      </c>
      <c r="T191" s="19">
        <v>-1.01442241840777E-2</v>
      </c>
      <c r="U191" s="20">
        <v>117.601701445662</v>
      </c>
      <c r="V191" s="19">
        <v>5.3250659561159298E-3</v>
      </c>
      <c r="W191" s="20">
        <v>133.08564273698099</v>
      </c>
      <c r="X191" s="19">
        <v>-4.5521191319430898E-4</v>
      </c>
      <c r="Y191" s="20">
        <v>102.37010093668</v>
      </c>
      <c r="Z191" s="19">
        <v>-2.1182748179529001E-3</v>
      </c>
      <c r="AA191" s="20">
        <v>106.209459223369</v>
      </c>
      <c r="AB191" s="19">
        <v>6.6535092446773402E-3</v>
      </c>
      <c r="AC191" s="20">
        <v>109.381241487319</v>
      </c>
      <c r="AD191" s="19">
        <v>7.5917018867062104E-3</v>
      </c>
      <c r="AE191" s="20">
        <v>98.568911503295496</v>
      </c>
      <c r="AF191" s="19">
        <v>5.7449488651990501E-3</v>
      </c>
      <c r="AG191" s="20">
        <v>109.440413359728</v>
      </c>
      <c r="AH191" s="19">
        <v>-8.3908263751342204E-4</v>
      </c>
      <c r="AI191" s="20">
        <v>117.410781006335</v>
      </c>
      <c r="AJ191" s="19">
        <v>-1.38297785540236E-2</v>
      </c>
      <c r="AK191" s="20">
        <v>105.567751251088</v>
      </c>
      <c r="AL191" s="19">
        <v>1.06079836516382E-2</v>
      </c>
      <c r="AM191" s="20">
        <v>107.558878651713</v>
      </c>
      <c r="AN191" s="19">
        <v>5.0254587178410999E-3</v>
      </c>
      <c r="AO191" s="20">
        <v>110.73710047869599</v>
      </c>
      <c r="AP191" s="19">
        <v>6.7237524925301004E-3</v>
      </c>
      <c r="AQ191" s="20">
        <v>113.10323595458</v>
      </c>
      <c r="AR191" s="19">
        <v>3.6524392792907099E-3</v>
      </c>
      <c r="AS191" s="20">
        <v>99.432955500652596</v>
      </c>
      <c r="AT191" s="19">
        <v>-4.4929225728340699E-4</v>
      </c>
      <c r="AU191" s="20">
        <v>92.837864082855901</v>
      </c>
      <c r="AV191" s="19">
        <v>9.8555815741199204E-3</v>
      </c>
      <c r="AW191" s="20">
        <v>103.72700358865301</v>
      </c>
      <c r="AX191" s="19">
        <v>6.6013243184739299E-3</v>
      </c>
      <c r="AY191" s="20">
        <v>105.810220819051</v>
      </c>
      <c r="AZ191" s="19">
        <v>9.1406760906982392E-3</v>
      </c>
      <c r="BA191" s="20">
        <v>109.454005187429</v>
      </c>
      <c r="BB191" s="19">
        <v>1.52373998858433E-2</v>
      </c>
      <c r="BC191" s="20">
        <v>106.516833364519</v>
      </c>
      <c r="BD191" s="19">
        <v>7.9407271225861997E-3</v>
      </c>
      <c r="BE191" s="20">
        <v>103.33377245381099</v>
      </c>
      <c r="BF191" s="19">
        <v>-9.9411044097608094E-5</v>
      </c>
      <c r="BG191" s="20"/>
      <c r="BH191" s="19"/>
    </row>
    <row r="192" spans="1:60" x14ac:dyDescent="0.15">
      <c r="A192" s="17">
        <v>2025</v>
      </c>
      <c r="B192" s="17">
        <v>1</v>
      </c>
      <c r="C192" s="20">
        <v>108.706721575858</v>
      </c>
      <c r="D192" s="19">
        <v>4.2409778373833102E-3</v>
      </c>
      <c r="E192" s="20">
        <v>108.70181030315101</v>
      </c>
      <c r="F192" s="19">
        <v>4.4235583134237802E-3</v>
      </c>
      <c r="G192" s="20">
        <v>105.544990479395</v>
      </c>
      <c r="H192" s="19">
        <v>3.2227776156552599E-3</v>
      </c>
      <c r="I192" s="20">
        <v>105.334845612892</v>
      </c>
      <c r="J192" s="19">
        <v>-1.9740980158321499E-3</v>
      </c>
      <c r="K192" s="20">
        <v>96.407187323735997</v>
      </c>
      <c r="L192" s="19">
        <v>1.5243631314621401E-2</v>
      </c>
      <c r="M192" s="20">
        <v>82.166384728353194</v>
      </c>
      <c r="N192" s="19">
        <v>9.8264512625987292E-3</v>
      </c>
      <c r="O192" s="20">
        <v>106.422435607114</v>
      </c>
      <c r="P192" s="19">
        <v>1.7495215323766002E-2</v>
      </c>
      <c r="Q192" s="20">
        <v>151.402433738008</v>
      </c>
      <c r="R192" s="19">
        <v>-6.4442894903757403E-2</v>
      </c>
      <c r="S192" s="20">
        <v>95.385829128713098</v>
      </c>
      <c r="T192" s="19">
        <v>-4.1335044008821197E-3</v>
      </c>
      <c r="U192" s="20">
        <v>118.351878264588</v>
      </c>
      <c r="V192" s="19">
        <v>6.3789622913927903E-3</v>
      </c>
      <c r="W192" s="20">
        <v>132.35833862041201</v>
      </c>
      <c r="X192" s="19">
        <v>-5.4649329680608299E-3</v>
      </c>
      <c r="Y192" s="20">
        <v>102.04874006712799</v>
      </c>
      <c r="Z192" s="19">
        <v>-3.13920633673259E-3</v>
      </c>
      <c r="AA192" s="20">
        <v>106.789684413183</v>
      </c>
      <c r="AB192" s="19">
        <v>5.4630274370721698E-3</v>
      </c>
      <c r="AC192" s="20">
        <v>110.134752535047</v>
      </c>
      <c r="AD192" s="19">
        <v>6.8888507524911304E-3</v>
      </c>
      <c r="AE192" s="20">
        <v>99.276775799699095</v>
      </c>
      <c r="AF192" s="19">
        <v>7.1814153733442696E-3</v>
      </c>
      <c r="AG192" s="20">
        <v>109.829612867413</v>
      </c>
      <c r="AH192" s="19">
        <v>3.55626861902847E-3</v>
      </c>
      <c r="AI192" s="20">
        <v>116.338300994153</v>
      </c>
      <c r="AJ192" s="19">
        <v>-9.1344253312107809E-3</v>
      </c>
      <c r="AK192" s="20">
        <v>107.318149038304</v>
      </c>
      <c r="AL192" s="19">
        <v>1.6580800163611902E-2</v>
      </c>
      <c r="AM192" s="20">
        <v>108.15598081732</v>
      </c>
      <c r="AN192" s="19">
        <v>5.5513982024697501E-3</v>
      </c>
      <c r="AO192" s="20">
        <v>111.598924224657</v>
      </c>
      <c r="AP192" s="19">
        <v>7.7826107260878796E-3</v>
      </c>
      <c r="AQ192" s="20">
        <v>113.352305898924</v>
      </c>
      <c r="AR192" s="19">
        <v>2.2021469345452301E-3</v>
      </c>
      <c r="AS192" s="20">
        <v>99.5209480057284</v>
      </c>
      <c r="AT192" s="19">
        <v>8.8494307176878505E-4</v>
      </c>
      <c r="AU192" s="20">
        <v>93.901975472388699</v>
      </c>
      <c r="AV192" s="19">
        <v>1.1462040839103099E-2</v>
      </c>
      <c r="AW192" s="20">
        <v>104.14076733581</v>
      </c>
      <c r="AX192" s="19">
        <v>3.9889684734111296E-3</v>
      </c>
      <c r="AY192" s="20">
        <v>106.552656769428</v>
      </c>
      <c r="AZ192" s="19">
        <v>7.0166751815665699E-3</v>
      </c>
      <c r="BA192" s="20">
        <v>109.119940383122</v>
      </c>
      <c r="BB192" s="19">
        <v>-3.05210214769791E-3</v>
      </c>
      <c r="BC192" s="20">
        <v>106.321629068654</v>
      </c>
      <c r="BD192" s="19">
        <v>-1.8326145239093701E-3</v>
      </c>
      <c r="BE192" s="20">
        <v>103.25362372670899</v>
      </c>
      <c r="BF192" s="19">
        <v>-7.7562954684329299E-4</v>
      </c>
      <c r="BG192" s="20"/>
      <c r="BH192" s="19"/>
    </row>
    <row r="193" spans="1:60" x14ac:dyDescent="0.15">
      <c r="A193" s="17">
        <v>2025</v>
      </c>
      <c r="B193" s="17">
        <v>2</v>
      </c>
      <c r="C193" s="20">
        <v>108.71136994598599</v>
      </c>
      <c r="D193" s="19">
        <v>4.2760650500239798E-5</v>
      </c>
      <c r="E193" s="20">
        <v>108.674994715796</v>
      </c>
      <c r="F193" s="19">
        <v>-2.4668942752303902E-4</v>
      </c>
      <c r="G193" s="20">
        <v>104.777822467733</v>
      </c>
      <c r="H193" s="19">
        <v>-7.2686349980031198E-3</v>
      </c>
      <c r="I193" s="20">
        <v>106.427795631241</v>
      </c>
      <c r="J193" s="19">
        <v>1.0375958800620901E-2</v>
      </c>
      <c r="K193" s="20">
        <v>95.467443173504293</v>
      </c>
      <c r="L193" s="19">
        <v>-9.7476565422038898E-3</v>
      </c>
      <c r="M193" s="20">
        <v>79.319292249764501</v>
      </c>
      <c r="N193" s="19">
        <v>-3.4650331616771397E-2</v>
      </c>
      <c r="O193" s="20">
        <v>107.255591406837</v>
      </c>
      <c r="P193" s="19">
        <v>7.8287608714275904E-3</v>
      </c>
      <c r="Q193" s="20">
        <v>154.85880075066601</v>
      </c>
      <c r="R193" s="19">
        <v>2.28290056330216E-2</v>
      </c>
      <c r="S193" s="20">
        <v>95.973700479892798</v>
      </c>
      <c r="T193" s="19">
        <v>6.1630889677171102E-3</v>
      </c>
      <c r="U193" s="20">
        <v>118.959125531551</v>
      </c>
      <c r="V193" s="19">
        <v>5.1308629475739203E-3</v>
      </c>
      <c r="W193" s="20">
        <v>131.16611731509499</v>
      </c>
      <c r="X193" s="19">
        <v>-9.0075269736972201E-3</v>
      </c>
      <c r="Y193" s="20">
        <v>101.90875352530099</v>
      </c>
      <c r="Z193" s="19">
        <v>-1.3717615889726801E-3</v>
      </c>
      <c r="AA193" s="20">
        <v>107.56971754926001</v>
      </c>
      <c r="AB193" s="19">
        <v>7.3043865647095503E-3</v>
      </c>
      <c r="AC193" s="20">
        <v>110.576954534842</v>
      </c>
      <c r="AD193" s="19">
        <v>4.0150995904275604E-3</v>
      </c>
      <c r="AE193" s="20">
        <v>99.866695422335198</v>
      </c>
      <c r="AF193" s="19">
        <v>5.9421714482985602E-3</v>
      </c>
      <c r="AG193" s="20">
        <v>110.147566807419</v>
      </c>
      <c r="AH193" s="19">
        <v>2.8949746038886598E-3</v>
      </c>
      <c r="AI193" s="20">
        <v>116.198082138194</v>
      </c>
      <c r="AJ193" s="19">
        <v>-1.2052682114213099E-3</v>
      </c>
      <c r="AK193" s="20">
        <v>108.144318871024</v>
      </c>
      <c r="AL193" s="19">
        <v>7.6983235372969404E-3</v>
      </c>
      <c r="AM193" s="20">
        <v>108.719647595249</v>
      </c>
      <c r="AN193" s="19">
        <v>5.2116098774139799E-3</v>
      </c>
      <c r="AO193" s="20">
        <v>112.31367290833499</v>
      </c>
      <c r="AP193" s="19">
        <v>6.4046198352152297E-3</v>
      </c>
      <c r="AQ193" s="20">
        <v>113.84590873827599</v>
      </c>
      <c r="AR193" s="19">
        <v>4.3545901906225596E-3</v>
      </c>
      <c r="AS193" s="20">
        <v>99.611477477215402</v>
      </c>
      <c r="AT193" s="19">
        <v>9.0965242294327496E-4</v>
      </c>
      <c r="AU193" s="20">
        <v>94.846703830716393</v>
      </c>
      <c r="AV193" s="19">
        <v>1.0060793221602801E-2</v>
      </c>
      <c r="AW193" s="20">
        <v>104.416012489482</v>
      </c>
      <c r="AX193" s="19">
        <v>2.64301061643679E-3</v>
      </c>
      <c r="AY193" s="20">
        <v>107.196577935938</v>
      </c>
      <c r="AZ193" s="19">
        <v>6.0432201883386903E-3</v>
      </c>
      <c r="BA193" s="20">
        <v>110.376973353975</v>
      </c>
      <c r="BB193" s="19">
        <v>1.1519736598455401E-2</v>
      </c>
      <c r="BC193" s="20">
        <v>106.92150136616399</v>
      </c>
      <c r="BD193" s="19">
        <v>5.6420532939991403E-3</v>
      </c>
      <c r="BE193" s="20">
        <v>103.178630052182</v>
      </c>
      <c r="BF193" s="19">
        <v>-7.2630549728169803E-4</v>
      </c>
      <c r="BG193" s="20"/>
      <c r="BH193" s="19"/>
    </row>
    <row r="194" spans="1:60" x14ac:dyDescent="0.15">
      <c r="A194" s="17">
        <v>2025</v>
      </c>
      <c r="B194" s="17">
        <v>3</v>
      </c>
      <c r="C194" s="20">
        <v>108.366044626918</v>
      </c>
      <c r="D194" s="19">
        <v>-3.1765335975408901E-3</v>
      </c>
      <c r="E194" s="20">
        <v>108.33438028108</v>
      </c>
      <c r="F194" s="19">
        <v>-3.13424845896304E-3</v>
      </c>
      <c r="G194" s="20">
        <v>105.492159607723</v>
      </c>
      <c r="H194" s="19">
        <v>6.8176368163270799E-3</v>
      </c>
      <c r="I194" s="20">
        <v>106.46897616272</v>
      </c>
      <c r="J194" s="19">
        <v>3.8693398876166201E-4</v>
      </c>
      <c r="K194" s="20">
        <v>93.767317494328296</v>
      </c>
      <c r="L194" s="19">
        <v>-1.78084341913941E-2</v>
      </c>
      <c r="M194" s="20">
        <v>77.326624348999104</v>
      </c>
      <c r="N194" s="19">
        <v>-2.5122108937769699E-2</v>
      </c>
      <c r="O194" s="20">
        <v>105.708695215443</v>
      </c>
      <c r="P194" s="19">
        <v>-1.4422522603279799E-2</v>
      </c>
      <c r="Q194" s="20">
        <v>153.096659754575</v>
      </c>
      <c r="R194" s="19">
        <v>-1.1379017450408299E-2</v>
      </c>
      <c r="S194" s="20">
        <v>96.224105921159406</v>
      </c>
      <c r="T194" s="19">
        <v>2.60910478615028E-3</v>
      </c>
      <c r="U194" s="20">
        <v>119.669114185111</v>
      </c>
      <c r="V194" s="19">
        <v>5.96834122970402E-3</v>
      </c>
      <c r="W194" s="20">
        <v>130.021518836734</v>
      </c>
      <c r="X194" s="19">
        <v>-8.72632736098089E-3</v>
      </c>
      <c r="Y194" s="20">
        <v>101.60977683373901</v>
      </c>
      <c r="Z194" s="19">
        <v>-2.9337685058386E-3</v>
      </c>
      <c r="AA194" s="20">
        <v>108.30778378078899</v>
      </c>
      <c r="AB194" s="19">
        <v>6.8612826020542101E-3</v>
      </c>
      <c r="AC194" s="20">
        <v>111.188801731228</v>
      </c>
      <c r="AD194" s="19">
        <v>5.5332252453461602E-3</v>
      </c>
      <c r="AE194" s="20">
        <v>100.338665683489</v>
      </c>
      <c r="AF194" s="19">
        <v>4.7260025893312001E-3</v>
      </c>
      <c r="AG194" s="20">
        <v>109.39339195875399</v>
      </c>
      <c r="AH194" s="19">
        <v>-6.8469496923530002E-3</v>
      </c>
      <c r="AI194" s="20">
        <v>114.307712766807</v>
      </c>
      <c r="AJ194" s="19">
        <v>-1.6268507505472599E-2</v>
      </c>
      <c r="AK194" s="20">
        <v>108.174970426813</v>
      </c>
      <c r="AL194" s="19">
        <v>2.8343195563440598E-4</v>
      </c>
      <c r="AM194" s="20">
        <v>109.080059158162</v>
      </c>
      <c r="AN194" s="19">
        <v>3.3150545544007302E-3</v>
      </c>
      <c r="AO194" s="20">
        <v>112.772565645398</v>
      </c>
      <c r="AP194" s="19">
        <v>4.0858136429886604E-3</v>
      </c>
      <c r="AQ194" s="20">
        <v>115.213084117628</v>
      </c>
      <c r="AR194" s="19">
        <v>1.2008998781806401E-2</v>
      </c>
      <c r="AS194" s="20">
        <v>99.746552760033893</v>
      </c>
      <c r="AT194" s="19">
        <v>1.35602127625756E-3</v>
      </c>
      <c r="AU194" s="20">
        <v>95.859383740834403</v>
      </c>
      <c r="AV194" s="19">
        <v>1.0677017431469401E-2</v>
      </c>
      <c r="AW194" s="20">
        <v>104.77900260199399</v>
      </c>
      <c r="AX194" s="19">
        <v>3.4763835915305702E-3</v>
      </c>
      <c r="AY194" s="20">
        <v>107.18261290544601</v>
      </c>
      <c r="AZ194" s="19">
        <v>-1.30274965503996E-4</v>
      </c>
      <c r="BA194" s="20">
        <v>109.849394670896</v>
      </c>
      <c r="BB194" s="19">
        <v>-4.7797893622885104E-3</v>
      </c>
      <c r="BC194" s="20">
        <v>106.616172875343</v>
      </c>
      <c r="BD194" s="19">
        <v>-2.8556322808766001E-3</v>
      </c>
      <c r="BE194" s="20">
        <v>103.122511086796</v>
      </c>
      <c r="BF194" s="19">
        <v>-5.4390105158275105E-4</v>
      </c>
      <c r="BG194" s="20"/>
      <c r="BH194" s="19"/>
    </row>
    <row r="195" spans="1:60" x14ac:dyDescent="0.15">
      <c r="A195" s="17">
        <v>2025</v>
      </c>
      <c r="B195" s="17">
        <v>4</v>
      </c>
      <c r="C195" s="20">
        <v>107.930571801761</v>
      </c>
      <c r="D195" s="19">
        <v>-4.0185357568086602E-3</v>
      </c>
      <c r="E195" s="20">
        <v>107.957384545376</v>
      </c>
      <c r="F195" s="19">
        <v>-3.4799270067910099E-3</v>
      </c>
      <c r="G195" s="20">
        <v>105.071526179028</v>
      </c>
      <c r="H195" s="19">
        <v>-3.9873430429228102E-3</v>
      </c>
      <c r="I195" s="20">
        <v>107.599613506138</v>
      </c>
      <c r="J195" s="19">
        <v>1.0619406555486301E-2</v>
      </c>
      <c r="K195" s="20">
        <v>92.844340267504705</v>
      </c>
      <c r="L195" s="19">
        <v>-9.8432721708108205E-3</v>
      </c>
      <c r="M195" s="20">
        <v>75.726919665010897</v>
      </c>
      <c r="N195" s="19">
        <v>-2.0687631167866399E-2</v>
      </c>
      <c r="O195" s="20">
        <v>105.502805757793</v>
      </c>
      <c r="P195" s="19">
        <v>-1.94770597849558E-3</v>
      </c>
      <c r="Q195" s="20">
        <v>150.77960289720301</v>
      </c>
      <c r="R195" s="19">
        <v>-1.5134600984023701E-2</v>
      </c>
      <c r="S195" s="20">
        <v>95.433321777441506</v>
      </c>
      <c r="T195" s="19">
        <v>-8.2181500794177298E-3</v>
      </c>
      <c r="U195" s="20">
        <v>119.69053147709199</v>
      </c>
      <c r="V195" s="19">
        <v>1.78970924344046E-4</v>
      </c>
      <c r="W195" s="20">
        <v>128.53259938893601</v>
      </c>
      <c r="X195" s="19">
        <v>-1.14513309882794E-2</v>
      </c>
      <c r="Y195" s="20">
        <v>100.988370380174</v>
      </c>
      <c r="Z195" s="19">
        <v>-6.1156167539063704E-3</v>
      </c>
      <c r="AA195" s="20">
        <v>108.48829490683001</v>
      </c>
      <c r="AB195" s="19">
        <v>1.6666496140951301E-3</v>
      </c>
      <c r="AC195" s="20">
        <v>111.06148490719301</v>
      </c>
      <c r="AD195" s="19">
        <v>-1.1450507789720901E-3</v>
      </c>
      <c r="AE195" s="20">
        <v>100.411369153416</v>
      </c>
      <c r="AF195" s="19">
        <v>7.2458079277071296E-4</v>
      </c>
      <c r="AG195" s="20">
        <v>108.54730516219</v>
      </c>
      <c r="AH195" s="19">
        <v>-7.7343501413897897E-3</v>
      </c>
      <c r="AI195" s="20">
        <v>112.978026593237</v>
      </c>
      <c r="AJ195" s="19">
        <v>-1.16325149142169E-2</v>
      </c>
      <c r="AK195" s="20">
        <v>107.452490138809</v>
      </c>
      <c r="AL195" s="19">
        <v>-6.6788119761293004E-3</v>
      </c>
      <c r="AM195" s="20">
        <v>109.332694997584</v>
      </c>
      <c r="AN195" s="19">
        <v>2.3160588779602702E-3</v>
      </c>
      <c r="AO195" s="20">
        <v>113.063963998628</v>
      </c>
      <c r="AP195" s="19">
        <v>2.5839471822062302E-3</v>
      </c>
      <c r="AQ195" s="20">
        <v>115.99843320494099</v>
      </c>
      <c r="AR195" s="19">
        <v>6.8164921834028601E-3</v>
      </c>
      <c r="AS195" s="20">
        <v>99.956069905523705</v>
      </c>
      <c r="AT195" s="19">
        <v>2.1004951017582498E-3</v>
      </c>
      <c r="AU195" s="20">
        <v>96.512425334009095</v>
      </c>
      <c r="AV195" s="19">
        <v>6.8124952163293199E-3</v>
      </c>
      <c r="AW195" s="20">
        <v>105.122266606035</v>
      </c>
      <c r="AX195" s="19">
        <v>3.2760762702101999E-3</v>
      </c>
      <c r="AY195" s="20">
        <v>106.500251511047</v>
      </c>
      <c r="AZ195" s="19">
        <v>-6.36634409165326E-3</v>
      </c>
      <c r="BA195" s="20">
        <v>107.082429229056</v>
      </c>
      <c r="BB195" s="19">
        <v>-2.5188718154797798E-2</v>
      </c>
      <c r="BC195" s="20">
        <v>105.19373910307201</v>
      </c>
      <c r="BD195" s="19">
        <v>-1.3341632267500601E-2</v>
      </c>
      <c r="BE195" s="20">
        <v>103.09237053439399</v>
      </c>
      <c r="BF195" s="19">
        <v>-2.9227907742035398E-4</v>
      </c>
      <c r="BG195" s="20"/>
      <c r="BH195" s="19"/>
    </row>
    <row r="196" spans="1:60" x14ac:dyDescent="0.15">
      <c r="A196" s="17">
        <v>2026</v>
      </c>
      <c r="B196" s="17">
        <v>1</v>
      </c>
      <c r="C196" s="20">
        <v>108.41792821713101</v>
      </c>
      <c r="D196" s="19">
        <v>4.51546218308496E-3</v>
      </c>
      <c r="E196" s="20">
        <v>108.189410326743</v>
      </c>
      <c r="F196" s="19">
        <v>2.1492349258331899E-3</v>
      </c>
      <c r="G196" s="20">
        <v>101.114301810016</v>
      </c>
      <c r="H196" s="19">
        <v>-3.7662195581603997E-2</v>
      </c>
      <c r="I196" s="20">
        <v>107.880204750988</v>
      </c>
      <c r="J196" s="19">
        <v>2.6077346907340498E-3</v>
      </c>
      <c r="K196" s="20">
        <v>91.027743336379103</v>
      </c>
      <c r="L196" s="19">
        <v>-1.9566049216264599E-2</v>
      </c>
      <c r="M196" s="20">
        <v>74.537307746032994</v>
      </c>
      <c r="N196" s="19">
        <v>-1.5709234235860899E-2</v>
      </c>
      <c r="O196" s="20">
        <v>103.138496580292</v>
      </c>
      <c r="P196" s="19">
        <v>-2.2409917542180399E-2</v>
      </c>
      <c r="Q196" s="20">
        <v>146.004142981732</v>
      </c>
      <c r="R196" s="19">
        <v>-3.1671789974978298E-2</v>
      </c>
      <c r="S196" s="20">
        <v>94.874680879312805</v>
      </c>
      <c r="T196" s="19">
        <v>-5.8537299941373603E-3</v>
      </c>
      <c r="U196" s="20">
        <v>119.40390982576901</v>
      </c>
      <c r="V196" s="19">
        <v>-2.3946894360463702E-3</v>
      </c>
      <c r="W196" s="20">
        <v>134.09353105195299</v>
      </c>
      <c r="X196" s="19">
        <v>4.3264756874552099E-2</v>
      </c>
      <c r="Y196" s="20">
        <v>100.673140980931</v>
      </c>
      <c r="Z196" s="19">
        <v>-3.1214425785494001E-3</v>
      </c>
      <c r="AA196" s="20">
        <v>107.982992932022</v>
      </c>
      <c r="AB196" s="19">
        <v>-4.6576635317425704E-3</v>
      </c>
      <c r="AC196" s="20">
        <v>110.54450734196401</v>
      </c>
      <c r="AD196" s="19">
        <v>-4.6548771219874201E-3</v>
      </c>
      <c r="AE196" s="20">
        <v>100.235251868848</v>
      </c>
      <c r="AF196" s="19">
        <v>-1.7539576051200901E-3</v>
      </c>
      <c r="AG196" s="20">
        <v>107.850553171795</v>
      </c>
      <c r="AH196" s="19">
        <v>-6.4188787492640599E-3</v>
      </c>
      <c r="AI196" s="20">
        <v>112.789188238371</v>
      </c>
      <c r="AJ196" s="19">
        <v>-1.6714609075786399E-3</v>
      </c>
      <c r="AK196" s="20">
        <v>105.93754656439</v>
      </c>
      <c r="AL196" s="19">
        <v>-1.4098729331092101E-2</v>
      </c>
      <c r="AM196" s="20">
        <v>109.733759478094</v>
      </c>
      <c r="AN196" s="19">
        <v>3.66829410469172E-3</v>
      </c>
      <c r="AO196" s="20">
        <v>113.18579034171201</v>
      </c>
      <c r="AP196" s="19">
        <v>1.0774993090274501E-3</v>
      </c>
      <c r="AQ196" s="20">
        <v>116.157274905356</v>
      </c>
      <c r="AR196" s="19">
        <v>1.3693434990977901E-3</v>
      </c>
      <c r="AS196" s="20">
        <v>100.218642649015</v>
      </c>
      <c r="AT196" s="19">
        <v>2.6268814264067699E-3</v>
      </c>
      <c r="AU196" s="20">
        <v>96.935176331046307</v>
      </c>
      <c r="AV196" s="19">
        <v>4.3802753435542297E-3</v>
      </c>
      <c r="AW196" s="20">
        <v>105.368988549368</v>
      </c>
      <c r="AX196" s="19">
        <v>2.3469998440770498E-3</v>
      </c>
      <c r="AY196" s="20">
        <v>106.596941128697</v>
      </c>
      <c r="AZ196" s="19">
        <v>9.07881589744308E-4</v>
      </c>
      <c r="BA196" s="20">
        <v>117.720406103765</v>
      </c>
      <c r="BB196" s="19">
        <v>9.9343813464984401E-2</v>
      </c>
      <c r="BC196" s="20">
        <v>110.63472354891501</v>
      </c>
      <c r="BD196" s="19">
        <v>5.1723462748207299E-2</v>
      </c>
      <c r="BE196" s="20">
        <v>103.087744644556</v>
      </c>
      <c r="BF196" s="19">
        <v>-4.4871311177585603E-5</v>
      </c>
      <c r="BG196" s="20"/>
      <c r="BH196" s="19"/>
    </row>
    <row r="197" spans="1:60" x14ac:dyDescent="0.15">
      <c r="A197" s="17">
        <v>2026</v>
      </c>
      <c r="B197" s="17">
        <v>2</v>
      </c>
      <c r="C197" s="20">
        <v>108.364415514253</v>
      </c>
      <c r="D197" s="19">
        <v>-4.9357798804516905E-4</v>
      </c>
      <c r="E197" s="20">
        <v>108.08158329390599</v>
      </c>
      <c r="F197" s="19">
        <v>-9.96650527178788E-4</v>
      </c>
      <c r="G197" s="20">
        <v>100.16868323973701</v>
      </c>
      <c r="H197" s="19">
        <v>-9.3519764598254396E-3</v>
      </c>
      <c r="I197" s="20">
        <v>108.35186995309699</v>
      </c>
      <c r="J197" s="19">
        <v>4.3721200121702398E-3</v>
      </c>
      <c r="K197" s="20">
        <v>89.761711608108101</v>
      </c>
      <c r="L197" s="19">
        <v>-1.3908196357154999E-2</v>
      </c>
      <c r="M197" s="20">
        <v>74.846218868912302</v>
      </c>
      <c r="N197" s="19">
        <v>4.1443826215432598E-3</v>
      </c>
      <c r="O197" s="20">
        <v>100.56930229064101</v>
      </c>
      <c r="P197" s="19">
        <v>-2.4910139034759401E-2</v>
      </c>
      <c r="Q197" s="20">
        <v>137.37072163249499</v>
      </c>
      <c r="R197" s="19">
        <v>-5.91313449942098E-2</v>
      </c>
      <c r="S197" s="20">
        <v>94.509794207463102</v>
      </c>
      <c r="T197" s="19">
        <v>-3.8459857621423502E-3</v>
      </c>
      <c r="U197" s="20">
        <v>119.38589882561401</v>
      </c>
      <c r="V197" s="19">
        <v>-1.5084095806527901E-4</v>
      </c>
      <c r="W197" s="20">
        <v>136.00807338696299</v>
      </c>
      <c r="X197" s="19">
        <v>1.4277663657529501E-2</v>
      </c>
      <c r="Y197" s="20">
        <v>100.08054196317801</v>
      </c>
      <c r="Z197" s="19">
        <v>-5.88636663144659E-3</v>
      </c>
      <c r="AA197" s="20">
        <v>108.08651913197799</v>
      </c>
      <c r="AB197" s="19">
        <v>9.5872689897347197E-4</v>
      </c>
      <c r="AC197" s="20">
        <v>110.64674890544001</v>
      </c>
      <c r="AD197" s="19">
        <v>9.2489048921251505E-4</v>
      </c>
      <c r="AE197" s="20">
        <v>100.218850284626</v>
      </c>
      <c r="AF197" s="19">
        <v>-1.63630897483169E-4</v>
      </c>
      <c r="AG197" s="20">
        <v>107.233398515335</v>
      </c>
      <c r="AH197" s="19">
        <v>-5.7223133151337296E-3</v>
      </c>
      <c r="AI197" s="20">
        <v>112.484138066386</v>
      </c>
      <c r="AJ197" s="19">
        <v>-2.7046047298520102E-3</v>
      </c>
      <c r="AK197" s="20">
        <v>104.745186582165</v>
      </c>
      <c r="AL197" s="19">
        <v>-1.1255310519203299E-2</v>
      </c>
      <c r="AM197" s="20">
        <v>110.224401347667</v>
      </c>
      <c r="AN197" s="19">
        <v>4.4712025898578896E-3</v>
      </c>
      <c r="AO197" s="20">
        <v>113.31286455969099</v>
      </c>
      <c r="AP197" s="19">
        <v>1.12270469283504E-3</v>
      </c>
      <c r="AQ197" s="20">
        <v>116.225225328229</v>
      </c>
      <c r="AR197" s="19">
        <v>5.8498637238457696E-4</v>
      </c>
      <c r="AS197" s="20">
        <v>100.35034664257201</v>
      </c>
      <c r="AT197" s="19">
        <v>1.31416660688655E-3</v>
      </c>
      <c r="AU197" s="20">
        <v>97.2466006292385</v>
      </c>
      <c r="AV197" s="19">
        <v>3.2127067797214099E-3</v>
      </c>
      <c r="AW197" s="20">
        <v>105.760821411347</v>
      </c>
      <c r="AX197" s="19">
        <v>3.71867346715038E-3</v>
      </c>
      <c r="AY197" s="20">
        <v>105.995329826022</v>
      </c>
      <c r="AZ197" s="19">
        <v>-5.6437951812211597E-3</v>
      </c>
      <c r="BA197" s="20">
        <v>119.79780959258299</v>
      </c>
      <c r="BB197" s="19">
        <v>1.7646927644704401E-2</v>
      </c>
      <c r="BC197" s="20">
        <v>111.750596560456</v>
      </c>
      <c r="BD197" s="19">
        <v>1.0086101142087E-2</v>
      </c>
      <c r="BE197" s="20">
        <v>103.088631677322</v>
      </c>
      <c r="BF197" s="19">
        <v>8.60463839780223E-6</v>
      </c>
      <c r="BG197" s="20"/>
      <c r="BH197" s="19"/>
    </row>
    <row r="198" spans="1:60" x14ac:dyDescent="0.15">
      <c r="A198" s="17"/>
      <c r="B198" s="17"/>
      <c r="C198" s="20"/>
      <c r="D198" s="19"/>
      <c r="E198" s="20"/>
      <c r="F198" s="19"/>
      <c r="G198" s="20"/>
      <c r="H198" s="19"/>
      <c r="I198" s="20"/>
      <c r="J198" s="19"/>
      <c r="K198" s="20"/>
      <c r="L198" s="19"/>
      <c r="M198" s="20"/>
      <c r="N198" s="19"/>
      <c r="O198" s="20"/>
      <c r="P198" s="19"/>
      <c r="Q198" s="20"/>
      <c r="R198" s="19"/>
      <c r="S198" s="20"/>
      <c r="T198" s="19"/>
      <c r="U198" s="20"/>
      <c r="V198" s="19"/>
      <c r="W198" s="20"/>
      <c r="X198" s="19"/>
      <c r="Y198" s="20"/>
      <c r="Z198" s="19"/>
      <c r="AA198" s="20"/>
      <c r="AB198" s="19"/>
      <c r="AC198" s="20"/>
      <c r="AD198" s="19"/>
      <c r="AE198" s="20"/>
      <c r="AF198" s="19"/>
      <c r="AG198" s="20"/>
      <c r="AH198" s="19"/>
      <c r="AI198" s="20"/>
      <c r="AJ198" s="19"/>
      <c r="AK198" s="20"/>
      <c r="AL198" s="19"/>
      <c r="AM198" s="20"/>
      <c r="AN198" s="19"/>
      <c r="AO198" s="20"/>
      <c r="AP198" s="19"/>
      <c r="AQ198" s="20"/>
      <c r="AR198" s="19"/>
      <c r="AS198" s="20"/>
      <c r="AT198" s="19"/>
      <c r="AU198" s="20"/>
      <c r="AV198" s="19"/>
      <c r="AW198" s="20"/>
      <c r="AX198" s="19"/>
      <c r="AY198" s="20"/>
      <c r="AZ198" s="19"/>
      <c r="BA198" s="20"/>
      <c r="BB198" s="19"/>
      <c r="BC198" s="20"/>
      <c r="BD198" s="19"/>
      <c r="BE198" s="20"/>
      <c r="BF198" s="19"/>
      <c r="BG198" s="20"/>
      <c r="BH198" s="19"/>
    </row>
  </sheetData>
  <sheetProtection password="DD0B" sheet="1"/>
  <mergeCells count="66">
    <mergeCell ref="AC6:AD10"/>
    <mergeCell ref="AC11:AD11"/>
    <mergeCell ref="C5:D10"/>
    <mergeCell ref="E6:F10"/>
    <mergeCell ref="C11:D11"/>
    <mergeCell ref="E11:F11"/>
    <mergeCell ref="M8:N10"/>
    <mergeCell ref="Y8:Z10"/>
    <mergeCell ref="AA6:AB10"/>
    <mergeCell ref="G11:H11"/>
    <mergeCell ref="I11:J11"/>
    <mergeCell ref="K11:L11"/>
    <mergeCell ref="M11:N11"/>
    <mergeCell ref="C4:BF4"/>
    <mergeCell ref="E5:AZ5"/>
    <mergeCell ref="BA5:BF5"/>
    <mergeCell ref="G6:H10"/>
    <mergeCell ref="I6:J10"/>
    <mergeCell ref="K6:L10"/>
    <mergeCell ref="M6:N7"/>
    <mergeCell ref="Q6:R10"/>
    <mergeCell ref="S6:T10"/>
    <mergeCell ref="U6:V10"/>
    <mergeCell ref="W6:X10"/>
    <mergeCell ref="Y6:Z7"/>
    <mergeCell ref="AY6:AZ10"/>
    <mergeCell ref="BA6:BB10"/>
    <mergeCell ref="BC6:BD10"/>
    <mergeCell ref="BE6:BF10"/>
    <mergeCell ref="AO6:AP10"/>
    <mergeCell ref="AQ6:AR10"/>
    <mergeCell ref="AS6:AT10"/>
    <mergeCell ref="AU6:AV10"/>
    <mergeCell ref="AW6:AX10"/>
    <mergeCell ref="AG6:AH10"/>
    <mergeCell ref="AM6:AN10"/>
    <mergeCell ref="O6:P6"/>
    <mergeCell ref="U11:V11"/>
    <mergeCell ref="W11:X11"/>
    <mergeCell ref="Y11:Z11"/>
    <mergeCell ref="AA11:AB11"/>
    <mergeCell ref="Q11:R11"/>
    <mergeCell ref="O11:P11"/>
    <mergeCell ref="O7:P7"/>
    <mergeCell ref="O8:P10"/>
    <mergeCell ref="AG11:AH11"/>
    <mergeCell ref="AI11:AJ11"/>
    <mergeCell ref="S11:T11"/>
    <mergeCell ref="AE11:AF11"/>
    <mergeCell ref="AE6:AF10"/>
    <mergeCell ref="BC11:BD11"/>
    <mergeCell ref="BE11:BF11"/>
    <mergeCell ref="AM11:AN11"/>
    <mergeCell ref="AO11:AP11"/>
    <mergeCell ref="AQ11:AR11"/>
    <mergeCell ref="AS11:AT11"/>
    <mergeCell ref="AU11:AV11"/>
    <mergeCell ref="AW11:AX11"/>
    <mergeCell ref="AY11:AZ11"/>
    <mergeCell ref="AK6:AL6"/>
    <mergeCell ref="AK7:AL7"/>
    <mergeCell ref="AK11:AL11"/>
    <mergeCell ref="AK8:AL10"/>
    <mergeCell ref="AI6:AJ6"/>
    <mergeCell ref="AI7:AJ7"/>
    <mergeCell ref="AI8:AJ10"/>
  </mergeCell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le06"/>
  <dimension ref="A1:BH198"/>
  <sheetViews>
    <sheetView showGridLines="0" zoomScaleNormal="100" workbookViewId="0">
      <pane xSplit="2" ySplit="11" topLeftCell="C12" activePane="bottomRight" state="frozen"/>
      <selection activeCell="AG1" sqref="AG1:AH1048576"/>
      <selection pane="topRight" activeCell="AG1" sqref="AG1:AH1048576"/>
      <selection pane="bottomLeft" activeCell="AG1" sqref="AG1:AH1048576"/>
      <selection pane="bottomRight" activeCell="AG1" sqref="AG1:AH1048576"/>
    </sheetView>
  </sheetViews>
  <sheetFormatPr baseColWidth="10" defaultRowHeight="11" x14ac:dyDescent="0.15"/>
  <cols>
    <col min="1" max="1" width="9.75" customWidth="1"/>
    <col min="2" max="2" width="2.75" customWidth="1"/>
    <col min="3" max="60" width="9.75" customWidth="1"/>
  </cols>
  <sheetData>
    <row r="1" spans="1:60" ht="11.25" customHeight="1" x14ac:dyDescent="0.15">
      <c r="A1" s="6" t="str">
        <f ca="1">INDIRECT("beschriftung!"&amp;ADDRESS(beschriftung!$C$1*12+ROW(beschriftung!$A1)-1,COLUMN(beschriftung!A$1)))</f>
        <v xml:space="preserve">ESA 2010, Quarterly aggregates of Gross Domestic Product, production approach, seasonally, calendar and sport event adjusted data. Background information on sport event adjustment can be found in the publication “Konjunkturtendenzen” (“Economic Trends”) from autumn 2022 and in the technical note from 5 September 2022 on the website www.seco.admin.ch. </v>
      </c>
      <c r="C1" s="13"/>
      <c r="E1" s="13"/>
    </row>
    <row r="2" spans="1:60" ht="11.25" customHeight="1" x14ac:dyDescent="0.15">
      <c r="A2" s="7" t="str">
        <f ca="1">INDIRECT("beschriftung!"&amp;ADDRESS(beschriftung!$C$1*12+ROW(beschriftung!$A5)-1,COLUMN(beschriftung!A$1)))</f>
        <v>Contributions to real GDP-growth</v>
      </c>
      <c r="C2" s="13"/>
      <c r="E2" s="13"/>
    </row>
    <row r="3" spans="1:60" ht="11.25" customHeight="1" x14ac:dyDescent="0.15">
      <c r="C3" s="13"/>
      <c r="E3" s="13"/>
    </row>
    <row r="4" spans="1:60" ht="11.25" customHeight="1" x14ac:dyDescent="0.15">
      <c r="A4" s="5"/>
      <c r="C4" s="46" t="str">
        <f ca="1">INDIRECT("beschriftung!"&amp;ADDRESS(beschriftung!$C$1*12+ROW(beschriftung!$A5)-1,COLUMN(beschriftung!C$1)))</f>
        <v>Gross domestic product</v>
      </c>
      <c r="D4" s="47" t="e">
        <f ca="1">IF(INDIRECT("beschriftung.!"&amp;ADDRESS(#REF!*12+ROW($A5)-1,COLUMN(D$1)))="","",INDIRECT("beschriftung.!"&amp;ADDRESS(#REF!*12+ROW($A5)-1,COLUMN(D$1))))</f>
        <v>#REF!</v>
      </c>
      <c r="E4" s="47" t="e">
        <f ca="1">IF(INDIRECT("beschriftung.!"&amp;ADDRESS(#REF!*12+ROW($A5)-1,COLUMN(E$1)))="","",INDIRECT("beschriftung.!"&amp;ADDRESS(#REF!*12+ROW($A5)-1,COLUMN(E$1))))</f>
        <v>#REF!</v>
      </c>
      <c r="F4" s="47" t="e">
        <f ca="1">IF(INDIRECT("beschriftung.!"&amp;ADDRESS(#REF!*12+ROW($A5)-1,COLUMN(F$1)))="","",INDIRECT("beschriftung.!"&amp;ADDRESS(#REF!*12+ROW($A5)-1,COLUMN(F$1))))</f>
        <v>#REF!</v>
      </c>
      <c r="G4" s="47" t="e">
        <f ca="1">IF(INDIRECT("beschriftung.!"&amp;ADDRESS(#REF!*12+ROW($A5)-1,COLUMN(G$1)))="","",INDIRECT("beschriftung.!"&amp;ADDRESS(#REF!*12+ROW($A5)-1,COLUMN(G$1))))</f>
        <v>#REF!</v>
      </c>
      <c r="H4" s="47" t="e">
        <f ca="1">IF(INDIRECT("beschriftung.!"&amp;ADDRESS(#REF!*12+ROW($A5)-1,COLUMN(H$1)))="","",INDIRECT("beschriftung.!"&amp;ADDRESS(#REF!*12+ROW($A5)-1,COLUMN(H$1))))</f>
        <v>#REF!</v>
      </c>
      <c r="I4" s="47" t="e">
        <f ca="1">IF(INDIRECT("beschriftung.!"&amp;ADDRESS(#REF!*12+ROW($A5)-1,COLUMN(I$1)))="","",INDIRECT("beschriftung.!"&amp;ADDRESS(#REF!*12+ROW($A5)-1,COLUMN(I$1))))</f>
        <v>#REF!</v>
      </c>
      <c r="J4" s="47" t="e">
        <f ca="1">IF(INDIRECT("beschriftung.!"&amp;ADDRESS(#REF!*12+ROW($A5)-1,COLUMN(J$1)))="","",INDIRECT("beschriftung.!"&amp;ADDRESS(#REF!*12+ROW($A5)-1,COLUMN(J$1))))</f>
        <v>#REF!</v>
      </c>
      <c r="K4" s="47" t="e">
        <f ca="1">IF(INDIRECT("beschriftung.!"&amp;ADDRESS(#REF!*12+ROW($A5)-1,COLUMN(K$1)))="","",INDIRECT("beschriftung.!"&amp;ADDRESS(#REF!*12+ROW($A5)-1,COLUMN(K$1))))</f>
        <v>#REF!</v>
      </c>
      <c r="L4" s="47" t="e">
        <f ca="1">IF(INDIRECT("beschriftung.!"&amp;ADDRESS(#REF!*12+ROW($A5)-1,COLUMN(L$1)))="","",INDIRECT("beschriftung.!"&amp;ADDRESS(#REF!*12+ROW($A5)-1,COLUMN(L$1))))</f>
        <v>#REF!</v>
      </c>
      <c r="M4" s="47"/>
      <c r="N4" s="47"/>
      <c r="O4" s="47"/>
      <c r="P4" s="47"/>
      <c r="Q4" s="47" t="e">
        <f ca="1">IF(INDIRECT("beschriftung.!"&amp;ADDRESS(#REF!*12+ROW($A5)-1,COLUMN(Q$1)))="","",INDIRECT("beschriftung.!"&amp;ADDRESS(#REF!*12+ROW($A5)-1,COLUMN(Q$1))))</f>
        <v>#REF!</v>
      </c>
      <c r="R4" s="47" t="e">
        <f ca="1">IF(INDIRECT("beschriftung.!"&amp;ADDRESS(#REF!*12+ROW($A5)-1,COLUMN(R$1)))="","",INDIRECT("beschriftung.!"&amp;ADDRESS(#REF!*12+ROW($A5)-1,COLUMN(R$1))))</f>
        <v>#REF!</v>
      </c>
      <c r="S4" s="47"/>
      <c r="T4" s="47"/>
      <c r="U4" s="47" t="e">
        <f ca="1">IF(INDIRECT("beschriftung.!"&amp;ADDRESS(#REF!*12+ROW($A5)-1,COLUMN(U$1)))="","",INDIRECT("beschriftung.!"&amp;ADDRESS(#REF!*12+ROW($A5)-1,COLUMN(U$1))))</f>
        <v>#REF!</v>
      </c>
      <c r="V4" s="47" t="e">
        <f ca="1">IF(INDIRECT("beschriftung.!"&amp;ADDRESS(#REF!*12+ROW($A5)-1,COLUMN(V$1)))="","",INDIRECT("beschriftung.!"&amp;ADDRESS(#REF!*12+ROW($A5)-1,COLUMN(V$1))))</f>
        <v>#REF!</v>
      </c>
      <c r="W4" s="47" t="e">
        <f ca="1">IF(INDIRECT("beschriftung.!"&amp;ADDRESS(#REF!*12+ROW($A5)-1,COLUMN(W$1)))="","",INDIRECT("beschriftung.!"&amp;ADDRESS(#REF!*12+ROW($A5)-1,COLUMN(W$1))))</f>
        <v>#REF!</v>
      </c>
      <c r="X4" s="47" t="e">
        <f ca="1">IF(INDIRECT("beschriftung.!"&amp;ADDRESS(#REF!*12+ROW($A5)-1,COLUMN(X$1)))="","",INDIRECT("beschriftung.!"&amp;ADDRESS(#REF!*12+ROW($A5)-1,COLUMN(X$1))))</f>
        <v>#REF!</v>
      </c>
      <c r="Y4" s="47"/>
      <c r="Z4" s="47"/>
      <c r="AA4" s="47" t="e">
        <f ca="1">IF(INDIRECT("beschriftung.!"&amp;ADDRESS(#REF!*12+ROW($A5)-1,COLUMN(AA$1)))="","",INDIRECT("beschriftung.!"&amp;ADDRESS(#REF!*12+ROW($A5)-1,COLUMN(AA$1))))</f>
        <v>#REF!</v>
      </c>
      <c r="AB4" s="47" t="e">
        <f ca="1">IF(INDIRECT("beschriftung.!"&amp;ADDRESS(#REF!*12+ROW($A5)-1,COLUMN(AB$1)))="","",INDIRECT("beschriftung.!"&amp;ADDRESS(#REF!*12+ROW($A5)-1,COLUMN(AB$1))))</f>
        <v>#REF!</v>
      </c>
      <c r="AC4" s="47"/>
      <c r="AD4" s="47"/>
      <c r="AE4" s="47"/>
      <c r="AF4" s="47"/>
      <c r="AG4" s="47" t="e">
        <f ca="1">IF(INDIRECT("beschriftung.!"&amp;ADDRESS(#REF!*12+ROW($A5)-1,COLUMN(AG$1)))="","",INDIRECT("beschriftung.!"&amp;ADDRESS(#REF!*12+ROW($A5)-1,COLUMN(AG$1))))</f>
        <v>#REF!</v>
      </c>
      <c r="AH4" s="47" t="e">
        <f ca="1">IF(INDIRECT("beschriftung.!"&amp;ADDRESS(#REF!*12+ROW($A5)-1,COLUMN(AH$1)))="","",INDIRECT("beschriftung.!"&amp;ADDRESS(#REF!*12+ROW($A5)-1,COLUMN(AH$1))))</f>
        <v>#REF!</v>
      </c>
      <c r="AI4" s="47" t="e">
        <f ca="1">IF(INDIRECT("beschriftung.!"&amp;ADDRESS(#REF!*12+ROW($A5)-1,COLUMN(AI$1)))="","",INDIRECT("beschriftung.!"&amp;ADDRESS(#REF!*12+ROW($A5)-1,COLUMN(AI$1))))</f>
        <v>#REF!</v>
      </c>
      <c r="AJ4" s="47" t="e">
        <f ca="1">IF(INDIRECT("beschriftung.!"&amp;ADDRESS(#REF!*12+ROW($A5)-1,COLUMN(AJ$1)))="","",INDIRECT("beschriftung.!"&amp;ADDRESS(#REF!*12+ROW($A5)-1,COLUMN(AJ$1))))</f>
        <v>#REF!</v>
      </c>
      <c r="AK4" s="47"/>
      <c r="AL4" s="47"/>
      <c r="AM4" s="47" t="e">
        <f ca="1">IF(INDIRECT("beschriftung.!"&amp;ADDRESS(#REF!*12+ROW($A5)-1,COLUMN(AM$1)))="","",INDIRECT("beschriftung.!"&amp;ADDRESS(#REF!*12+ROW($A5)-1,COLUMN(AM$1))))</f>
        <v>#REF!</v>
      </c>
      <c r="AN4" s="47" t="e">
        <f ca="1">IF(INDIRECT("beschriftung.!"&amp;ADDRESS(#REF!*12+ROW($A5)-1,COLUMN(AN$1)))="","",INDIRECT("beschriftung.!"&amp;ADDRESS(#REF!*12+ROW($A5)-1,COLUMN(AN$1))))</f>
        <v>#REF!</v>
      </c>
      <c r="AO4" s="47" t="e">
        <f ca="1">IF(INDIRECT("beschriftung.!"&amp;ADDRESS(#REF!*12+ROW($A5)-1,COLUMN(AO$1)))="","",INDIRECT("beschriftung.!"&amp;ADDRESS(#REF!*12+ROW($A5)-1,COLUMN(AO$1))))</f>
        <v>#REF!</v>
      </c>
      <c r="AP4" s="47" t="e">
        <f ca="1">IF(INDIRECT("beschriftung.!"&amp;ADDRESS(#REF!*12+ROW($A5)-1,COLUMN(AP$1)))="","",INDIRECT("beschriftung.!"&amp;ADDRESS(#REF!*12+ROW($A5)-1,COLUMN(AP$1))))</f>
        <v>#REF!</v>
      </c>
      <c r="AQ4" s="47" t="e">
        <f ca="1">IF(INDIRECT("beschriftung.!"&amp;ADDRESS(#REF!*12+ROW($A5)-1,COLUMN(AQ$1)))="","",INDIRECT("beschriftung.!"&amp;ADDRESS(#REF!*12+ROW($A5)-1,COLUMN(AQ$1))))</f>
        <v>#REF!</v>
      </c>
      <c r="AR4" s="47" t="e">
        <f ca="1">IF(INDIRECT("beschriftung.!"&amp;ADDRESS(#REF!*12+ROW($A5)-1,COLUMN(AR$1)))="","",INDIRECT("beschriftung.!"&amp;ADDRESS(#REF!*12+ROW($A5)-1,COLUMN(AR$1))))</f>
        <v>#REF!</v>
      </c>
      <c r="AS4" s="47" t="e">
        <f ca="1">IF(INDIRECT("beschriftung.!"&amp;ADDRESS(#REF!*12+ROW($A5)-1,COLUMN(AS$1)))="","",INDIRECT("beschriftung.!"&amp;ADDRESS(#REF!*12+ROW($A5)-1,COLUMN(AS$1))))</f>
        <v>#REF!</v>
      </c>
      <c r="AT4" s="47" t="e">
        <f ca="1">IF(INDIRECT("beschriftung.!"&amp;ADDRESS(#REF!*12+ROW($A5)-1,COLUMN(AT$1)))="","",INDIRECT("beschriftung.!"&amp;ADDRESS(#REF!*12+ROW($A5)-1,COLUMN(AT$1))))</f>
        <v>#REF!</v>
      </c>
      <c r="AU4" s="47" t="e">
        <f ca="1">IF(INDIRECT("beschriftung.!"&amp;ADDRESS(#REF!*12+ROW($A5)-1,COLUMN(AU$1)))="","",INDIRECT("beschriftung.!"&amp;ADDRESS(#REF!*12+ROW($A5)-1,COLUMN(AU$1))))</f>
        <v>#REF!</v>
      </c>
      <c r="AV4" s="47" t="e">
        <f ca="1">IF(INDIRECT("beschriftung.!"&amp;ADDRESS(#REF!*12+ROW($A5)-1,COLUMN(AV$1)))="","",INDIRECT("beschriftung.!"&amp;ADDRESS(#REF!*12+ROW($A5)-1,COLUMN(AV$1))))</f>
        <v>#REF!</v>
      </c>
      <c r="AW4" s="47"/>
      <c r="AX4" s="47"/>
      <c r="AY4" s="47" t="e">
        <f ca="1">IF(INDIRECT("beschriftung.!"&amp;ADDRESS(#REF!*12+ROW($A5)-1,COLUMN(AY$1)))="","",INDIRECT("beschriftung.!"&amp;ADDRESS(#REF!*12+ROW($A5)-1,COLUMN(AY$1))))</f>
        <v>#REF!</v>
      </c>
      <c r="AZ4" s="47" t="e">
        <f ca="1">IF(INDIRECT("beschriftung.!"&amp;ADDRESS(#REF!*12+ROW($A5)-1,COLUMN(AZ$1)))="","",INDIRECT("beschriftung.!"&amp;ADDRESS(#REF!*12+ROW($A5)-1,COLUMN(AZ$1))))</f>
        <v>#REF!</v>
      </c>
      <c r="BA4" s="47" t="e">
        <f ca="1">IF(INDIRECT("beschriftung.!"&amp;ADDRESS(#REF!*12+ROW($A5)-1,COLUMN(BA$1)))="","",INDIRECT("beschriftung.!"&amp;ADDRESS(#REF!*12+ROW($A5)-1,COLUMN(BA$1))))</f>
        <v>#REF!</v>
      </c>
      <c r="BB4" s="47" t="e">
        <f ca="1">IF(INDIRECT("beschriftung.!"&amp;ADDRESS(#REF!*12+ROW($A5)-1,COLUMN(BB$1)))="","",INDIRECT("beschriftung.!"&amp;ADDRESS(#REF!*12+ROW($A5)-1,COLUMN(BB$1))))</f>
        <v>#REF!</v>
      </c>
      <c r="BC4" s="47" t="e">
        <f ca="1">IF(INDIRECT("beschriftung.!"&amp;ADDRESS(#REF!*12+ROW($A5)-1,COLUMN(BC$1)))="","",INDIRECT("beschriftung.!"&amp;ADDRESS(#REF!*12+ROW($A5)-1,COLUMN(BC$1))))</f>
        <v>#REF!</v>
      </c>
      <c r="BD4" s="47" t="e">
        <f ca="1">IF(INDIRECT("beschriftung.!"&amp;ADDRESS(#REF!*12+ROW($A5)-1,COLUMN(BD$1)))="","",INDIRECT("beschriftung.!"&amp;ADDRESS(#REF!*12+ROW($A5)-1,COLUMN(BD$1))))</f>
        <v>#REF!</v>
      </c>
      <c r="BE4" s="47" t="e">
        <f ca="1">IF(INDIRECT("beschriftung.!"&amp;ADDRESS(#REF!*12+ROW($A5)-1,COLUMN(BE$1)))="","",INDIRECT("beschriftung.!"&amp;ADDRESS(#REF!*12+ROW($A5)-1,COLUMN(BE$1))))</f>
        <v>#REF!</v>
      </c>
      <c r="BF4" s="48" t="e">
        <f ca="1">IF(INDIRECT("beschriftung.!"&amp;ADDRESS(#REF!*12+ROW($A5)-1,COLUMN(BF$1)))="","",INDIRECT("beschriftung.!"&amp;ADDRESS(#REF!*12+ROW($A5)-1,COLUMN(BF$1))))</f>
        <v>#REF!</v>
      </c>
    </row>
    <row r="5" spans="1:60" ht="11.25" customHeight="1" x14ac:dyDescent="0.15">
      <c r="A5" s="5"/>
      <c r="C5" s="65"/>
      <c r="D5" s="66"/>
      <c r="E5" s="49" t="str">
        <f ca="1">INDIRECT("beschriftung!"&amp;ADDRESS(beschriftung!$C$1*12+ROW(beschriftung!$A6)-1,COLUMN(beschriftung!D$1)))</f>
        <v>Gross value added before adjustments</v>
      </c>
      <c r="F5" s="47" t="e">
        <f ca="1">IF(INDIRECT("beschriftung.!"&amp;ADDRESS(#REF!*12+ROW($A6)-1,COLUMN(F$1)))="","",INDIRECT("beschriftung.!"&amp;ADDRESS(#REF!*12+ROW($A6)-1,COLUMN(F$1))))</f>
        <v>#REF!</v>
      </c>
      <c r="G5" s="47" t="e">
        <f ca="1">IF(INDIRECT("beschriftung.!"&amp;ADDRESS(#REF!*12+ROW($A6)-1,COLUMN(G$1)))="","",INDIRECT("beschriftung.!"&amp;ADDRESS(#REF!*12+ROW($A6)-1,COLUMN(G$1))))</f>
        <v>#REF!</v>
      </c>
      <c r="H5" s="47" t="e">
        <f ca="1">IF(INDIRECT("beschriftung.!"&amp;ADDRESS(#REF!*12+ROW($A6)-1,COLUMN(H$1)))="","",INDIRECT("beschriftung.!"&amp;ADDRESS(#REF!*12+ROW($A6)-1,COLUMN(H$1))))</f>
        <v>#REF!</v>
      </c>
      <c r="I5" s="47" t="e">
        <f ca="1">IF(INDIRECT("beschriftung.!"&amp;ADDRESS(#REF!*12+ROW($A6)-1,COLUMN(I$1)))="","",INDIRECT("beschriftung.!"&amp;ADDRESS(#REF!*12+ROW($A6)-1,COLUMN(I$1))))</f>
        <v>#REF!</v>
      </c>
      <c r="J5" s="47" t="e">
        <f ca="1">IF(INDIRECT("beschriftung.!"&amp;ADDRESS(#REF!*12+ROW($A6)-1,COLUMN(J$1)))="","",INDIRECT("beschriftung.!"&amp;ADDRESS(#REF!*12+ROW($A6)-1,COLUMN(J$1))))</f>
        <v>#REF!</v>
      </c>
      <c r="K5" s="47" t="e">
        <f ca="1">IF(INDIRECT("beschriftung.!"&amp;ADDRESS(#REF!*12+ROW($A6)-1,COLUMN(K$1)))="","",INDIRECT("beschriftung.!"&amp;ADDRESS(#REF!*12+ROW($A6)-1,COLUMN(K$1))))</f>
        <v>#REF!</v>
      </c>
      <c r="L5" s="47" t="e">
        <f ca="1">IF(INDIRECT("beschriftung.!"&amp;ADDRESS(#REF!*12+ROW($A6)-1,COLUMN(L$1)))="","",INDIRECT("beschriftung.!"&amp;ADDRESS(#REF!*12+ROW($A6)-1,COLUMN(L$1))))</f>
        <v>#REF!</v>
      </c>
      <c r="M5" s="47"/>
      <c r="N5" s="47"/>
      <c r="O5" s="47"/>
      <c r="P5" s="47"/>
      <c r="Q5" s="47" t="e">
        <f ca="1">IF(INDIRECT("beschriftung.!"&amp;ADDRESS(#REF!*12+ROW($A6)-1,COLUMN(Q$1)))="","",INDIRECT("beschriftung.!"&amp;ADDRESS(#REF!*12+ROW($A6)-1,COLUMN(Q$1))))</f>
        <v>#REF!</v>
      </c>
      <c r="R5" s="47" t="e">
        <f ca="1">IF(INDIRECT("beschriftung.!"&amp;ADDRESS(#REF!*12+ROW($A6)-1,COLUMN(R$1)))="","",INDIRECT("beschriftung.!"&amp;ADDRESS(#REF!*12+ROW($A6)-1,COLUMN(R$1))))</f>
        <v>#REF!</v>
      </c>
      <c r="S5" s="47"/>
      <c r="T5" s="47"/>
      <c r="U5" s="47" t="e">
        <f ca="1">IF(INDIRECT("beschriftung.!"&amp;ADDRESS(#REF!*12+ROW($A6)-1,COLUMN(U$1)))="","",INDIRECT("beschriftung.!"&amp;ADDRESS(#REF!*12+ROW($A6)-1,COLUMN(U$1))))</f>
        <v>#REF!</v>
      </c>
      <c r="V5" s="47" t="e">
        <f ca="1">IF(INDIRECT("beschriftung.!"&amp;ADDRESS(#REF!*12+ROW($A6)-1,COLUMN(V$1)))="","",INDIRECT("beschriftung.!"&amp;ADDRESS(#REF!*12+ROW($A6)-1,COLUMN(V$1))))</f>
        <v>#REF!</v>
      </c>
      <c r="W5" s="47" t="e">
        <f ca="1">IF(INDIRECT("beschriftung.!"&amp;ADDRESS(#REF!*12+ROW($A6)-1,COLUMN(W$1)))="","",INDIRECT("beschriftung.!"&amp;ADDRESS(#REF!*12+ROW($A6)-1,COLUMN(W$1))))</f>
        <v>#REF!</v>
      </c>
      <c r="X5" s="47" t="e">
        <f ca="1">IF(INDIRECT("beschriftung.!"&amp;ADDRESS(#REF!*12+ROW($A6)-1,COLUMN(X$1)))="","",INDIRECT("beschriftung.!"&amp;ADDRESS(#REF!*12+ROW($A6)-1,COLUMN(X$1))))</f>
        <v>#REF!</v>
      </c>
      <c r="Y5" s="47"/>
      <c r="Z5" s="47"/>
      <c r="AA5" s="47" t="e">
        <f ca="1">IF(INDIRECT("beschriftung.!"&amp;ADDRESS(#REF!*12+ROW($A6)-1,COLUMN(AA$1)))="","",INDIRECT("beschriftung.!"&amp;ADDRESS(#REF!*12+ROW($A6)-1,COLUMN(AA$1))))</f>
        <v>#REF!</v>
      </c>
      <c r="AB5" s="47" t="e">
        <f ca="1">IF(INDIRECT("beschriftung.!"&amp;ADDRESS(#REF!*12+ROW($A6)-1,COLUMN(AB$1)))="","",INDIRECT("beschriftung.!"&amp;ADDRESS(#REF!*12+ROW($A6)-1,COLUMN(AB$1))))</f>
        <v>#REF!</v>
      </c>
      <c r="AC5" s="47"/>
      <c r="AD5" s="47"/>
      <c r="AE5" s="47"/>
      <c r="AF5" s="47"/>
      <c r="AG5" s="47" t="e">
        <f ca="1">IF(INDIRECT("beschriftung.!"&amp;ADDRESS(#REF!*12+ROW($A6)-1,COLUMN(AG$1)))="","",INDIRECT("beschriftung.!"&amp;ADDRESS(#REF!*12+ROW($A6)-1,COLUMN(AG$1))))</f>
        <v>#REF!</v>
      </c>
      <c r="AH5" s="47" t="e">
        <f ca="1">IF(INDIRECT("beschriftung.!"&amp;ADDRESS(#REF!*12+ROW($A6)-1,COLUMN(AH$1)))="","",INDIRECT("beschriftung.!"&amp;ADDRESS(#REF!*12+ROW($A6)-1,COLUMN(AH$1))))</f>
        <v>#REF!</v>
      </c>
      <c r="AI5" s="47" t="e">
        <f ca="1">IF(INDIRECT("beschriftung.!"&amp;ADDRESS(#REF!*12+ROW($A6)-1,COLUMN(AI$1)))="","",INDIRECT("beschriftung.!"&amp;ADDRESS(#REF!*12+ROW($A6)-1,COLUMN(AI$1))))</f>
        <v>#REF!</v>
      </c>
      <c r="AJ5" s="47" t="e">
        <f ca="1">IF(INDIRECT("beschriftung.!"&amp;ADDRESS(#REF!*12+ROW($A6)-1,COLUMN(AJ$1)))="","",INDIRECT("beschriftung.!"&amp;ADDRESS(#REF!*12+ROW($A6)-1,COLUMN(AJ$1))))</f>
        <v>#REF!</v>
      </c>
      <c r="AK5" s="47"/>
      <c r="AL5" s="47"/>
      <c r="AM5" s="47" t="e">
        <f ca="1">IF(INDIRECT("beschriftung.!"&amp;ADDRESS(#REF!*12+ROW($A6)-1,COLUMN(AM$1)))="","",INDIRECT("beschriftung.!"&amp;ADDRESS(#REF!*12+ROW($A6)-1,COLUMN(AM$1))))</f>
        <v>#REF!</v>
      </c>
      <c r="AN5" s="47" t="e">
        <f ca="1">IF(INDIRECT("beschriftung.!"&amp;ADDRESS(#REF!*12+ROW($A6)-1,COLUMN(AN$1)))="","",INDIRECT("beschriftung.!"&amp;ADDRESS(#REF!*12+ROW($A6)-1,COLUMN(AN$1))))</f>
        <v>#REF!</v>
      </c>
      <c r="AO5" s="47" t="e">
        <f ca="1">IF(INDIRECT("beschriftung.!"&amp;ADDRESS(#REF!*12+ROW($A6)-1,COLUMN(AO$1)))="","",INDIRECT("beschriftung.!"&amp;ADDRESS(#REF!*12+ROW($A6)-1,COLUMN(AO$1))))</f>
        <v>#REF!</v>
      </c>
      <c r="AP5" s="47" t="e">
        <f ca="1">IF(INDIRECT("beschriftung.!"&amp;ADDRESS(#REF!*12+ROW($A6)-1,COLUMN(AP$1)))="","",INDIRECT("beschriftung.!"&amp;ADDRESS(#REF!*12+ROW($A6)-1,COLUMN(AP$1))))</f>
        <v>#REF!</v>
      </c>
      <c r="AQ5" s="47" t="e">
        <f ca="1">IF(INDIRECT("beschriftung.!"&amp;ADDRESS(#REF!*12+ROW($A6)-1,COLUMN(AQ$1)))="","",INDIRECT("beschriftung.!"&amp;ADDRESS(#REF!*12+ROW($A6)-1,COLUMN(AQ$1))))</f>
        <v>#REF!</v>
      </c>
      <c r="AR5" s="47" t="e">
        <f ca="1">IF(INDIRECT("beschriftung.!"&amp;ADDRESS(#REF!*12+ROW($A6)-1,COLUMN(AR$1)))="","",INDIRECT("beschriftung.!"&amp;ADDRESS(#REF!*12+ROW($A6)-1,COLUMN(AR$1))))</f>
        <v>#REF!</v>
      </c>
      <c r="AS5" s="47" t="e">
        <f ca="1">IF(INDIRECT("beschriftung.!"&amp;ADDRESS(#REF!*12+ROW($A6)-1,COLUMN(AS$1)))="","",INDIRECT("beschriftung.!"&amp;ADDRESS(#REF!*12+ROW($A6)-1,COLUMN(AS$1))))</f>
        <v>#REF!</v>
      </c>
      <c r="AT5" s="47" t="e">
        <f ca="1">IF(INDIRECT("beschriftung.!"&amp;ADDRESS(#REF!*12+ROW($A6)-1,COLUMN(AT$1)))="","",INDIRECT("beschriftung.!"&amp;ADDRESS(#REF!*12+ROW($A6)-1,COLUMN(AT$1))))</f>
        <v>#REF!</v>
      </c>
      <c r="AU5" s="47" t="e">
        <f ca="1">IF(INDIRECT("beschriftung.!"&amp;ADDRESS(#REF!*12+ROW($A6)-1,COLUMN(AU$1)))="","",INDIRECT("beschriftung.!"&amp;ADDRESS(#REF!*12+ROW($A6)-1,COLUMN(AU$1))))</f>
        <v>#REF!</v>
      </c>
      <c r="AV5" s="47" t="e">
        <f ca="1">IF(INDIRECT("beschriftung.!"&amp;ADDRESS(#REF!*12+ROW($A6)-1,COLUMN(AV$1)))="","",INDIRECT("beschriftung.!"&amp;ADDRESS(#REF!*12+ROW($A6)-1,COLUMN(AV$1))))</f>
        <v>#REF!</v>
      </c>
      <c r="AW5" s="47"/>
      <c r="AX5" s="47"/>
      <c r="AY5" s="47" t="e">
        <f ca="1">IF(INDIRECT("beschriftung.!"&amp;ADDRESS(#REF!*12+ROW($A6)-1,COLUMN(AY$1)))="","",INDIRECT("beschriftung.!"&amp;ADDRESS(#REF!*12+ROW($A6)-1,COLUMN(AY$1))))</f>
        <v>#REF!</v>
      </c>
      <c r="AZ5" s="50" t="e">
        <f ca="1">IF(INDIRECT("beschriftung.!"&amp;ADDRESS(#REF!*12+ROW($A6)-1,COLUMN(AZ$1)))="","",INDIRECT("beschriftung.!"&amp;ADDRESS(#REF!*12+ROW($A6)-1,COLUMN(AZ$1))))</f>
        <v>#REF!</v>
      </c>
      <c r="BA5" s="49" t="str">
        <f ca="1">INDIRECT("beschriftung!"&amp;ADDRESS(beschriftung!$C$1*12+ROW(beschriftung!$A6)-1,COLUMN(beschriftung!AS$1)))</f>
        <v>Adjustments</v>
      </c>
      <c r="BB5" s="47" t="e">
        <f ca="1">IF(INDIRECT("beschriftung.!"&amp;ADDRESS(#REF!*12+ROW($A6)-1,COLUMN(BB$1)))="","",INDIRECT("beschriftung.!"&amp;ADDRESS(#REF!*12+ROW($A6)-1,COLUMN(BB$1))))</f>
        <v>#REF!</v>
      </c>
      <c r="BC5" s="47" t="e">
        <f ca="1">IF(INDIRECT("beschriftung.!"&amp;ADDRESS(#REF!*12+ROW($A6)-1,COLUMN(BC$1)))="","",INDIRECT("beschriftung.!"&amp;ADDRESS(#REF!*12+ROW($A6)-1,COLUMN(BC$1))))</f>
        <v>#REF!</v>
      </c>
      <c r="BD5" s="47" t="e">
        <f ca="1">IF(INDIRECT("beschriftung.!"&amp;ADDRESS(#REF!*12+ROW($A6)-1,COLUMN(BD$1)))="","",INDIRECT("beschriftung.!"&amp;ADDRESS(#REF!*12+ROW($A6)-1,COLUMN(BD$1))))</f>
        <v>#REF!</v>
      </c>
      <c r="BE5" s="47" t="e">
        <f ca="1">IF(INDIRECT("beschriftung.!"&amp;ADDRESS(#REF!*12+ROW($A6)-1,COLUMN(BE$1)))="","",INDIRECT("beschriftung.!"&amp;ADDRESS(#REF!*12+ROW($A6)-1,COLUMN(BE$1))))</f>
        <v>#REF!</v>
      </c>
      <c r="BF5" s="50" t="e">
        <f ca="1">IF(INDIRECT("beschriftung.!"&amp;ADDRESS(#REF!*12+ROW($A6)-1,COLUMN(BF$1)))="","",INDIRECT("beschriftung.!"&amp;ADDRESS(#REF!*12+ROW($A6)-1,COLUMN(BF$1))))</f>
        <v>#REF!</v>
      </c>
    </row>
    <row r="6" spans="1:60" ht="11.25" customHeight="1" x14ac:dyDescent="0.15">
      <c r="A6" s="5"/>
      <c r="C6" s="67"/>
      <c r="D6" s="55"/>
      <c r="E6" s="60" t="s">
        <v>3</v>
      </c>
      <c r="F6" s="29"/>
      <c r="G6" s="36" t="str">
        <f ca="1">INDIRECT("beschriftung!"&amp;ADDRESS(beschriftung!$C$1*12+ROW(beschriftung!$A7)-1,COLUMN(beschriftung!E$1)))</f>
        <v xml:space="preserve">Agriculture, forestry and fishing </v>
      </c>
      <c r="H6" s="36"/>
      <c r="I6" s="36" t="str">
        <f ca="1">INDIRECT("beschriftung!"&amp;ADDRESS(beschriftung!$C$1*12+ROW(beschriftung!$A7)-1,COLUMN(beschriftung!G$1)))</f>
        <v>Mining and quarrying</v>
      </c>
      <c r="J6" s="36"/>
      <c r="K6" s="36" t="str">
        <f ca="1">INDIRECT("beschriftung!"&amp;ADDRESS(beschriftung!$C$1*12+ROW(beschriftung!$A7)-1,COLUMN(beschriftung!I$1)))</f>
        <v>Manufacturing</v>
      </c>
      <c r="L6" s="37"/>
      <c r="M6" s="42"/>
      <c r="N6" s="42"/>
      <c r="O6" s="42"/>
      <c r="P6" s="43"/>
      <c r="Q6" s="41" t="str">
        <f ca="1">INDIRECT("beschriftung!"&amp;ADDRESS(beschriftung!$C$1*12+ROW(beschriftung!$A7)-1,COLUMN(beschriftung!M$1)))</f>
        <v>Electricity, gas, steam and air conditioning supply</v>
      </c>
      <c r="R6" s="36"/>
      <c r="S6" s="36" t="str">
        <f ca="1">INDIRECT("beschriftung!"&amp;ADDRESS(beschriftung!$C$1*12+ROW(beschriftung!$A7)-1,COLUMN(beschriftung!O$1)))</f>
        <v>Water supply, sewerage, waste management and remediation activities</v>
      </c>
      <c r="T6" s="36"/>
      <c r="U6" s="36" t="str">
        <f ca="1">INDIRECT("beschriftung!"&amp;ADDRESS(beschriftung!$C$1*12+ROW(beschriftung!$A7)-1,COLUMN(beschriftung!Q$1)))</f>
        <v>Construction</v>
      </c>
      <c r="V6" s="36"/>
      <c r="W6" s="36" t="str">
        <f ca="1">INDIRECT("beschriftung!"&amp;ADDRESS(beschriftung!$C$1*12+ROW(beschriftung!$A7)-1,COLUMN(beschriftung!S$1)))</f>
        <v>Trade, repair of motor vehicles and motorcycles</v>
      </c>
      <c r="X6" s="37"/>
      <c r="Y6" s="51"/>
      <c r="Z6" s="52"/>
      <c r="AA6" s="36" t="str">
        <f ca="1">INDIRECT("beschriftung!"&amp;ADDRESS(beschriftung!$C$1*12+ROW(beschriftung!$A7)-1,COLUMN(beschriftung!W$1)))</f>
        <v>Transportation and storage</v>
      </c>
      <c r="AB6" s="36"/>
      <c r="AC6" s="36" t="str">
        <f ca="1">INDIRECT("beschriftung!"&amp;ADDRESS(beschriftung!$C$1*12+ROW(beschriftung!$A7)-1,COLUMN(beschriftung!Y$1)))</f>
        <v>Accommodation and food service activities</v>
      </c>
      <c r="AD6" s="36"/>
      <c r="AE6" s="37" t="str">
        <f ca="1">INDIRECT("beschriftung!"&amp;ADDRESS(beschriftung!$C$1*12+ROW(beschriftung!$A7)-1,COLUMN(beschriftung!X$1)))</f>
        <v>Information and communication</v>
      </c>
      <c r="AF6" s="41"/>
      <c r="AG6" s="36" t="str">
        <f ca="1">INDIRECT("beschriftung!"&amp;ADDRESS(beschriftung!$C$1*12+ROW(beschriftung!$A7)-1,COLUMN(beschriftung!AA$1)))</f>
        <v>Financial and insurance activities</v>
      </c>
      <c r="AH6" s="37"/>
      <c r="AI6" s="22"/>
      <c r="AJ6" s="22"/>
      <c r="AK6" s="22"/>
      <c r="AL6" s="23"/>
      <c r="AM6" s="41" t="str">
        <f ca="1">INDIRECT("beschriftung!"&amp;ADDRESS(beschriftung!$C$1*12+ROW(beschriftung!$A7)-1,COLUMN(beschriftung!AE$1)))</f>
        <v>Real estate, professional, scientific, technical activities and administrative services</v>
      </c>
      <c r="AN6" s="36"/>
      <c r="AO6" s="36" t="str">
        <f ca="1">INDIRECT("beschriftung!"&amp;ADDRESS(beschriftung!$C$1*12+ROW(beschriftung!$A7)-1,COLUMN(beschriftung!AG$1)))</f>
        <v>Public administration</v>
      </c>
      <c r="AP6" s="36"/>
      <c r="AQ6" s="36" t="str">
        <f ca="1">INDIRECT("beschriftung!"&amp;ADDRESS(beschriftung!$C$1*12+ROW(beschriftung!$A7)-1,COLUMN(beschriftung!AI$1)))</f>
        <v>Education</v>
      </c>
      <c r="AR6" s="36"/>
      <c r="AS6" s="36" t="str">
        <f ca="1">INDIRECT("beschriftung!"&amp;ADDRESS(beschriftung!$C$1*12+ROW(beschriftung!$A7)-1,COLUMN(beschriftung!AK$1)))</f>
        <v>Human health and social work activities</v>
      </c>
      <c r="AT6" s="36"/>
      <c r="AU6" s="36" t="str">
        <f ca="1">INDIRECT("beschriftung!"&amp;ADDRESS(beschriftung!$C$1*12+ROW(beschriftung!$A7)-1,COLUMN(beschriftung!AM$1)))</f>
        <v xml:space="preserve">Arts, entertainment and recreation </v>
      </c>
      <c r="AV6" s="36"/>
      <c r="AW6" s="36" t="str">
        <f ca="1">INDIRECT("beschriftung!"&amp;ADDRESS(beschriftung!$C$1*12+ROW(beschriftung!$A7)-1,COLUMN(beschriftung!AO$1)))</f>
        <v>Other service activities</v>
      </c>
      <c r="AX6" s="36"/>
      <c r="AY6" s="36" t="str">
        <f ca="1">INDIRECT("beschriftung!"&amp;ADDRESS(beschriftung!$C$1*12+ROW(beschriftung!$A7)-1,COLUMN(beschriftung!AQ$1)))</f>
        <v>Activities of housholds as employers and producers for own use</v>
      </c>
      <c r="AZ6" s="36"/>
      <c r="BA6" s="55"/>
      <c r="BB6" s="55"/>
      <c r="BC6" s="36" t="str">
        <f ca="1">INDIRECT("beschriftung!"&amp;ADDRESS(beschriftung!$C$1*12+ROW(beschriftung!$A7)-1,COLUMN(beschriftung!AU$1)))</f>
        <v>Taxes on products</v>
      </c>
      <c r="BD6" s="36"/>
      <c r="BE6" s="36" t="str">
        <f ca="1">INDIRECT("beschriftung!"&amp;ADDRESS(beschriftung!$C$1*12+ROW(beschriftung!$A7)-1,COLUMN(beschriftung!AW$1)))</f>
        <v>Subsidies on products</v>
      </c>
      <c r="BF6" s="36"/>
    </row>
    <row r="7" spans="1:60" ht="11.25" customHeight="1" x14ac:dyDescent="0.15">
      <c r="A7" s="8"/>
      <c r="B7" s="8"/>
      <c r="C7" s="67"/>
      <c r="D7" s="55"/>
      <c r="E7" s="60"/>
      <c r="F7" s="29"/>
      <c r="G7" s="38"/>
      <c r="H7" s="38"/>
      <c r="I7" s="38"/>
      <c r="J7" s="38"/>
      <c r="K7" s="38"/>
      <c r="L7" s="28"/>
      <c r="M7" s="44"/>
      <c r="N7" s="44"/>
      <c r="O7" s="44"/>
      <c r="P7" s="45"/>
      <c r="Q7" s="29"/>
      <c r="R7" s="38"/>
      <c r="S7" s="38"/>
      <c r="T7" s="38"/>
      <c r="U7" s="38"/>
      <c r="V7" s="38"/>
      <c r="W7" s="38"/>
      <c r="X7" s="28"/>
      <c r="Y7" s="53"/>
      <c r="Z7" s="54"/>
      <c r="AA7" s="38"/>
      <c r="AB7" s="38"/>
      <c r="AC7" s="38"/>
      <c r="AD7" s="38"/>
      <c r="AE7" s="28"/>
      <c r="AF7" s="29"/>
      <c r="AG7" s="38"/>
      <c r="AH7" s="28"/>
      <c r="AI7" s="24"/>
      <c r="AJ7" s="24"/>
      <c r="AK7" s="24"/>
      <c r="AL7" s="25"/>
      <c r="AM7" s="29"/>
      <c r="AN7" s="38"/>
      <c r="AO7" s="38"/>
      <c r="AP7" s="38"/>
      <c r="AQ7" s="38"/>
      <c r="AR7" s="38"/>
      <c r="AS7" s="38"/>
      <c r="AT7" s="38"/>
      <c r="AU7" s="38"/>
      <c r="AV7" s="38"/>
      <c r="AW7" s="38"/>
      <c r="AX7" s="38"/>
      <c r="AY7" s="38"/>
      <c r="AZ7" s="38"/>
      <c r="BA7" s="55"/>
      <c r="BB7" s="55"/>
      <c r="BC7" s="38"/>
      <c r="BD7" s="38"/>
      <c r="BE7" s="38"/>
      <c r="BF7" s="38"/>
    </row>
    <row r="8" spans="1:60" ht="11.25" customHeight="1" x14ac:dyDescent="0.15">
      <c r="A8" s="2"/>
      <c r="B8" s="2"/>
      <c r="C8" s="67"/>
      <c r="D8" s="55"/>
      <c r="E8" s="61"/>
      <c r="F8" s="62"/>
      <c r="G8" s="39"/>
      <c r="H8" s="39"/>
      <c r="I8" s="39"/>
      <c r="J8" s="39"/>
      <c r="K8" s="39"/>
      <c r="L8" s="39"/>
      <c r="M8" s="28" t="str">
        <f ca="1">INDIRECT("beschriftung!"&amp;ADDRESS(beschriftung!$C$1*12+ROW(beschriftung!$A7),COLUMN(beschriftung!J$1)))</f>
        <v>thereof chemicals and pharmaceuticals</v>
      </c>
      <c r="N8" s="29"/>
      <c r="O8" s="28" t="str">
        <f ca="1">INDIRECT("beschriftung!"&amp;ADDRESS(beschriftung!$C$1*12+ROW(beschriftung!$A7),COLUMN(beschriftung!K$1)))</f>
        <v xml:space="preserve">thereof other manufacturing </v>
      </c>
      <c r="P8" s="29"/>
      <c r="Q8" s="39"/>
      <c r="R8" s="39"/>
      <c r="S8" s="39"/>
      <c r="T8" s="39"/>
      <c r="U8" s="39"/>
      <c r="V8" s="39"/>
      <c r="W8" s="39"/>
      <c r="X8" s="39"/>
      <c r="Y8" s="28" t="str">
        <f ca="1">INDIRECT("beschriftung!"&amp;ADDRESS(beschriftung!$C$1*12+ROW(beschriftung!$A7),COLUMN(beschriftung!U$1)))</f>
        <v>thereof retail trade</v>
      </c>
      <c r="Z8" s="29"/>
      <c r="AA8" s="39"/>
      <c r="AB8" s="39"/>
      <c r="AC8" s="39"/>
      <c r="AD8" s="39"/>
      <c r="AE8" s="28"/>
      <c r="AF8" s="29"/>
      <c r="AG8" s="39"/>
      <c r="AH8" s="39"/>
      <c r="AI8" s="28" t="str">
        <f ca="1">INDIRECT("beschriftung!"&amp;ADDRESS(beschriftung!$C$1*12+ROW(beschriftung!$A7),COLUMN(beschriftung!AB$1)))</f>
        <v>thereof financial activities</v>
      </c>
      <c r="AJ8" s="29"/>
      <c r="AK8" s="28" t="str">
        <f ca="1">INDIRECT("beschriftung!"&amp;ADDRESS(beschriftung!$C$1*12+ROW(beschriftung!$A7),COLUMN(beschriftung!AC$1)))</f>
        <v>thereof insurance activities</v>
      </c>
      <c r="AL8" s="29"/>
      <c r="AM8" s="39"/>
      <c r="AN8" s="39"/>
      <c r="AO8" s="39"/>
      <c r="AP8" s="39"/>
      <c r="AQ8" s="39"/>
      <c r="AR8" s="39"/>
      <c r="AS8" s="39"/>
      <c r="AT8" s="39"/>
      <c r="AU8" s="39"/>
      <c r="AV8" s="39"/>
      <c r="AW8" s="39"/>
      <c r="AX8" s="39"/>
      <c r="AY8" s="39"/>
      <c r="AZ8" s="39"/>
      <c r="BA8" s="55"/>
      <c r="BB8" s="55"/>
      <c r="BC8" s="39"/>
      <c r="BD8" s="39"/>
      <c r="BE8" s="39"/>
      <c r="BF8" s="39"/>
    </row>
    <row r="9" spans="1:60" ht="11.25" customHeight="1" x14ac:dyDescent="0.15">
      <c r="A9" s="2"/>
      <c r="B9" s="2"/>
      <c r="C9" s="67"/>
      <c r="D9" s="55"/>
      <c r="E9" s="61"/>
      <c r="F9" s="62"/>
      <c r="G9" s="39"/>
      <c r="H9" s="39"/>
      <c r="I9" s="39"/>
      <c r="J9" s="39"/>
      <c r="K9" s="39"/>
      <c r="L9" s="39"/>
      <c r="M9" s="28"/>
      <c r="N9" s="29"/>
      <c r="O9" s="28"/>
      <c r="P9" s="29"/>
      <c r="Q9" s="39"/>
      <c r="R9" s="39"/>
      <c r="S9" s="39"/>
      <c r="T9" s="39"/>
      <c r="U9" s="39"/>
      <c r="V9" s="39"/>
      <c r="W9" s="39"/>
      <c r="X9" s="39"/>
      <c r="Y9" s="28"/>
      <c r="Z9" s="29"/>
      <c r="AA9" s="39"/>
      <c r="AB9" s="39"/>
      <c r="AC9" s="39"/>
      <c r="AD9" s="39"/>
      <c r="AE9" s="28"/>
      <c r="AF9" s="29"/>
      <c r="AG9" s="39"/>
      <c r="AH9" s="39"/>
      <c r="AI9" s="28"/>
      <c r="AJ9" s="29"/>
      <c r="AK9" s="28"/>
      <c r="AL9" s="29"/>
      <c r="AM9" s="39"/>
      <c r="AN9" s="39"/>
      <c r="AO9" s="39"/>
      <c r="AP9" s="39"/>
      <c r="AQ9" s="39"/>
      <c r="AR9" s="39"/>
      <c r="AS9" s="39"/>
      <c r="AT9" s="39"/>
      <c r="AU9" s="39"/>
      <c r="AV9" s="39"/>
      <c r="AW9" s="39"/>
      <c r="AX9" s="39"/>
      <c r="AY9" s="39"/>
      <c r="AZ9" s="39"/>
      <c r="BA9" s="55"/>
      <c r="BB9" s="55"/>
      <c r="BC9" s="39"/>
      <c r="BD9" s="39"/>
      <c r="BE9" s="39"/>
      <c r="BF9" s="39"/>
    </row>
    <row r="10" spans="1:60" ht="11.25" customHeight="1" x14ac:dyDescent="0.15">
      <c r="A10" s="2"/>
      <c r="B10" s="8"/>
      <c r="C10" s="68"/>
      <c r="D10" s="69"/>
      <c r="E10" s="63"/>
      <c r="F10" s="64"/>
      <c r="G10" s="40"/>
      <c r="H10" s="40"/>
      <c r="I10" s="40"/>
      <c r="J10" s="40"/>
      <c r="K10" s="40"/>
      <c r="L10" s="40"/>
      <c r="M10" s="30"/>
      <c r="N10" s="31"/>
      <c r="O10" s="30"/>
      <c r="P10" s="31"/>
      <c r="Q10" s="40"/>
      <c r="R10" s="40"/>
      <c r="S10" s="40"/>
      <c r="T10" s="40"/>
      <c r="U10" s="40"/>
      <c r="V10" s="40"/>
      <c r="W10" s="40"/>
      <c r="X10" s="40"/>
      <c r="Y10" s="30"/>
      <c r="Z10" s="31"/>
      <c r="AA10" s="40"/>
      <c r="AB10" s="40"/>
      <c r="AC10" s="40"/>
      <c r="AD10" s="40"/>
      <c r="AE10" s="30"/>
      <c r="AF10" s="31"/>
      <c r="AG10" s="40"/>
      <c r="AH10" s="40"/>
      <c r="AI10" s="30"/>
      <c r="AJ10" s="31"/>
      <c r="AK10" s="30"/>
      <c r="AL10" s="31"/>
      <c r="AM10" s="40"/>
      <c r="AN10" s="40"/>
      <c r="AO10" s="40"/>
      <c r="AP10" s="40"/>
      <c r="AQ10" s="40"/>
      <c r="AR10" s="40"/>
      <c r="AS10" s="40"/>
      <c r="AT10" s="40"/>
      <c r="AU10" s="40"/>
      <c r="AV10" s="40"/>
      <c r="AW10" s="40"/>
      <c r="AX10" s="40"/>
      <c r="AY10" s="40"/>
      <c r="AZ10" s="40"/>
      <c r="BA10" s="55"/>
      <c r="BB10" s="55"/>
      <c r="BC10" s="40"/>
      <c r="BD10" s="40"/>
      <c r="BE10" s="40"/>
      <c r="BF10" s="40"/>
    </row>
    <row r="11" spans="1:60" ht="11.25" customHeight="1" x14ac:dyDescent="0.15">
      <c r="A11" s="2"/>
      <c r="B11" s="8"/>
      <c r="C11" s="58" t="s">
        <v>201</v>
      </c>
      <c r="D11" s="59"/>
      <c r="E11" s="56" t="s">
        <v>202</v>
      </c>
      <c r="F11" s="57"/>
      <c r="G11" s="34" t="s">
        <v>113</v>
      </c>
      <c r="H11" s="35"/>
      <c r="I11" s="34" t="s">
        <v>114</v>
      </c>
      <c r="J11" s="35"/>
      <c r="K11" s="34" t="s">
        <v>115</v>
      </c>
      <c r="L11" s="35"/>
      <c r="M11" s="34" t="s">
        <v>116</v>
      </c>
      <c r="N11" s="35"/>
      <c r="O11" s="26" t="s">
        <v>195</v>
      </c>
      <c r="P11" s="27"/>
      <c r="Q11" s="34" t="s">
        <v>117</v>
      </c>
      <c r="R11" s="35"/>
      <c r="S11" s="34" t="s">
        <v>118</v>
      </c>
      <c r="T11" s="35"/>
      <c r="U11" s="34" t="s">
        <v>119</v>
      </c>
      <c r="V11" s="35"/>
      <c r="W11" s="34" t="s">
        <v>120</v>
      </c>
      <c r="X11" s="35"/>
      <c r="Y11" s="34" t="s">
        <v>121</v>
      </c>
      <c r="Z11" s="35"/>
      <c r="AA11" s="34" t="s">
        <v>196</v>
      </c>
      <c r="AB11" s="35"/>
      <c r="AC11" s="34" t="s">
        <v>122</v>
      </c>
      <c r="AD11" s="35"/>
      <c r="AE11" s="26" t="s">
        <v>197</v>
      </c>
      <c r="AF11" s="27"/>
      <c r="AG11" s="34" t="s">
        <v>198</v>
      </c>
      <c r="AH11" s="35"/>
      <c r="AI11" s="34" t="s">
        <v>123</v>
      </c>
      <c r="AJ11" s="35"/>
      <c r="AK11" s="26" t="s">
        <v>124</v>
      </c>
      <c r="AL11" s="27"/>
      <c r="AM11" s="34" t="s">
        <v>125</v>
      </c>
      <c r="AN11" s="35"/>
      <c r="AO11" s="34" t="s">
        <v>126</v>
      </c>
      <c r="AP11" s="35"/>
      <c r="AQ11" s="34" t="s">
        <v>127</v>
      </c>
      <c r="AR11" s="35"/>
      <c r="AS11" s="34" t="s">
        <v>128</v>
      </c>
      <c r="AT11" s="34"/>
      <c r="AU11" s="34" t="s">
        <v>96</v>
      </c>
      <c r="AV11" s="35"/>
      <c r="AW11" s="34" t="s">
        <v>129</v>
      </c>
      <c r="AX11" s="35"/>
      <c r="AY11" s="34" t="s">
        <v>130</v>
      </c>
      <c r="AZ11" s="35"/>
      <c r="BA11" s="10"/>
      <c r="BB11" s="11"/>
      <c r="BC11" s="32" t="s">
        <v>199</v>
      </c>
      <c r="BD11" s="33"/>
      <c r="BE11" s="32" t="s">
        <v>200</v>
      </c>
      <c r="BF11" s="33"/>
    </row>
    <row r="12" spans="1:60" x14ac:dyDescent="0.15">
      <c r="A12" s="17">
        <v>1980</v>
      </c>
      <c r="B12" s="17">
        <v>1</v>
      </c>
      <c r="C12" s="21"/>
      <c r="D12" s="19"/>
      <c r="E12" s="21"/>
      <c r="F12" s="19"/>
      <c r="G12" s="21"/>
      <c r="H12" s="19"/>
      <c r="I12" s="21"/>
      <c r="J12" s="19"/>
      <c r="K12" s="21"/>
      <c r="L12" s="19"/>
      <c r="M12" s="21"/>
      <c r="N12" s="19"/>
      <c r="O12" s="21"/>
      <c r="P12" s="19"/>
      <c r="Q12" s="21"/>
      <c r="R12" s="19"/>
      <c r="S12" s="21"/>
      <c r="T12" s="19"/>
      <c r="U12" s="21"/>
      <c r="V12" s="19"/>
      <c r="W12" s="21"/>
      <c r="X12" s="19"/>
      <c r="Y12" s="21"/>
      <c r="Z12" s="19"/>
      <c r="AA12" s="21"/>
      <c r="AB12" s="19"/>
      <c r="AC12" s="21"/>
      <c r="AD12" s="19"/>
      <c r="AE12" s="21"/>
      <c r="AF12" s="19"/>
      <c r="AG12" s="21"/>
      <c r="AH12" s="19"/>
      <c r="AI12" s="21"/>
      <c r="AJ12" s="19"/>
      <c r="AK12" s="21"/>
      <c r="AL12" s="19"/>
      <c r="AM12" s="21"/>
      <c r="AN12" s="19"/>
      <c r="AO12" s="21"/>
      <c r="AP12" s="19"/>
      <c r="AQ12" s="21"/>
      <c r="AR12" s="19"/>
      <c r="AS12" s="21"/>
      <c r="AT12" s="19"/>
      <c r="AU12" s="21"/>
      <c r="AV12" s="19"/>
      <c r="AW12" s="21"/>
      <c r="AX12" s="19"/>
      <c r="AY12" s="21"/>
      <c r="AZ12" s="19"/>
      <c r="BA12" s="21"/>
      <c r="BB12" s="19"/>
      <c r="BC12" s="21"/>
      <c r="BD12" s="19"/>
      <c r="BE12" s="21"/>
      <c r="BF12" s="19"/>
      <c r="BG12" s="21"/>
      <c r="BH12" s="19"/>
    </row>
    <row r="13" spans="1:60" x14ac:dyDescent="0.15">
      <c r="A13" s="17">
        <v>1980</v>
      </c>
      <c r="B13" s="17">
        <v>2</v>
      </c>
      <c r="C13" s="21"/>
      <c r="D13" s="19"/>
      <c r="E13" s="21"/>
      <c r="F13" s="19"/>
      <c r="G13" s="21"/>
      <c r="H13" s="19"/>
      <c r="I13" s="21"/>
      <c r="J13" s="19"/>
      <c r="K13" s="21"/>
      <c r="L13" s="19"/>
      <c r="M13" s="21"/>
      <c r="N13" s="19"/>
      <c r="O13" s="21"/>
      <c r="P13" s="19"/>
      <c r="Q13" s="21"/>
      <c r="R13" s="19"/>
      <c r="S13" s="21"/>
      <c r="T13" s="19"/>
      <c r="U13" s="21"/>
      <c r="V13" s="19"/>
      <c r="W13" s="21"/>
      <c r="X13" s="19"/>
      <c r="Y13" s="21"/>
      <c r="Z13" s="19"/>
      <c r="AA13" s="21"/>
      <c r="AB13" s="19"/>
      <c r="AC13" s="21"/>
      <c r="AD13" s="19"/>
      <c r="AE13" s="21"/>
      <c r="AF13" s="19"/>
      <c r="AG13" s="21"/>
      <c r="AH13" s="19"/>
      <c r="AI13" s="21"/>
      <c r="AJ13" s="19"/>
      <c r="AK13" s="21"/>
      <c r="AL13" s="19"/>
      <c r="AM13" s="21"/>
      <c r="AN13" s="19"/>
      <c r="AO13" s="21"/>
      <c r="AP13" s="19"/>
      <c r="AQ13" s="21"/>
      <c r="AR13" s="19"/>
      <c r="AS13" s="21"/>
      <c r="AT13" s="19"/>
      <c r="AU13" s="21"/>
      <c r="AV13" s="19"/>
      <c r="AW13" s="21"/>
      <c r="AX13" s="19"/>
      <c r="AY13" s="21"/>
      <c r="AZ13" s="19"/>
      <c r="BA13" s="21"/>
      <c r="BB13" s="19"/>
      <c r="BC13" s="21"/>
      <c r="BD13" s="19"/>
      <c r="BE13" s="21"/>
      <c r="BF13" s="19"/>
      <c r="BG13" s="21"/>
      <c r="BH13" s="19"/>
    </row>
    <row r="14" spans="1:60" x14ac:dyDescent="0.15">
      <c r="A14" s="17">
        <v>1980</v>
      </c>
      <c r="B14" s="17">
        <v>3</v>
      </c>
      <c r="C14" s="21"/>
      <c r="D14" s="19"/>
      <c r="E14" s="21"/>
      <c r="F14" s="19"/>
      <c r="G14" s="21"/>
      <c r="H14" s="19"/>
      <c r="I14" s="21"/>
      <c r="J14" s="19"/>
      <c r="K14" s="21"/>
      <c r="L14" s="19"/>
      <c r="M14" s="21"/>
      <c r="N14" s="19"/>
      <c r="O14" s="21"/>
      <c r="P14" s="19"/>
      <c r="Q14" s="21"/>
      <c r="R14" s="19"/>
      <c r="S14" s="21"/>
      <c r="T14" s="19"/>
      <c r="U14" s="21"/>
      <c r="V14" s="19"/>
      <c r="W14" s="21"/>
      <c r="X14" s="19"/>
      <c r="Y14" s="21"/>
      <c r="Z14" s="19"/>
      <c r="AA14" s="21"/>
      <c r="AB14" s="19"/>
      <c r="AC14" s="21"/>
      <c r="AD14" s="19"/>
      <c r="AE14" s="21"/>
      <c r="AF14" s="19"/>
      <c r="AG14" s="21"/>
      <c r="AH14" s="19"/>
      <c r="AI14" s="21"/>
      <c r="AJ14" s="19"/>
      <c r="AK14" s="21"/>
      <c r="AL14" s="19"/>
      <c r="AM14" s="21"/>
      <c r="AN14" s="19"/>
      <c r="AO14" s="21"/>
      <c r="AP14" s="19"/>
      <c r="AQ14" s="21"/>
      <c r="AR14" s="19"/>
      <c r="AS14" s="21"/>
      <c r="AT14" s="19"/>
      <c r="AU14" s="21"/>
      <c r="AV14" s="19"/>
      <c r="AW14" s="21"/>
      <c r="AX14" s="19"/>
      <c r="AY14" s="21"/>
      <c r="AZ14" s="19"/>
      <c r="BA14" s="21"/>
      <c r="BB14" s="19"/>
      <c r="BC14" s="21"/>
      <c r="BD14" s="19"/>
      <c r="BE14" s="21"/>
      <c r="BF14" s="19"/>
      <c r="BG14" s="21"/>
      <c r="BH14" s="19"/>
    </row>
    <row r="15" spans="1:60" x14ac:dyDescent="0.15">
      <c r="A15" s="17">
        <v>1980</v>
      </c>
      <c r="B15" s="17">
        <v>4</v>
      </c>
      <c r="C15" s="21"/>
      <c r="D15" s="19"/>
      <c r="E15" s="21"/>
      <c r="F15" s="19"/>
      <c r="G15" s="21"/>
      <c r="H15" s="19"/>
      <c r="I15" s="21"/>
      <c r="J15" s="19"/>
      <c r="K15" s="21"/>
      <c r="L15" s="19"/>
      <c r="M15" s="21"/>
      <c r="N15" s="19"/>
      <c r="O15" s="21"/>
      <c r="P15" s="19"/>
      <c r="Q15" s="21"/>
      <c r="R15" s="19"/>
      <c r="S15" s="21"/>
      <c r="T15" s="19"/>
      <c r="U15" s="21"/>
      <c r="V15" s="19"/>
      <c r="W15" s="21"/>
      <c r="X15" s="19"/>
      <c r="Y15" s="21"/>
      <c r="Z15" s="19"/>
      <c r="AA15" s="21"/>
      <c r="AB15" s="19"/>
      <c r="AC15" s="21"/>
      <c r="AD15" s="19"/>
      <c r="AE15" s="21"/>
      <c r="AF15" s="19"/>
      <c r="AG15" s="21"/>
      <c r="AH15" s="19"/>
      <c r="AI15" s="21"/>
      <c r="AJ15" s="19"/>
      <c r="AK15" s="21"/>
      <c r="AL15" s="19"/>
      <c r="AM15" s="21"/>
      <c r="AN15" s="19"/>
      <c r="AO15" s="21"/>
      <c r="AP15" s="19"/>
      <c r="AQ15" s="21"/>
      <c r="AR15" s="19"/>
      <c r="AS15" s="21"/>
      <c r="AT15" s="19"/>
      <c r="AU15" s="21"/>
      <c r="AV15" s="19"/>
      <c r="AW15" s="21"/>
      <c r="AX15" s="19"/>
      <c r="AY15" s="21"/>
      <c r="AZ15" s="19"/>
      <c r="BA15" s="21"/>
      <c r="BB15" s="19"/>
      <c r="BC15" s="21"/>
      <c r="BD15" s="19"/>
      <c r="BE15" s="21"/>
      <c r="BF15" s="19"/>
      <c r="BG15" s="21"/>
      <c r="BH15" s="19"/>
    </row>
    <row r="16" spans="1:60" x14ac:dyDescent="0.15">
      <c r="A16" s="17">
        <v>1981</v>
      </c>
      <c r="B16" s="17">
        <v>1</v>
      </c>
      <c r="C16" s="21"/>
      <c r="D16" s="19"/>
      <c r="E16" s="21"/>
      <c r="F16" s="19"/>
      <c r="G16" s="21"/>
      <c r="H16" s="19"/>
      <c r="I16" s="21"/>
      <c r="J16" s="19"/>
      <c r="K16" s="21"/>
      <c r="L16" s="19"/>
      <c r="M16" s="21"/>
      <c r="N16" s="19"/>
      <c r="O16" s="21"/>
      <c r="P16" s="19"/>
      <c r="Q16" s="21"/>
      <c r="R16" s="19"/>
      <c r="S16" s="21"/>
      <c r="T16" s="19"/>
      <c r="U16" s="21"/>
      <c r="V16" s="19"/>
      <c r="W16" s="21"/>
      <c r="X16" s="19"/>
      <c r="Y16" s="21"/>
      <c r="Z16" s="19"/>
      <c r="AA16" s="21"/>
      <c r="AB16" s="19"/>
      <c r="AC16" s="21"/>
      <c r="AD16" s="19"/>
      <c r="AE16" s="21"/>
      <c r="AF16" s="19"/>
      <c r="AG16" s="21"/>
      <c r="AH16" s="19"/>
      <c r="AI16" s="21"/>
      <c r="AJ16" s="19"/>
      <c r="AK16" s="21"/>
      <c r="AL16" s="19"/>
      <c r="AM16" s="21"/>
      <c r="AN16" s="19"/>
      <c r="AO16" s="21"/>
      <c r="AP16" s="19"/>
      <c r="AQ16" s="21"/>
      <c r="AR16" s="19"/>
      <c r="AS16" s="21"/>
      <c r="AT16" s="19"/>
      <c r="AU16" s="21"/>
      <c r="AV16" s="19"/>
      <c r="AW16" s="21"/>
      <c r="AX16" s="19"/>
      <c r="AY16" s="21"/>
      <c r="AZ16" s="19"/>
      <c r="BA16" s="21"/>
      <c r="BB16" s="19"/>
      <c r="BC16" s="21"/>
      <c r="BD16" s="19"/>
      <c r="BE16" s="21"/>
      <c r="BF16" s="19"/>
      <c r="BG16" s="21"/>
      <c r="BH16" s="19"/>
    </row>
    <row r="17" spans="1:60" x14ac:dyDescent="0.15">
      <c r="A17" s="17">
        <v>1981</v>
      </c>
      <c r="B17" s="17">
        <v>2</v>
      </c>
      <c r="C17" s="21"/>
      <c r="D17" s="19"/>
      <c r="E17" s="21"/>
      <c r="F17" s="19"/>
      <c r="G17" s="21"/>
      <c r="H17" s="19"/>
      <c r="I17" s="21"/>
      <c r="J17" s="19"/>
      <c r="K17" s="21"/>
      <c r="L17" s="19"/>
      <c r="M17" s="21"/>
      <c r="N17" s="19"/>
      <c r="O17" s="21"/>
      <c r="P17" s="19"/>
      <c r="Q17" s="21"/>
      <c r="R17" s="19"/>
      <c r="S17" s="21"/>
      <c r="T17" s="19"/>
      <c r="U17" s="21"/>
      <c r="V17" s="19"/>
      <c r="W17" s="21"/>
      <c r="X17" s="19"/>
      <c r="Y17" s="21"/>
      <c r="Z17" s="19"/>
      <c r="AA17" s="21"/>
      <c r="AB17" s="19"/>
      <c r="AC17" s="21"/>
      <c r="AD17" s="19"/>
      <c r="AE17" s="21"/>
      <c r="AF17" s="19"/>
      <c r="AG17" s="21"/>
      <c r="AH17" s="19"/>
      <c r="AI17" s="21"/>
      <c r="AJ17" s="19"/>
      <c r="AK17" s="21"/>
      <c r="AL17" s="19"/>
      <c r="AM17" s="21"/>
      <c r="AN17" s="19"/>
      <c r="AO17" s="21"/>
      <c r="AP17" s="19"/>
      <c r="AQ17" s="21"/>
      <c r="AR17" s="19"/>
      <c r="AS17" s="21"/>
      <c r="AT17" s="19"/>
      <c r="AU17" s="21"/>
      <c r="AV17" s="19"/>
      <c r="AW17" s="21"/>
      <c r="AX17" s="19"/>
      <c r="AY17" s="21"/>
      <c r="AZ17" s="19"/>
      <c r="BA17" s="21"/>
      <c r="BB17" s="19"/>
      <c r="BC17" s="21"/>
      <c r="BD17" s="19"/>
      <c r="BE17" s="21"/>
      <c r="BF17" s="19"/>
      <c r="BG17" s="21"/>
      <c r="BH17" s="19"/>
    </row>
    <row r="18" spans="1:60" x14ac:dyDescent="0.15">
      <c r="A18" s="17">
        <v>1981</v>
      </c>
      <c r="B18" s="17">
        <v>3</v>
      </c>
      <c r="C18" s="21"/>
      <c r="D18" s="19"/>
      <c r="E18" s="21"/>
      <c r="F18" s="19"/>
      <c r="G18" s="21"/>
      <c r="H18" s="19"/>
      <c r="I18" s="21"/>
      <c r="J18" s="19"/>
      <c r="K18" s="21"/>
      <c r="L18" s="19"/>
      <c r="M18" s="21"/>
      <c r="N18" s="19"/>
      <c r="O18" s="21"/>
      <c r="P18" s="19"/>
      <c r="Q18" s="21"/>
      <c r="R18" s="19"/>
      <c r="S18" s="21"/>
      <c r="T18" s="19"/>
      <c r="U18" s="21"/>
      <c r="V18" s="19"/>
      <c r="W18" s="21"/>
      <c r="X18" s="19"/>
      <c r="Y18" s="21"/>
      <c r="Z18" s="19"/>
      <c r="AA18" s="21"/>
      <c r="AB18" s="19"/>
      <c r="AC18" s="21"/>
      <c r="AD18" s="19"/>
      <c r="AE18" s="21"/>
      <c r="AF18" s="19"/>
      <c r="AG18" s="21"/>
      <c r="AH18" s="19"/>
      <c r="AI18" s="21"/>
      <c r="AJ18" s="19"/>
      <c r="AK18" s="21"/>
      <c r="AL18" s="19"/>
      <c r="AM18" s="21"/>
      <c r="AN18" s="19"/>
      <c r="AO18" s="21"/>
      <c r="AP18" s="19"/>
      <c r="AQ18" s="21"/>
      <c r="AR18" s="19"/>
      <c r="AS18" s="21"/>
      <c r="AT18" s="19"/>
      <c r="AU18" s="21"/>
      <c r="AV18" s="19"/>
      <c r="AW18" s="21"/>
      <c r="AX18" s="19"/>
      <c r="AY18" s="21"/>
      <c r="AZ18" s="19"/>
      <c r="BA18" s="21"/>
      <c r="BB18" s="19"/>
      <c r="BC18" s="21"/>
      <c r="BD18" s="19"/>
      <c r="BE18" s="21"/>
      <c r="BF18" s="19"/>
      <c r="BG18" s="21"/>
      <c r="BH18" s="19"/>
    </row>
    <row r="19" spans="1:60" x14ac:dyDescent="0.15">
      <c r="A19" s="17">
        <v>1981</v>
      </c>
      <c r="B19" s="17">
        <v>4</v>
      </c>
      <c r="C19" s="21"/>
      <c r="D19" s="19"/>
      <c r="E19" s="21"/>
      <c r="F19" s="19"/>
      <c r="G19" s="21"/>
      <c r="H19" s="19"/>
      <c r="I19" s="21"/>
      <c r="J19" s="19"/>
      <c r="K19" s="21"/>
      <c r="L19" s="19"/>
      <c r="M19" s="21"/>
      <c r="N19" s="19"/>
      <c r="O19" s="21"/>
      <c r="P19" s="19"/>
      <c r="Q19" s="21"/>
      <c r="R19" s="19"/>
      <c r="S19" s="21"/>
      <c r="T19" s="19"/>
      <c r="U19" s="21"/>
      <c r="V19" s="19"/>
      <c r="W19" s="21"/>
      <c r="X19" s="19"/>
      <c r="Y19" s="21"/>
      <c r="Z19" s="19"/>
      <c r="AA19" s="21"/>
      <c r="AB19" s="19"/>
      <c r="AC19" s="21"/>
      <c r="AD19" s="19"/>
      <c r="AE19" s="21"/>
      <c r="AF19" s="19"/>
      <c r="AG19" s="21"/>
      <c r="AH19" s="19"/>
      <c r="AI19" s="21"/>
      <c r="AJ19" s="19"/>
      <c r="AK19" s="21"/>
      <c r="AL19" s="19"/>
      <c r="AM19" s="21"/>
      <c r="AN19" s="19"/>
      <c r="AO19" s="21"/>
      <c r="AP19" s="19"/>
      <c r="AQ19" s="21"/>
      <c r="AR19" s="19"/>
      <c r="AS19" s="21"/>
      <c r="AT19" s="19"/>
      <c r="AU19" s="21"/>
      <c r="AV19" s="19"/>
      <c r="AW19" s="21"/>
      <c r="AX19" s="19"/>
      <c r="AY19" s="21"/>
      <c r="AZ19" s="19"/>
      <c r="BA19" s="21"/>
      <c r="BB19" s="19"/>
      <c r="BC19" s="21"/>
      <c r="BD19" s="19"/>
      <c r="BE19" s="21"/>
      <c r="BF19" s="19"/>
      <c r="BG19" s="21"/>
      <c r="BH19" s="19"/>
    </row>
    <row r="20" spans="1:60" x14ac:dyDescent="0.15">
      <c r="A20" s="17">
        <v>1982</v>
      </c>
      <c r="B20" s="17">
        <v>1</v>
      </c>
      <c r="C20" s="21"/>
      <c r="D20" s="19"/>
      <c r="E20" s="21"/>
      <c r="F20" s="19"/>
      <c r="G20" s="21"/>
      <c r="H20" s="19"/>
      <c r="I20" s="21"/>
      <c r="J20" s="19"/>
      <c r="K20" s="21"/>
      <c r="L20" s="19"/>
      <c r="M20" s="21"/>
      <c r="N20" s="19"/>
      <c r="O20" s="21"/>
      <c r="P20" s="19"/>
      <c r="Q20" s="21"/>
      <c r="R20" s="19"/>
      <c r="S20" s="21"/>
      <c r="T20" s="19"/>
      <c r="U20" s="21"/>
      <c r="V20" s="19"/>
      <c r="W20" s="21"/>
      <c r="X20" s="19"/>
      <c r="Y20" s="21"/>
      <c r="Z20" s="19"/>
      <c r="AA20" s="21"/>
      <c r="AB20" s="19"/>
      <c r="AC20" s="21"/>
      <c r="AD20" s="19"/>
      <c r="AE20" s="21"/>
      <c r="AF20" s="19"/>
      <c r="AG20" s="21"/>
      <c r="AH20" s="19"/>
      <c r="AI20" s="21"/>
      <c r="AJ20" s="19"/>
      <c r="AK20" s="21"/>
      <c r="AL20" s="19"/>
      <c r="AM20" s="21"/>
      <c r="AN20" s="19"/>
      <c r="AO20" s="21"/>
      <c r="AP20" s="19"/>
      <c r="AQ20" s="21"/>
      <c r="AR20" s="19"/>
      <c r="AS20" s="21"/>
      <c r="AT20" s="19"/>
      <c r="AU20" s="21"/>
      <c r="AV20" s="19"/>
      <c r="AW20" s="21"/>
      <c r="AX20" s="19"/>
      <c r="AY20" s="21"/>
      <c r="AZ20" s="19"/>
      <c r="BA20" s="21"/>
      <c r="BB20" s="19"/>
      <c r="BC20" s="21"/>
      <c r="BD20" s="19"/>
      <c r="BE20" s="21"/>
      <c r="BF20" s="19"/>
      <c r="BG20" s="21"/>
      <c r="BH20" s="19"/>
    </row>
    <row r="21" spans="1:60" x14ac:dyDescent="0.15">
      <c r="A21" s="17">
        <v>1982</v>
      </c>
      <c r="B21" s="17">
        <v>2</v>
      </c>
      <c r="C21" s="21"/>
      <c r="D21" s="19"/>
      <c r="E21" s="21"/>
      <c r="F21" s="19"/>
      <c r="G21" s="21"/>
      <c r="H21" s="19"/>
      <c r="I21" s="21"/>
      <c r="J21" s="19"/>
      <c r="K21" s="21"/>
      <c r="L21" s="19"/>
      <c r="M21" s="21"/>
      <c r="N21" s="19"/>
      <c r="O21" s="21"/>
      <c r="P21" s="19"/>
      <c r="Q21" s="21"/>
      <c r="R21" s="19"/>
      <c r="S21" s="21"/>
      <c r="T21" s="19"/>
      <c r="U21" s="21"/>
      <c r="V21" s="19"/>
      <c r="W21" s="21"/>
      <c r="X21" s="19"/>
      <c r="Y21" s="21"/>
      <c r="Z21" s="19"/>
      <c r="AA21" s="21"/>
      <c r="AB21" s="19"/>
      <c r="AC21" s="21"/>
      <c r="AD21" s="19"/>
      <c r="AE21" s="21"/>
      <c r="AF21" s="19"/>
      <c r="AG21" s="21"/>
      <c r="AH21" s="19"/>
      <c r="AI21" s="21"/>
      <c r="AJ21" s="19"/>
      <c r="AK21" s="21"/>
      <c r="AL21" s="19"/>
      <c r="AM21" s="21"/>
      <c r="AN21" s="19"/>
      <c r="AO21" s="21"/>
      <c r="AP21" s="19"/>
      <c r="AQ21" s="21"/>
      <c r="AR21" s="19"/>
      <c r="AS21" s="21"/>
      <c r="AT21" s="19"/>
      <c r="AU21" s="21"/>
      <c r="AV21" s="19"/>
      <c r="AW21" s="21"/>
      <c r="AX21" s="19"/>
      <c r="AY21" s="21"/>
      <c r="AZ21" s="19"/>
      <c r="BA21" s="21"/>
      <c r="BB21" s="19"/>
      <c r="BC21" s="21"/>
      <c r="BD21" s="19"/>
      <c r="BE21" s="21"/>
      <c r="BF21" s="19"/>
      <c r="BG21" s="21"/>
      <c r="BH21" s="19"/>
    </row>
    <row r="22" spans="1:60" x14ac:dyDescent="0.15">
      <c r="A22" s="17">
        <v>1982</v>
      </c>
      <c r="B22" s="17">
        <v>3</v>
      </c>
      <c r="C22" s="21"/>
      <c r="D22" s="19"/>
      <c r="E22" s="21"/>
      <c r="F22" s="19"/>
      <c r="G22" s="21"/>
      <c r="H22" s="19"/>
      <c r="I22" s="21"/>
      <c r="J22" s="19"/>
      <c r="K22" s="21"/>
      <c r="L22" s="19"/>
      <c r="M22" s="21"/>
      <c r="N22" s="19"/>
      <c r="O22" s="21"/>
      <c r="P22" s="19"/>
      <c r="Q22" s="21"/>
      <c r="R22" s="19"/>
      <c r="S22" s="21"/>
      <c r="T22" s="19"/>
      <c r="U22" s="21"/>
      <c r="V22" s="19"/>
      <c r="W22" s="21"/>
      <c r="X22" s="19"/>
      <c r="Y22" s="21"/>
      <c r="Z22" s="19"/>
      <c r="AA22" s="21"/>
      <c r="AB22" s="19"/>
      <c r="AC22" s="21"/>
      <c r="AD22" s="19"/>
      <c r="AE22" s="21"/>
      <c r="AF22" s="19"/>
      <c r="AG22" s="21"/>
      <c r="AH22" s="19"/>
      <c r="AI22" s="21"/>
      <c r="AJ22" s="19"/>
      <c r="AK22" s="21"/>
      <c r="AL22" s="19"/>
      <c r="AM22" s="21"/>
      <c r="AN22" s="19"/>
      <c r="AO22" s="21"/>
      <c r="AP22" s="19"/>
      <c r="AQ22" s="21"/>
      <c r="AR22" s="19"/>
      <c r="AS22" s="21"/>
      <c r="AT22" s="19"/>
      <c r="AU22" s="21"/>
      <c r="AV22" s="19"/>
      <c r="AW22" s="21"/>
      <c r="AX22" s="19"/>
      <c r="AY22" s="21"/>
      <c r="AZ22" s="19"/>
      <c r="BA22" s="21"/>
      <c r="BB22" s="19"/>
      <c r="BC22" s="21"/>
      <c r="BD22" s="19"/>
      <c r="BE22" s="21"/>
      <c r="BF22" s="19"/>
      <c r="BG22" s="21"/>
      <c r="BH22" s="19"/>
    </row>
    <row r="23" spans="1:60" x14ac:dyDescent="0.15">
      <c r="A23" s="17">
        <v>1982</v>
      </c>
      <c r="B23" s="17">
        <v>4</v>
      </c>
      <c r="C23" s="21"/>
      <c r="D23" s="19"/>
      <c r="E23" s="21"/>
      <c r="F23" s="19"/>
      <c r="G23" s="21"/>
      <c r="H23" s="19"/>
      <c r="I23" s="21"/>
      <c r="J23" s="19"/>
      <c r="K23" s="21"/>
      <c r="L23" s="19"/>
      <c r="M23" s="21"/>
      <c r="N23" s="19"/>
      <c r="O23" s="21"/>
      <c r="P23" s="19"/>
      <c r="Q23" s="21"/>
      <c r="R23" s="19"/>
      <c r="S23" s="21"/>
      <c r="T23" s="19"/>
      <c r="U23" s="21"/>
      <c r="V23" s="19"/>
      <c r="W23" s="21"/>
      <c r="X23" s="19"/>
      <c r="Y23" s="21"/>
      <c r="Z23" s="19"/>
      <c r="AA23" s="21"/>
      <c r="AB23" s="19"/>
      <c r="AC23" s="21"/>
      <c r="AD23" s="19"/>
      <c r="AE23" s="21"/>
      <c r="AF23" s="19"/>
      <c r="AG23" s="21"/>
      <c r="AH23" s="19"/>
      <c r="AI23" s="21"/>
      <c r="AJ23" s="19"/>
      <c r="AK23" s="21"/>
      <c r="AL23" s="19"/>
      <c r="AM23" s="21"/>
      <c r="AN23" s="19"/>
      <c r="AO23" s="21"/>
      <c r="AP23" s="19"/>
      <c r="AQ23" s="21"/>
      <c r="AR23" s="19"/>
      <c r="AS23" s="21"/>
      <c r="AT23" s="19"/>
      <c r="AU23" s="21"/>
      <c r="AV23" s="19"/>
      <c r="AW23" s="21"/>
      <c r="AX23" s="19"/>
      <c r="AY23" s="21"/>
      <c r="AZ23" s="19"/>
      <c r="BA23" s="21"/>
      <c r="BB23" s="19"/>
      <c r="BC23" s="21"/>
      <c r="BD23" s="19"/>
      <c r="BE23" s="21"/>
      <c r="BF23" s="19"/>
      <c r="BG23" s="21"/>
      <c r="BH23" s="19"/>
    </row>
    <row r="24" spans="1:60" x14ac:dyDescent="0.15">
      <c r="A24" s="17">
        <v>1983</v>
      </c>
      <c r="B24" s="17">
        <v>1</v>
      </c>
      <c r="C24" s="21"/>
      <c r="D24" s="19"/>
      <c r="E24" s="21"/>
      <c r="F24" s="19"/>
      <c r="G24" s="21"/>
      <c r="H24" s="19"/>
      <c r="I24" s="21"/>
      <c r="J24" s="19"/>
      <c r="K24" s="21"/>
      <c r="L24" s="19"/>
      <c r="M24" s="21"/>
      <c r="N24" s="19"/>
      <c r="O24" s="21"/>
      <c r="P24" s="19"/>
      <c r="Q24" s="21"/>
      <c r="R24" s="19"/>
      <c r="S24" s="21"/>
      <c r="T24" s="19"/>
      <c r="U24" s="21"/>
      <c r="V24" s="19"/>
      <c r="W24" s="21"/>
      <c r="X24" s="19"/>
      <c r="Y24" s="21"/>
      <c r="Z24" s="19"/>
      <c r="AA24" s="21"/>
      <c r="AB24" s="19"/>
      <c r="AC24" s="21"/>
      <c r="AD24" s="19"/>
      <c r="AE24" s="21"/>
      <c r="AF24" s="19"/>
      <c r="AG24" s="21"/>
      <c r="AH24" s="19"/>
      <c r="AI24" s="21"/>
      <c r="AJ24" s="19"/>
      <c r="AK24" s="21"/>
      <c r="AL24" s="19"/>
      <c r="AM24" s="21"/>
      <c r="AN24" s="19"/>
      <c r="AO24" s="21"/>
      <c r="AP24" s="19"/>
      <c r="AQ24" s="21"/>
      <c r="AR24" s="19"/>
      <c r="AS24" s="21"/>
      <c r="AT24" s="19"/>
      <c r="AU24" s="21"/>
      <c r="AV24" s="19"/>
      <c r="AW24" s="21"/>
      <c r="AX24" s="19"/>
      <c r="AY24" s="21"/>
      <c r="AZ24" s="19"/>
      <c r="BA24" s="21"/>
      <c r="BB24" s="19"/>
      <c r="BC24" s="21"/>
      <c r="BD24" s="19"/>
      <c r="BE24" s="21"/>
      <c r="BF24" s="19"/>
      <c r="BG24" s="21"/>
      <c r="BH24" s="19"/>
    </row>
    <row r="25" spans="1:60" x14ac:dyDescent="0.15">
      <c r="A25" s="17">
        <v>1983</v>
      </c>
      <c r="B25" s="17">
        <v>2</v>
      </c>
      <c r="C25" s="21"/>
      <c r="D25" s="19"/>
      <c r="E25" s="21"/>
      <c r="F25" s="19"/>
      <c r="G25" s="21"/>
      <c r="H25" s="19"/>
      <c r="I25" s="21"/>
      <c r="J25" s="19"/>
      <c r="K25" s="21"/>
      <c r="L25" s="19"/>
      <c r="M25" s="21"/>
      <c r="N25" s="19"/>
      <c r="O25" s="21"/>
      <c r="P25" s="19"/>
      <c r="Q25" s="21"/>
      <c r="R25" s="19"/>
      <c r="S25" s="21"/>
      <c r="T25" s="19"/>
      <c r="U25" s="21"/>
      <c r="V25" s="19"/>
      <c r="W25" s="21"/>
      <c r="X25" s="19"/>
      <c r="Y25" s="21"/>
      <c r="Z25" s="19"/>
      <c r="AA25" s="21"/>
      <c r="AB25" s="19"/>
      <c r="AC25" s="21"/>
      <c r="AD25" s="19"/>
      <c r="AE25" s="21"/>
      <c r="AF25" s="19"/>
      <c r="AG25" s="21"/>
      <c r="AH25" s="19"/>
      <c r="AI25" s="21"/>
      <c r="AJ25" s="19"/>
      <c r="AK25" s="21"/>
      <c r="AL25" s="19"/>
      <c r="AM25" s="21"/>
      <c r="AN25" s="19"/>
      <c r="AO25" s="21"/>
      <c r="AP25" s="19"/>
      <c r="AQ25" s="21"/>
      <c r="AR25" s="19"/>
      <c r="AS25" s="21"/>
      <c r="AT25" s="19"/>
      <c r="AU25" s="21"/>
      <c r="AV25" s="19"/>
      <c r="AW25" s="21"/>
      <c r="AX25" s="19"/>
      <c r="AY25" s="21"/>
      <c r="AZ25" s="19"/>
      <c r="BA25" s="21"/>
      <c r="BB25" s="19"/>
      <c r="BC25" s="21"/>
      <c r="BD25" s="19"/>
      <c r="BE25" s="21"/>
      <c r="BF25" s="19"/>
      <c r="BG25" s="21"/>
      <c r="BH25" s="19"/>
    </row>
    <row r="26" spans="1:60" x14ac:dyDescent="0.15">
      <c r="A26" s="17">
        <v>1983</v>
      </c>
      <c r="B26" s="17">
        <v>3</v>
      </c>
      <c r="C26" s="21"/>
      <c r="D26" s="19"/>
      <c r="E26" s="21"/>
      <c r="F26" s="19"/>
      <c r="G26" s="21"/>
      <c r="H26" s="19"/>
      <c r="I26" s="21"/>
      <c r="J26" s="19"/>
      <c r="K26" s="21"/>
      <c r="L26" s="19"/>
      <c r="M26" s="21"/>
      <c r="N26" s="19"/>
      <c r="O26" s="21"/>
      <c r="P26" s="19"/>
      <c r="Q26" s="21"/>
      <c r="R26" s="19"/>
      <c r="S26" s="21"/>
      <c r="T26" s="19"/>
      <c r="U26" s="21"/>
      <c r="V26" s="19"/>
      <c r="W26" s="21"/>
      <c r="X26" s="19"/>
      <c r="Y26" s="21"/>
      <c r="Z26" s="19"/>
      <c r="AA26" s="21"/>
      <c r="AB26" s="19"/>
      <c r="AC26" s="21"/>
      <c r="AD26" s="19"/>
      <c r="AE26" s="21"/>
      <c r="AF26" s="19"/>
      <c r="AG26" s="21"/>
      <c r="AH26" s="19"/>
      <c r="AI26" s="21"/>
      <c r="AJ26" s="19"/>
      <c r="AK26" s="21"/>
      <c r="AL26" s="19"/>
      <c r="AM26" s="21"/>
      <c r="AN26" s="19"/>
      <c r="AO26" s="21"/>
      <c r="AP26" s="19"/>
      <c r="AQ26" s="21"/>
      <c r="AR26" s="19"/>
      <c r="AS26" s="21"/>
      <c r="AT26" s="19"/>
      <c r="AU26" s="21"/>
      <c r="AV26" s="19"/>
      <c r="AW26" s="21"/>
      <c r="AX26" s="19"/>
      <c r="AY26" s="21"/>
      <c r="AZ26" s="19"/>
      <c r="BA26" s="21"/>
      <c r="BB26" s="19"/>
      <c r="BC26" s="21"/>
      <c r="BD26" s="19"/>
      <c r="BE26" s="21"/>
      <c r="BF26" s="19"/>
      <c r="BG26" s="21"/>
      <c r="BH26" s="19"/>
    </row>
    <row r="27" spans="1:60" x14ac:dyDescent="0.15">
      <c r="A27" s="17">
        <v>1983</v>
      </c>
      <c r="B27" s="17">
        <v>4</v>
      </c>
      <c r="C27" s="21"/>
      <c r="D27" s="19"/>
      <c r="E27" s="21"/>
      <c r="F27" s="19"/>
      <c r="G27" s="21"/>
      <c r="H27" s="19"/>
      <c r="I27" s="21"/>
      <c r="J27" s="19"/>
      <c r="K27" s="21"/>
      <c r="L27" s="19"/>
      <c r="M27" s="21"/>
      <c r="N27" s="19"/>
      <c r="O27" s="21"/>
      <c r="P27" s="19"/>
      <c r="Q27" s="21"/>
      <c r="R27" s="19"/>
      <c r="S27" s="21"/>
      <c r="T27" s="19"/>
      <c r="U27" s="21"/>
      <c r="V27" s="19"/>
      <c r="W27" s="21"/>
      <c r="X27" s="19"/>
      <c r="Y27" s="21"/>
      <c r="Z27" s="19"/>
      <c r="AA27" s="21"/>
      <c r="AB27" s="19"/>
      <c r="AC27" s="21"/>
      <c r="AD27" s="19"/>
      <c r="AE27" s="21"/>
      <c r="AF27" s="19"/>
      <c r="AG27" s="21"/>
      <c r="AH27" s="19"/>
      <c r="AI27" s="21"/>
      <c r="AJ27" s="19"/>
      <c r="AK27" s="21"/>
      <c r="AL27" s="19"/>
      <c r="AM27" s="21"/>
      <c r="AN27" s="19"/>
      <c r="AO27" s="21"/>
      <c r="AP27" s="19"/>
      <c r="AQ27" s="21"/>
      <c r="AR27" s="19"/>
      <c r="AS27" s="21"/>
      <c r="AT27" s="19"/>
      <c r="AU27" s="21"/>
      <c r="AV27" s="19"/>
      <c r="AW27" s="21"/>
      <c r="AX27" s="19"/>
      <c r="AY27" s="21"/>
      <c r="AZ27" s="19"/>
      <c r="BA27" s="21"/>
      <c r="BB27" s="19"/>
      <c r="BC27" s="21"/>
      <c r="BD27" s="19"/>
      <c r="BE27" s="21"/>
      <c r="BF27" s="19"/>
      <c r="BG27" s="21"/>
      <c r="BH27" s="19"/>
    </row>
    <row r="28" spans="1:60" x14ac:dyDescent="0.15">
      <c r="A28" s="17">
        <v>1984</v>
      </c>
      <c r="B28" s="17">
        <v>1</v>
      </c>
      <c r="C28" s="21"/>
      <c r="D28" s="19"/>
      <c r="E28" s="21"/>
      <c r="F28" s="19"/>
      <c r="G28" s="21"/>
      <c r="H28" s="19"/>
      <c r="I28" s="21"/>
      <c r="J28" s="19"/>
      <c r="K28" s="21"/>
      <c r="L28" s="19"/>
      <c r="M28" s="21"/>
      <c r="N28" s="19"/>
      <c r="O28" s="21"/>
      <c r="P28" s="19"/>
      <c r="Q28" s="21"/>
      <c r="R28" s="19"/>
      <c r="S28" s="21"/>
      <c r="T28" s="19"/>
      <c r="U28" s="21"/>
      <c r="V28" s="19"/>
      <c r="W28" s="21"/>
      <c r="X28" s="19"/>
      <c r="Y28" s="21"/>
      <c r="Z28" s="19"/>
      <c r="AA28" s="21"/>
      <c r="AB28" s="19"/>
      <c r="AC28" s="21"/>
      <c r="AD28" s="19"/>
      <c r="AE28" s="21"/>
      <c r="AF28" s="19"/>
      <c r="AG28" s="21"/>
      <c r="AH28" s="19"/>
      <c r="AI28" s="21"/>
      <c r="AJ28" s="19"/>
      <c r="AK28" s="21"/>
      <c r="AL28" s="19"/>
      <c r="AM28" s="21"/>
      <c r="AN28" s="19"/>
      <c r="AO28" s="21"/>
      <c r="AP28" s="19"/>
      <c r="AQ28" s="21"/>
      <c r="AR28" s="19"/>
      <c r="AS28" s="21"/>
      <c r="AT28" s="19"/>
      <c r="AU28" s="21"/>
      <c r="AV28" s="19"/>
      <c r="AW28" s="21"/>
      <c r="AX28" s="19"/>
      <c r="AY28" s="21"/>
      <c r="AZ28" s="19"/>
      <c r="BA28" s="21"/>
      <c r="BB28" s="19"/>
      <c r="BC28" s="21"/>
      <c r="BD28" s="19"/>
      <c r="BE28" s="21"/>
      <c r="BF28" s="19"/>
      <c r="BG28" s="21"/>
      <c r="BH28" s="19"/>
    </row>
    <row r="29" spans="1:60" x14ac:dyDescent="0.15">
      <c r="A29" s="17">
        <v>1984</v>
      </c>
      <c r="B29" s="17">
        <v>2</v>
      </c>
      <c r="C29" s="21"/>
      <c r="D29" s="19"/>
      <c r="E29" s="21"/>
      <c r="F29" s="19"/>
      <c r="G29" s="21"/>
      <c r="H29" s="19"/>
      <c r="I29" s="21"/>
      <c r="J29" s="19"/>
      <c r="K29" s="21"/>
      <c r="L29" s="19"/>
      <c r="M29" s="21"/>
      <c r="N29" s="19"/>
      <c r="O29" s="21"/>
      <c r="P29" s="19"/>
      <c r="Q29" s="21"/>
      <c r="R29" s="19"/>
      <c r="S29" s="21"/>
      <c r="T29" s="19"/>
      <c r="U29" s="21"/>
      <c r="V29" s="19"/>
      <c r="W29" s="21"/>
      <c r="X29" s="19"/>
      <c r="Y29" s="21"/>
      <c r="Z29" s="19"/>
      <c r="AA29" s="21"/>
      <c r="AB29" s="19"/>
      <c r="AC29" s="21"/>
      <c r="AD29" s="19"/>
      <c r="AE29" s="21"/>
      <c r="AF29" s="19"/>
      <c r="AG29" s="21"/>
      <c r="AH29" s="19"/>
      <c r="AI29" s="21"/>
      <c r="AJ29" s="19"/>
      <c r="AK29" s="21"/>
      <c r="AL29" s="19"/>
      <c r="AM29" s="21"/>
      <c r="AN29" s="19"/>
      <c r="AO29" s="21"/>
      <c r="AP29" s="19"/>
      <c r="AQ29" s="21"/>
      <c r="AR29" s="19"/>
      <c r="AS29" s="21"/>
      <c r="AT29" s="19"/>
      <c r="AU29" s="21"/>
      <c r="AV29" s="19"/>
      <c r="AW29" s="21"/>
      <c r="AX29" s="19"/>
      <c r="AY29" s="21"/>
      <c r="AZ29" s="19"/>
      <c r="BA29" s="21"/>
      <c r="BB29" s="19"/>
      <c r="BC29" s="21"/>
      <c r="BD29" s="19"/>
      <c r="BE29" s="21"/>
      <c r="BF29" s="19"/>
      <c r="BG29" s="21"/>
      <c r="BH29" s="19"/>
    </row>
    <row r="30" spans="1:60" x14ac:dyDescent="0.15">
      <c r="A30" s="17">
        <v>1984</v>
      </c>
      <c r="B30" s="17">
        <v>3</v>
      </c>
      <c r="C30" s="21"/>
      <c r="D30" s="19"/>
      <c r="E30" s="21"/>
      <c r="F30" s="19"/>
      <c r="G30" s="21"/>
      <c r="H30" s="19"/>
      <c r="I30" s="21"/>
      <c r="J30" s="19"/>
      <c r="K30" s="21"/>
      <c r="L30" s="19"/>
      <c r="M30" s="21"/>
      <c r="N30" s="19"/>
      <c r="O30" s="21"/>
      <c r="P30" s="19"/>
      <c r="Q30" s="21"/>
      <c r="R30" s="19"/>
      <c r="S30" s="21"/>
      <c r="T30" s="19"/>
      <c r="U30" s="21"/>
      <c r="V30" s="19"/>
      <c r="W30" s="21"/>
      <c r="X30" s="19"/>
      <c r="Y30" s="21"/>
      <c r="Z30" s="19"/>
      <c r="AA30" s="21"/>
      <c r="AB30" s="19"/>
      <c r="AC30" s="21"/>
      <c r="AD30" s="19"/>
      <c r="AE30" s="21"/>
      <c r="AF30" s="19"/>
      <c r="AG30" s="21"/>
      <c r="AH30" s="19"/>
      <c r="AI30" s="21"/>
      <c r="AJ30" s="19"/>
      <c r="AK30" s="21"/>
      <c r="AL30" s="19"/>
      <c r="AM30" s="21"/>
      <c r="AN30" s="19"/>
      <c r="AO30" s="21"/>
      <c r="AP30" s="19"/>
      <c r="AQ30" s="21"/>
      <c r="AR30" s="19"/>
      <c r="AS30" s="21"/>
      <c r="AT30" s="19"/>
      <c r="AU30" s="21"/>
      <c r="AV30" s="19"/>
      <c r="AW30" s="21"/>
      <c r="AX30" s="19"/>
      <c r="AY30" s="21"/>
      <c r="AZ30" s="19"/>
      <c r="BA30" s="21"/>
      <c r="BB30" s="19"/>
      <c r="BC30" s="21"/>
      <c r="BD30" s="19"/>
      <c r="BE30" s="21"/>
      <c r="BF30" s="19"/>
      <c r="BG30" s="21"/>
      <c r="BH30" s="19"/>
    </row>
    <row r="31" spans="1:60" x14ac:dyDescent="0.15">
      <c r="A31" s="17">
        <v>1984</v>
      </c>
      <c r="B31" s="17">
        <v>4</v>
      </c>
      <c r="C31" s="21"/>
      <c r="D31" s="19"/>
      <c r="E31" s="21"/>
      <c r="F31" s="19"/>
      <c r="G31" s="21"/>
      <c r="H31" s="19"/>
      <c r="I31" s="21"/>
      <c r="J31" s="19"/>
      <c r="K31" s="21"/>
      <c r="L31" s="19"/>
      <c r="M31" s="21"/>
      <c r="N31" s="19"/>
      <c r="O31" s="21"/>
      <c r="P31" s="19"/>
      <c r="Q31" s="21"/>
      <c r="R31" s="19"/>
      <c r="S31" s="21"/>
      <c r="T31" s="19"/>
      <c r="U31" s="21"/>
      <c r="V31" s="19"/>
      <c r="W31" s="21"/>
      <c r="X31" s="19"/>
      <c r="Y31" s="21"/>
      <c r="Z31" s="19"/>
      <c r="AA31" s="21"/>
      <c r="AB31" s="19"/>
      <c r="AC31" s="21"/>
      <c r="AD31" s="19"/>
      <c r="AE31" s="21"/>
      <c r="AF31" s="19"/>
      <c r="AG31" s="21"/>
      <c r="AH31" s="19"/>
      <c r="AI31" s="21"/>
      <c r="AJ31" s="19"/>
      <c r="AK31" s="21"/>
      <c r="AL31" s="19"/>
      <c r="AM31" s="21"/>
      <c r="AN31" s="19"/>
      <c r="AO31" s="21"/>
      <c r="AP31" s="19"/>
      <c r="AQ31" s="21"/>
      <c r="AR31" s="19"/>
      <c r="AS31" s="21"/>
      <c r="AT31" s="19"/>
      <c r="AU31" s="21"/>
      <c r="AV31" s="19"/>
      <c r="AW31" s="21"/>
      <c r="AX31" s="19"/>
      <c r="AY31" s="21"/>
      <c r="AZ31" s="19"/>
      <c r="BA31" s="21"/>
      <c r="BB31" s="19"/>
      <c r="BC31" s="21"/>
      <c r="BD31" s="19"/>
      <c r="BE31" s="21"/>
      <c r="BF31" s="19"/>
      <c r="BG31" s="21"/>
      <c r="BH31" s="19"/>
    </row>
    <row r="32" spans="1:60" x14ac:dyDescent="0.15">
      <c r="A32" s="17">
        <v>1985</v>
      </c>
      <c r="B32" s="17">
        <v>1</v>
      </c>
      <c r="C32" s="21"/>
      <c r="D32" s="19"/>
      <c r="E32" s="21"/>
      <c r="F32" s="19"/>
      <c r="G32" s="21"/>
      <c r="H32" s="19"/>
      <c r="I32" s="21"/>
      <c r="J32" s="19"/>
      <c r="K32" s="21"/>
      <c r="L32" s="19"/>
      <c r="M32" s="21"/>
      <c r="N32" s="19"/>
      <c r="O32" s="21"/>
      <c r="P32" s="19"/>
      <c r="Q32" s="21"/>
      <c r="R32" s="19"/>
      <c r="S32" s="21"/>
      <c r="T32" s="19"/>
      <c r="U32" s="21"/>
      <c r="V32" s="19"/>
      <c r="W32" s="21"/>
      <c r="X32" s="19"/>
      <c r="Y32" s="21"/>
      <c r="Z32" s="19"/>
      <c r="AA32" s="21"/>
      <c r="AB32" s="19"/>
      <c r="AC32" s="21"/>
      <c r="AD32" s="19"/>
      <c r="AE32" s="21"/>
      <c r="AF32" s="19"/>
      <c r="AG32" s="21"/>
      <c r="AH32" s="19"/>
      <c r="AI32" s="21"/>
      <c r="AJ32" s="19"/>
      <c r="AK32" s="21"/>
      <c r="AL32" s="19"/>
      <c r="AM32" s="21"/>
      <c r="AN32" s="19"/>
      <c r="AO32" s="21"/>
      <c r="AP32" s="19"/>
      <c r="AQ32" s="21"/>
      <c r="AR32" s="19"/>
      <c r="AS32" s="21"/>
      <c r="AT32" s="19"/>
      <c r="AU32" s="21"/>
      <c r="AV32" s="19"/>
      <c r="AW32" s="21"/>
      <c r="AX32" s="19"/>
      <c r="AY32" s="21"/>
      <c r="AZ32" s="19"/>
      <c r="BA32" s="21"/>
      <c r="BB32" s="19"/>
      <c r="BC32" s="21"/>
      <c r="BD32" s="19"/>
      <c r="BE32" s="21"/>
      <c r="BF32" s="19"/>
      <c r="BG32" s="21"/>
      <c r="BH32" s="19"/>
    </row>
    <row r="33" spans="1:60" x14ac:dyDescent="0.15">
      <c r="A33" s="17">
        <v>1985</v>
      </c>
      <c r="B33" s="17">
        <v>2</v>
      </c>
      <c r="C33" s="21"/>
      <c r="D33" s="19"/>
      <c r="E33" s="21"/>
      <c r="F33" s="19"/>
      <c r="G33" s="21"/>
      <c r="H33" s="19"/>
      <c r="I33" s="21"/>
      <c r="J33" s="19"/>
      <c r="K33" s="21"/>
      <c r="L33" s="19"/>
      <c r="M33" s="21"/>
      <c r="N33" s="19"/>
      <c r="O33" s="21"/>
      <c r="P33" s="19"/>
      <c r="Q33" s="21"/>
      <c r="R33" s="19"/>
      <c r="S33" s="21"/>
      <c r="T33" s="19"/>
      <c r="U33" s="21"/>
      <c r="V33" s="19"/>
      <c r="W33" s="21"/>
      <c r="X33" s="19"/>
      <c r="Y33" s="21"/>
      <c r="Z33" s="19"/>
      <c r="AA33" s="21"/>
      <c r="AB33" s="19"/>
      <c r="AC33" s="21"/>
      <c r="AD33" s="19"/>
      <c r="AE33" s="21"/>
      <c r="AF33" s="19"/>
      <c r="AG33" s="21"/>
      <c r="AH33" s="19"/>
      <c r="AI33" s="21"/>
      <c r="AJ33" s="19"/>
      <c r="AK33" s="21"/>
      <c r="AL33" s="19"/>
      <c r="AM33" s="21"/>
      <c r="AN33" s="19"/>
      <c r="AO33" s="21"/>
      <c r="AP33" s="19"/>
      <c r="AQ33" s="21"/>
      <c r="AR33" s="19"/>
      <c r="AS33" s="21"/>
      <c r="AT33" s="19"/>
      <c r="AU33" s="21"/>
      <c r="AV33" s="19"/>
      <c r="AW33" s="21"/>
      <c r="AX33" s="19"/>
      <c r="AY33" s="21"/>
      <c r="AZ33" s="19"/>
      <c r="BA33" s="21"/>
      <c r="BB33" s="19"/>
      <c r="BC33" s="21"/>
      <c r="BD33" s="19"/>
      <c r="BE33" s="21"/>
      <c r="BF33" s="19"/>
      <c r="BG33" s="21"/>
      <c r="BH33" s="19"/>
    </row>
    <row r="34" spans="1:60" x14ac:dyDescent="0.15">
      <c r="A34" s="17">
        <v>1985</v>
      </c>
      <c r="B34" s="17">
        <v>3</v>
      </c>
      <c r="C34" s="21"/>
      <c r="D34" s="19"/>
      <c r="E34" s="21"/>
      <c r="F34" s="19"/>
      <c r="G34" s="21"/>
      <c r="H34" s="19"/>
      <c r="I34" s="21"/>
      <c r="J34" s="19"/>
      <c r="K34" s="21"/>
      <c r="L34" s="19"/>
      <c r="M34" s="21"/>
      <c r="N34" s="19"/>
      <c r="O34" s="21"/>
      <c r="P34" s="19"/>
      <c r="Q34" s="21"/>
      <c r="R34" s="19"/>
      <c r="S34" s="21"/>
      <c r="T34" s="19"/>
      <c r="U34" s="21"/>
      <c r="V34" s="19"/>
      <c r="W34" s="21"/>
      <c r="X34" s="19"/>
      <c r="Y34" s="21"/>
      <c r="Z34" s="19"/>
      <c r="AA34" s="21"/>
      <c r="AB34" s="19"/>
      <c r="AC34" s="21"/>
      <c r="AD34" s="19"/>
      <c r="AE34" s="21"/>
      <c r="AF34" s="19"/>
      <c r="AG34" s="21"/>
      <c r="AH34" s="19"/>
      <c r="AI34" s="21"/>
      <c r="AJ34" s="19"/>
      <c r="AK34" s="21"/>
      <c r="AL34" s="19"/>
      <c r="AM34" s="21"/>
      <c r="AN34" s="19"/>
      <c r="AO34" s="21"/>
      <c r="AP34" s="19"/>
      <c r="AQ34" s="21"/>
      <c r="AR34" s="19"/>
      <c r="AS34" s="21"/>
      <c r="AT34" s="19"/>
      <c r="AU34" s="21"/>
      <c r="AV34" s="19"/>
      <c r="AW34" s="21"/>
      <c r="AX34" s="19"/>
      <c r="AY34" s="21"/>
      <c r="AZ34" s="19"/>
      <c r="BA34" s="21"/>
      <c r="BB34" s="19"/>
      <c r="BC34" s="21"/>
      <c r="BD34" s="19"/>
      <c r="BE34" s="21"/>
      <c r="BF34" s="19"/>
      <c r="BG34" s="21"/>
      <c r="BH34" s="19"/>
    </row>
    <row r="35" spans="1:60" x14ac:dyDescent="0.15">
      <c r="A35" s="17">
        <v>1985</v>
      </c>
      <c r="B35" s="17">
        <v>4</v>
      </c>
      <c r="C35" s="21"/>
      <c r="D35" s="19"/>
      <c r="E35" s="21"/>
      <c r="F35" s="19"/>
      <c r="G35" s="21"/>
      <c r="H35" s="19"/>
      <c r="I35" s="21"/>
      <c r="J35" s="19"/>
      <c r="K35" s="21"/>
      <c r="L35" s="19"/>
      <c r="M35" s="21"/>
      <c r="N35" s="19"/>
      <c r="O35" s="21"/>
      <c r="P35" s="19"/>
      <c r="Q35" s="21"/>
      <c r="R35" s="19"/>
      <c r="S35" s="21"/>
      <c r="T35" s="19"/>
      <c r="U35" s="21"/>
      <c r="V35" s="19"/>
      <c r="W35" s="21"/>
      <c r="X35" s="19"/>
      <c r="Y35" s="21"/>
      <c r="Z35" s="19"/>
      <c r="AA35" s="21"/>
      <c r="AB35" s="19"/>
      <c r="AC35" s="21"/>
      <c r="AD35" s="19"/>
      <c r="AE35" s="21"/>
      <c r="AF35" s="19"/>
      <c r="AG35" s="21"/>
      <c r="AH35" s="19"/>
      <c r="AI35" s="21"/>
      <c r="AJ35" s="19"/>
      <c r="AK35" s="21"/>
      <c r="AL35" s="19"/>
      <c r="AM35" s="21"/>
      <c r="AN35" s="19"/>
      <c r="AO35" s="21"/>
      <c r="AP35" s="19"/>
      <c r="AQ35" s="21"/>
      <c r="AR35" s="19"/>
      <c r="AS35" s="21"/>
      <c r="AT35" s="19"/>
      <c r="AU35" s="21"/>
      <c r="AV35" s="19"/>
      <c r="AW35" s="21"/>
      <c r="AX35" s="19"/>
      <c r="AY35" s="21"/>
      <c r="AZ35" s="19"/>
      <c r="BA35" s="21"/>
      <c r="BB35" s="19"/>
      <c r="BC35" s="21"/>
      <c r="BD35" s="19"/>
      <c r="BE35" s="21"/>
      <c r="BF35" s="19"/>
      <c r="BG35" s="21"/>
      <c r="BH35" s="19"/>
    </row>
    <row r="36" spans="1:60" x14ac:dyDescent="0.15">
      <c r="A36" s="17">
        <v>1986</v>
      </c>
      <c r="B36" s="17">
        <v>1</v>
      </c>
      <c r="C36" s="21"/>
      <c r="D36" s="19"/>
      <c r="E36" s="21"/>
      <c r="F36" s="19"/>
      <c r="G36" s="21"/>
      <c r="H36" s="19"/>
      <c r="I36" s="21"/>
      <c r="J36" s="19"/>
      <c r="K36" s="21"/>
      <c r="L36" s="19"/>
      <c r="M36" s="21"/>
      <c r="N36" s="19"/>
      <c r="O36" s="21"/>
      <c r="P36" s="19"/>
      <c r="Q36" s="21"/>
      <c r="R36" s="19"/>
      <c r="S36" s="21"/>
      <c r="T36" s="19"/>
      <c r="U36" s="21"/>
      <c r="V36" s="19"/>
      <c r="W36" s="21"/>
      <c r="X36" s="19"/>
      <c r="Y36" s="21"/>
      <c r="Z36" s="19"/>
      <c r="AA36" s="21"/>
      <c r="AB36" s="19"/>
      <c r="AC36" s="21"/>
      <c r="AD36" s="19"/>
      <c r="AE36" s="21"/>
      <c r="AF36" s="19"/>
      <c r="AG36" s="21"/>
      <c r="AH36" s="19"/>
      <c r="AI36" s="21"/>
      <c r="AJ36" s="19"/>
      <c r="AK36" s="21"/>
      <c r="AL36" s="19"/>
      <c r="AM36" s="21"/>
      <c r="AN36" s="19"/>
      <c r="AO36" s="21"/>
      <c r="AP36" s="19"/>
      <c r="AQ36" s="21"/>
      <c r="AR36" s="19"/>
      <c r="AS36" s="21"/>
      <c r="AT36" s="19"/>
      <c r="AU36" s="21"/>
      <c r="AV36" s="19"/>
      <c r="AW36" s="21"/>
      <c r="AX36" s="19"/>
      <c r="AY36" s="21"/>
      <c r="AZ36" s="19"/>
      <c r="BA36" s="21"/>
      <c r="BB36" s="19"/>
      <c r="BC36" s="21"/>
      <c r="BD36" s="19"/>
      <c r="BE36" s="21"/>
      <c r="BF36" s="19"/>
      <c r="BG36" s="21"/>
      <c r="BH36" s="19"/>
    </row>
    <row r="37" spans="1:60" x14ac:dyDescent="0.15">
      <c r="A37" s="17">
        <v>1986</v>
      </c>
      <c r="B37" s="17">
        <v>2</v>
      </c>
      <c r="C37" s="21"/>
      <c r="D37" s="19"/>
      <c r="E37" s="21"/>
      <c r="F37" s="19"/>
      <c r="G37" s="21"/>
      <c r="H37" s="19"/>
      <c r="I37" s="21"/>
      <c r="J37" s="19"/>
      <c r="K37" s="21"/>
      <c r="L37" s="19"/>
      <c r="M37" s="21"/>
      <c r="N37" s="19"/>
      <c r="O37" s="21"/>
      <c r="P37" s="19"/>
      <c r="Q37" s="21"/>
      <c r="R37" s="19"/>
      <c r="S37" s="21"/>
      <c r="T37" s="19"/>
      <c r="U37" s="21"/>
      <c r="V37" s="19"/>
      <c r="W37" s="21"/>
      <c r="X37" s="19"/>
      <c r="Y37" s="21"/>
      <c r="Z37" s="19"/>
      <c r="AA37" s="21"/>
      <c r="AB37" s="19"/>
      <c r="AC37" s="21"/>
      <c r="AD37" s="19"/>
      <c r="AE37" s="21"/>
      <c r="AF37" s="19"/>
      <c r="AG37" s="21"/>
      <c r="AH37" s="19"/>
      <c r="AI37" s="21"/>
      <c r="AJ37" s="19"/>
      <c r="AK37" s="21"/>
      <c r="AL37" s="19"/>
      <c r="AM37" s="21"/>
      <c r="AN37" s="19"/>
      <c r="AO37" s="21"/>
      <c r="AP37" s="19"/>
      <c r="AQ37" s="21"/>
      <c r="AR37" s="19"/>
      <c r="AS37" s="21"/>
      <c r="AT37" s="19"/>
      <c r="AU37" s="21"/>
      <c r="AV37" s="19"/>
      <c r="AW37" s="21"/>
      <c r="AX37" s="19"/>
      <c r="AY37" s="21"/>
      <c r="AZ37" s="19"/>
      <c r="BA37" s="21"/>
      <c r="BB37" s="19"/>
      <c r="BC37" s="21"/>
      <c r="BD37" s="19"/>
      <c r="BE37" s="21"/>
      <c r="BF37" s="19"/>
      <c r="BG37" s="21"/>
      <c r="BH37" s="19"/>
    </row>
    <row r="38" spans="1:60" x14ac:dyDescent="0.15">
      <c r="A38" s="17">
        <v>1986</v>
      </c>
      <c r="B38" s="17">
        <v>3</v>
      </c>
      <c r="C38" s="21"/>
      <c r="D38" s="19"/>
      <c r="E38" s="21"/>
      <c r="F38" s="19"/>
      <c r="G38" s="21"/>
      <c r="H38" s="19"/>
      <c r="I38" s="21"/>
      <c r="J38" s="19"/>
      <c r="K38" s="21"/>
      <c r="L38" s="19"/>
      <c r="M38" s="21"/>
      <c r="N38" s="19"/>
      <c r="O38" s="21"/>
      <c r="P38" s="19"/>
      <c r="Q38" s="21"/>
      <c r="R38" s="19"/>
      <c r="S38" s="21"/>
      <c r="T38" s="19"/>
      <c r="U38" s="21"/>
      <c r="V38" s="19"/>
      <c r="W38" s="21"/>
      <c r="X38" s="19"/>
      <c r="Y38" s="21"/>
      <c r="Z38" s="19"/>
      <c r="AA38" s="21"/>
      <c r="AB38" s="19"/>
      <c r="AC38" s="21"/>
      <c r="AD38" s="19"/>
      <c r="AE38" s="21"/>
      <c r="AF38" s="19"/>
      <c r="AG38" s="21"/>
      <c r="AH38" s="19"/>
      <c r="AI38" s="21"/>
      <c r="AJ38" s="19"/>
      <c r="AK38" s="21"/>
      <c r="AL38" s="19"/>
      <c r="AM38" s="21"/>
      <c r="AN38" s="19"/>
      <c r="AO38" s="21"/>
      <c r="AP38" s="19"/>
      <c r="AQ38" s="21"/>
      <c r="AR38" s="19"/>
      <c r="AS38" s="21"/>
      <c r="AT38" s="19"/>
      <c r="AU38" s="21"/>
      <c r="AV38" s="19"/>
      <c r="AW38" s="21"/>
      <c r="AX38" s="19"/>
      <c r="AY38" s="21"/>
      <c r="AZ38" s="19"/>
      <c r="BA38" s="21"/>
      <c r="BB38" s="19"/>
      <c r="BC38" s="21"/>
      <c r="BD38" s="19"/>
      <c r="BE38" s="21"/>
      <c r="BF38" s="19"/>
      <c r="BG38" s="21"/>
      <c r="BH38" s="19"/>
    </row>
    <row r="39" spans="1:60" x14ac:dyDescent="0.15">
      <c r="A39" s="17">
        <v>1986</v>
      </c>
      <c r="B39" s="17">
        <v>4</v>
      </c>
      <c r="C39" s="21"/>
      <c r="D39" s="19"/>
      <c r="E39" s="21"/>
      <c r="F39" s="19"/>
      <c r="G39" s="21"/>
      <c r="H39" s="19"/>
      <c r="I39" s="21"/>
      <c r="J39" s="19"/>
      <c r="K39" s="21"/>
      <c r="L39" s="19"/>
      <c r="M39" s="21"/>
      <c r="N39" s="19"/>
      <c r="O39" s="21"/>
      <c r="P39" s="19"/>
      <c r="Q39" s="21"/>
      <c r="R39" s="19"/>
      <c r="S39" s="21"/>
      <c r="T39" s="19"/>
      <c r="U39" s="21"/>
      <c r="V39" s="19"/>
      <c r="W39" s="21"/>
      <c r="X39" s="19"/>
      <c r="Y39" s="21"/>
      <c r="Z39" s="19"/>
      <c r="AA39" s="21"/>
      <c r="AB39" s="19"/>
      <c r="AC39" s="21"/>
      <c r="AD39" s="19"/>
      <c r="AE39" s="21"/>
      <c r="AF39" s="19"/>
      <c r="AG39" s="21"/>
      <c r="AH39" s="19"/>
      <c r="AI39" s="21"/>
      <c r="AJ39" s="19"/>
      <c r="AK39" s="21"/>
      <c r="AL39" s="19"/>
      <c r="AM39" s="21"/>
      <c r="AN39" s="19"/>
      <c r="AO39" s="21"/>
      <c r="AP39" s="19"/>
      <c r="AQ39" s="21"/>
      <c r="AR39" s="19"/>
      <c r="AS39" s="21"/>
      <c r="AT39" s="19"/>
      <c r="AU39" s="21"/>
      <c r="AV39" s="19"/>
      <c r="AW39" s="21"/>
      <c r="AX39" s="19"/>
      <c r="AY39" s="21"/>
      <c r="AZ39" s="19"/>
      <c r="BA39" s="21"/>
      <c r="BB39" s="19"/>
      <c r="BC39" s="21"/>
      <c r="BD39" s="19"/>
      <c r="BE39" s="21"/>
      <c r="BF39" s="19"/>
      <c r="BG39" s="21"/>
      <c r="BH39" s="19"/>
    </row>
    <row r="40" spans="1:60" x14ac:dyDescent="0.15">
      <c r="A40" s="17">
        <v>1987</v>
      </c>
      <c r="B40" s="17">
        <v>1</v>
      </c>
      <c r="C40" s="21"/>
      <c r="D40" s="19"/>
      <c r="E40" s="21"/>
      <c r="F40" s="19"/>
      <c r="G40" s="21"/>
      <c r="H40" s="19"/>
      <c r="I40" s="21"/>
      <c r="J40" s="19"/>
      <c r="K40" s="21"/>
      <c r="L40" s="19"/>
      <c r="M40" s="21"/>
      <c r="N40" s="19"/>
      <c r="O40" s="21"/>
      <c r="P40" s="19"/>
      <c r="Q40" s="21"/>
      <c r="R40" s="19"/>
      <c r="S40" s="21"/>
      <c r="T40" s="19"/>
      <c r="U40" s="21"/>
      <c r="V40" s="19"/>
      <c r="W40" s="21"/>
      <c r="X40" s="19"/>
      <c r="Y40" s="21"/>
      <c r="Z40" s="19"/>
      <c r="AA40" s="21"/>
      <c r="AB40" s="19"/>
      <c r="AC40" s="21"/>
      <c r="AD40" s="19"/>
      <c r="AE40" s="21"/>
      <c r="AF40" s="19"/>
      <c r="AG40" s="21"/>
      <c r="AH40" s="19"/>
      <c r="AI40" s="21"/>
      <c r="AJ40" s="19"/>
      <c r="AK40" s="21"/>
      <c r="AL40" s="19"/>
      <c r="AM40" s="21"/>
      <c r="AN40" s="19"/>
      <c r="AO40" s="21"/>
      <c r="AP40" s="19"/>
      <c r="AQ40" s="21"/>
      <c r="AR40" s="19"/>
      <c r="AS40" s="21"/>
      <c r="AT40" s="19"/>
      <c r="AU40" s="21"/>
      <c r="AV40" s="19"/>
      <c r="AW40" s="21"/>
      <c r="AX40" s="19"/>
      <c r="AY40" s="21"/>
      <c r="AZ40" s="19"/>
      <c r="BA40" s="21"/>
      <c r="BB40" s="19"/>
      <c r="BC40" s="21"/>
      <c r="BD40" s="19"/>
      <c r="BE40" s="21"/>
      <c r="BF40" s="19"/>
      <c r="BG40" s="21"/>
      <c r="BH40" s="19"/>
    </row>
    <row r="41" spans="1:60" x14ac:dyDescent="0.15">
      <c r="A41" s="17">
        <v>1987</v>
      </c>
      <c r="B41" s="17">
        <v>2</v>
      </c>
      <c r="C41" s="21"/>
      <c r="D41" s="19"/>
      <c r="E41" s="21"/>
      <c r="F41" s="19"/>
      <c r="G41" s="21"/>
      <c r="H41" s="19"/>
      <c r="I41" s="21"/>
      <c r="J41" s="19"/>
      <c r="K41" s="21"/>
      <c r="L41" s="19"/>
      <c r="M41" s="21"/>
      <c r="N41" s="19"/>
      <c r="O41" s="21"/>
      <c r="P41" s="19"/>
      <c r="Q41" s="21"/>
      <c r="R41" s="19"/>
      <c r="S41" s="21"/>
      <c r="T41" s="19"/>
      <c r="U41" s="21"/>
      <c r="V41" s="19"/>
      <c r="W41" s="21"/>
      <c r="X41" s="19"/>
      <c r="Y41" s="21"/>
      <c r="Z41" s="19"/>
      <c r="AA41" s="21"/>
      <c r="AB41" s="19"/>
      <c r="AC41" s="21"/>
      <c r="AD41" s="19"/>
      <c r="AE41" s="21"/>
      <c r="AF41" s="19"/>
      <c r="AG41" s="21"/>
      <c r="AH41" s="19"/>
      <c r="AI41" s="21"/>
      <c r="AJ41" s="19"/>
      <c r="AK41" s="21"/>
      <c r="AL41" s="19"/>
      <c r="AM41" s="21"/>
      <c r="AN41" s="19"/>
      <c r="AO41" s="21"/>
      <c r="AP41" s="19"/>
      <c r="AQ41" s="21"/>
      <c r="AR41" s="19"/>
      <c r="AS41" s="21"/>
      <c r="AT41" s="19"/>
      <c r="AU41" s="21"/>
      <c r="AV41" s="19"/>
      <c r="AW41" s="21"/>
      <c r="AX41" s="19"/>
      <c r="AY41" s="21"/>
      <c r="AZ41" s="19"/>
      <c r="BA41" s="21"/>
      <c r="BB41" s="19"/>
      <c r="BC41" s="21"/>
      <c r="BD41" s="19"/>
      <c r="BE41" s="21"/>
      <c r="BF41" s="19"/>
      <c r="BG41" s="21"/>
      <c r="BH41" s="19"/>
    </row>
    <row r="42" spans="1:60" x14ac:dyDescent="0.15">
      <c r="A42" s="17">
        <v>1987</v>
      </c>
      <c r="B42" s="17">
        <v>3</v>
      </c>
      <c r="C42" s="21"/>
      <c r="D42" s="19"/>
      <c r="E42" s="21"/>
      <c r="F42" s="19"/>
      <c r="G42" s="21"/>
      <c r="H42" s="19"/>
      <c r="I42" s="21"/>
      <c r="J42" s="19"/>
      <c r="K42" s="21"/>
      <c r="L42" s="19"/>
      <c r="M42" s="21"/>
      <c r="N42" s="19"/>
      <c r="O42" s="21"/>
      <c r="P42" s="19"/>
      <c r="Q42" s="21"/>
      <c r="R42" s="19"/>
      <c r="S42" s="21"/>
      <c r="T42" s="19"/>
      <c r="U42" s="21"/>
      <c r="V42" s="19"/>
      <c r="W42" s="21"/>
      <c r="X42" s="19"/>
      <c r="Y42" s="21"/>
      <c r="Z42" s="19"/>
      <c r="AA42" s="21"/>
      <c r="AB42" s="19"/>
      <c r="AC42" s="21"/>
      <c r="AD42" s="19"/>
      <c r="AE42" s="21"/>
      <c r="AF42" s="19"/>
      <c r="AG42" s="21"/>
      <c r="AH42" s="19"/>
      <c r="AI42" s="21"/>
      <c r="AJ42" s="19"/>
      <c r="AK42" s="21"/>
      <c r="AL42" s="19"/>
      <c r="AM42" s="21"/>
      <c r="AN42" s="19"/>
      <c r="AO42" s="21"/>
      <c r="AP42" s="19"/>
      <c r="AQ42" s="21"/>
      <c r="AR42" s="19"/>
      <c r="AS42" s="21"/>
      <c r="AT42" s="19"/>
      <c r="AU42" s="21"/>
      <c r="AV42" s="19"/>
      <c r="AW42" s="21"/>
      <c r="AX42" s="19"/>
      <c r="AY42" s="21"/>
      <c r="AZ42" s="19"/>
      <c r="BA42" s="21"/>
      <c r="BB42" s="19"/>
      <c r="BC42" s="21"/>
      <c r="BD42" s="19"/>
      <c r="BE42" s="21"/>
      <c r="BF42" s="19"/>
      <c r="BG42" s="21"/>
      <c r="BH42" s="19"/>
    </row>
    <row r="43" spans="1:60" x14ac:dyDescent="0.15">
      <c r="A43" s="17">
        <v>1987</v>
      </c>
      <c r="B43" s="17">
        <v>4</v>
      </c>
      <c r="C43" s="21"/>
      <c r="D43" s="19"/>
      <c r="E43" s="21"/>
      <c r="F43" s="19"/>
      <c r="G43" s="21"/>
      <c r="H43" s="19"/>
      <c r="I43" s="21"/>
      <c r="J43" s="19"/>
      <c r="K43" s="21"/>
      <c r="L43" s="19"/>
      <c r="M43" s="21"/>
      <c r="N43" s="19"/>
      <c r="O43" s="21"/>
      <c r="P43" s="19"/>
      <c r="Q43" s="21"/>
      <c r="R43" s="19"/>
      <c r="S43" s="21"/>
      <c r="T43" s="19"/>
      <c r="U43" s="21"/>
      <c r="V43" s="19"/>
      <c r="W43" s="21"/>
      <c r="X43" s="19"/>
      <c r="Y43" s="21"/>
      <c r="Z43" s="19"/>
      <c r="AA43" s="21"/>
      <c r="AB43" s="19"/>
      <c r="AC43" s="21"/>
      <c r="AD43" s="19"/>
      <c r="AE43" s="21"/>
      <c r="AF43" s="19"/>
      <c r="AG43" s="21"/>
      <c r="AH43" s="19"/>
      <c r="AI43" s="21"/>
      <c r="AJ43" s="19"/>
      <c r="AK43" s="21"/>
      <c r="AL43" s="19"/>
      <c r="AM43" s="21"/>
      <c r="AN43" s="19"/>
      <c r="AO43" s="21"/>
      <c r="AP43" s="19"/>
      <c r="AQ43" s="21"/>
      <c r="AR43" s="19"/>
      <c r="AS43" s="21"/>
      <c r="AT43" s="19"/>
      <c r="AU43" s="21"/>
      <c r="AV43" s="19"/>
      <c r="AW43" s="21"/>
      <c r="AX43" s="19"/>
      <c r="AY43" s="21"/>
      <c r="AZ43" s="19"/>
      <c r="BA43" s="21"/>
      <c r="BB43" s="19"/>
      <c r="BC43" s="21"/>
      <c r="BD43" s="19"/>
      <c r="BE43" s="21"/>
      <c r="BF43" s="19"/>
      <c r="BG43" s="21"/>
      <c r="BH43" s="19"/>
    </row>
    <row r="44" spans="1:60" x14ac:dyDescent="0.15">
      <c r="A44" s="17">
        <v>1988</v>
      </c>
      <c r="B44" s="17">
        <v>1</v>
      </c>
      <c r="C44" s="21"/>
      <c r="D44" s="19"/>
      <c r="E44" s="21"/>
      <c r="F44" s="19"/>
      <c r="G44" s="21"/>
      <c r="H44" s="19"/>
      <c r="I44" s="21"/>
      <c r="J44" s="19"/>
      <c r="K44" s="21"/>
      <c r="L44" s="19"/>
      <c r="M44" s="21"/>
      <c r="N44" s="19"/>
      <c r="O44" s="21"/>
      <c r="P44" s="19"/>
      <c r="Q44" s="21"/>
      <c r="R44" s="19"/>
      <c r="S44" s="21"/>
      <c r="T44" s="19"/>
      <c r="U44" s="21"/>
      <c r="V44" s="19"/>
      <c r="W44" s="21"/>
      <c r="X44" s="19"/>
      <c r="Y44" s="21"/>
      <c r="Z44" s="19"/>
      <c r="AA44" s="21"/>
      <c r="AB44" s="19"/>
      <c r="AC44" s="21"/>
      <c r="AD44" s="19"/>
      <c r="AE44" s="21"/>
      <c r="AF44" s="19"/>
      <c r="AG44" s="21"/>
      <c r="AH44" s="19"/>
      <c r="AI44" s="21"/>
      <c r="AJ44" s="19"/>
      <c r="AK44" s="21"/>
      <c r="AL44" s="19"/>
      <c r="AM44" s="21"/>
      <c r="AN44" s="19"/>
      <c r="AO44" s="21"/>
      <c r="AP44" s="19"/>
      <c r="AQ44" s="21"/>
      <c r="AR44" s="19"/>
      <c r="AS44" s="21"/>
      <c r="AT44" s="19"/>
      <c r="AU44" s="21"/>
      <c r="AV44" s="19"/>
      <c r="AW44" s="21"/>
      <c r="AX44" s="19"/>
      <c r="AY44" s="21"/>
      <c r="AZ44" s="19"/>
      <c r="BA44" s="21"/>
      <c r="BB44" s="19"/>
      <c r="BC44" s="21"/>
      <c r="BD44" s="19"/>
      <c r="BE44" s="21"/>
      <c r="BF44" s="19"/>
      <c r="BG44" s="21"/>
      <c r="BH44" s="19"/>
    </row>
    <row r="45" spans="1:60" x14ac:dyDescent="0.15">
      <c r="A45" s="17">
        <v>1988</v>
      </c>
      <c r="B45" s="17">
        <v>2</v>
      </c>
      <c r="C45" s="21"/>
      <c r="D45" s="19"/>
      <c r="E45" s="21"/>
      <c r="F45" s="19"/>
      <c r="G45" s="21"/>
      <c r="H45" s="19"/>
      <c r="I45" s="21"/>
      <c r="J45" s="19"/>
      <c r="K45" s="21"/>
      <c r="L45" s="19"/>
      <c r="M45" s="21"/>
      <c r="N45" s="19"/>
      <c r="O45" s="21"/>
      <c r="P45" s="19"/>
      <c r="Q45" s="21"/>
      <c r="R45" s="19"/>
      <c r="S45" s="21"/>
      <c r="T45" s="19"/>
      <c r="U45" s="21"/>
      <c r="V45" s="19"/>
      <c r="W45" s="21"/>
      <c r="X45" s="19"/>
      <c r="Y45" s="21"/>
      <c r="Z45" s="19"/>
      <c r="AA45" s="21"/>
      <c r="AB45" s="19"/>
      <c r="AC45" s="21"/>
      <c r="AD45" s="19"/>
      <c r="AE45" s="21"/>
      <c r="AF45" s="19"/>
      <c r="AG45" s="21"/>
      <c r="AH45" s="19"/>
      <c r="AI45" s="21"/>
      <c r="AJ45" s="19"/>
      <c r="AK45" s="21"/>
      <c r="AL45" s="19"/>
      <c r="AM45" s="21"/>
      <c r="AN45" s="19"/>
      <c r="AO45" s="21"/>
      <c r="AP45" s="19"/>
      <c r="AQ45" s="21"/>
      <c r="AR45" s="19"/>
      <c r="AS45" s="21"/>
      <c r="AT45" s="19"/>
      <c r="AU45" s="21"/>
      <c r="AV45" s="19"/>
      <c r="AW45" s="21"/>
      <c r="AX45" s="19"/>
      <c r="AY45" s="21"/>
      <c r="AZ45" s="19"/>
      <c r="BA45" s="21"/>
      <c r="BB45" s="19"/>
      <c r="BC45" s="21"/>
      <c r="BD45" s="19"/>
      <c r="BE45" s="21"/>
      <c r="BF45" s="19"/>
      <c r="BG45" s="21"/>
      <c r="BH45" s="19"/>
    </row>
    <row r="46" spans="1:60" x14ac:dyDescent="0.15">
      <c r="A46" s="17">
        <v>1988</v>
      </c>
      <c r="B46" s="17">
        <v>3</v>
      </c>
      <c r="C46" s="21"/>
      <c r="D46" s="19"/>
      <c r="E46" s="21"/>
      <c r="F46" s="19"/>
      <c r="G46" s="21"/>
      <c r="H46" s="19"/>
      <c r="I46" s="21"/>
      <c r="J46" s="19"/>
      <c r="K46" s="21"/>
      <c r="L46" s="19"/>
      <c r="M46" s="21"/>
      <c r="N46" s="19"/>
      <c r="O46" s="21"/>
      <c r="P46" s="19"/>
      <c r="Q46" s="21"/>
      <c r="R46" s="19"/>
      <c r="S46" s="21"/>
      <c r="T46" s="19"/>
      <c r="U46" s="21"/>
      <c r="V46" s="19"/>
      <c r="W46" s="21"/>
      <c r="X46" s="19"/>
      <c r="Y46" s="21"/>
      <c r="Z46" s="19"/>
      <c r="AA46" s="21"/>
      <c r="AB46" s="19"/>
      <c r="AC46" s="21"/>
      <c r="AD46" s="19"/>
      <c r="AE46" s="21"/>
      <c r="AF46" s="19"/>
      <c r="AG46" s="21"/>
      <c r="AH46" s="19"/>
      <c r="AI46" s="21"/>
      <c r="AJ46" s="19"/>
      <c r="AK46" s="21"/>
      <c r="AL46" s="19"/>
      <c r="AM46" s="21"/>
      <c r="AN46" s="19"/>
      <c r="AO46" s="21"/>
      <c r="AP46" s="19"/>
      <c r="AQ46" s="21"/>
      <c r="AR46" s="19"/>
      <c r="AS46" s="21"/>
      <c r="AT46" s="19"/>
      <c r="AU46" s="21"/>
      <c r="AV46" s="19"/>
      <c r="AW46" s="21"/>
      <c r="AX46" s="19"/>
      <c r="AY46" s="21"/>
      <c r="AZ46" s="19"/>
      <c r="BA46" s="21"/>
      <c r="BB46" s="19"/>
      <c r="BC46" s="21"/>
      <c r="BD46" s="19"/>
      <c r="BE46" s="21"/>
      <c r="BF46" s="19"/>
      <c r="BG46" s="21"/>
      <c r="BH46" s="19"/>
    </row>
    <row r="47" spans="1:60" x14ac:dyDescent="0.15">
      <c r="A47" s="17">
        <v>1988</v>
      </c>
      <c r="B47" s="17">
        <v>4</v>
      </c>
      <c r="C47" s="21"/>
      <c r="D47" s="19"/>
      <c r="E47" s="21"/>
      <c r="F47" s="19"/>
      <c r="G47" s="21"/>
      <c r="H47" s="19"/>
      <c r="I47" s="21"/>
      <c r="J47" s="19"/>
      <c r="K47" s="21"/>
      <c r="L47" s="19"/>
      <c r="M47" s="21"/>
      <c r="N47" s="19"/>
      <c r="O47" s="21"/>
      <c r="P47" s="19"/>
      <c r="Q47" s="21"/>
      <c r="R47" s="19"/>
      <c r="S47" s="21"/>
      <c r="T47" s="19"/>
      <c r="U47" s="21"/>
      <c r="V47" s="19"/>
      <c r="W47" s="21"/>
      <c r="X47" s="19"/>
      <c r="Y47" s="21"/>
      <c r="Z47" s="19"/>
      <c r="AA47" s="21"/>
      <c r="AB47" s="19"/>
      <c r="AC47" s="21"/>
      <c r="AD47" s="19"/>
      <c r="AE47" s="21"/>
      <c r="AF47" s="19"/>
      <c r="AG47" s="21"/>
      <c r="AH47" s="19"/>
      <c r="AI47" s="21"/>
      <c r="AJ47" s="19"/>
      <c r="AK47" s="21"/>
      <c r="AL47" s="19"/>
      <c r="AM47" s="21"/>
      <c r="AN47" s="19"/>
      <c r="AO47" s="21"/>
      <c r="AP47" s="19"/>
      <c r="AQ47" s="21"/>
      <c r="AR47" s="19"/>
      <c r="AS47" s="21"/>
      <c r="AT47" s="19"/>
      <c r="AU47" s="21"/>
      <c r="AV47" s="19"/>
      <c r="AW47" s="21"/>
      <c r="AX47" s="19"/>
      <c r="AY47" s="21"/>
      <c r="AZ47" s="19"/>
      <c r="BA47" s="21"/>
      <c r="BB47" s="19"/>
      <c r="BC47" s="21"/>
      <c r="BD47" s="19"/>
      <c r="BE47" s="21"/>
      <c r="BF47" s="19"/>
      <c r="BG47" s="21"/>
      <c r="BH47" s="19"/>
    </row>
    <row r="48" spans="1:60" x14ac:dyDescent="0.15">
      <c r="A48" s="17">
        <v>1989</v>
      </c>
      <c r="B48" s="17">
        <v>1</v>
      </c>
      <c r="C48" s="21"/>
      <c r="D48" s="19"/>
      <c r="E48" s="21"/>
      <c r="F48" s="19"/>
      <c r="G48" s="21"/>
      <c r="H48" s="19"/>
      <c r="I48" s="21"/>
      <c r="J48" s="19"/>
      <c r="K48" s="21"/>
      <c r="L48" s="19"/>
      <c r="M48" s="21"/>
      <c r="N48" s="19"/>
      <c r="O48" s="21"/>
      <c r="P48" s="19"/>
      <c r="Q48" s="21"/>
      <c r="R48" s="19"/>
      <c r="S48" s="21"/>
      <c r="T48" s="19"/>
      <c r="U48" s="21"/>
      <c r="V48" s="19"/>
      <c r="W48" s="21"/>
      <c r="X48" s="19"/>
      <c r="Y48" s="21"/>
      <c r="Z48" s="19"/>
      <c r="AA48" s="21"/>
      <c r="AB48" s="19"/>
      <c r="AC48" s="21"/>
      <c r="AD48" s="19"/>
      <c r="AE48" s="21"/>
      <c r="AF48" s="19"/>
      <c r="AG48" s="21"/>
      <c r="AH48" s="19"/>
      <c r="AI48" s="21"/>
      <c r="AJ48" s="19"/>
      <c r="AK48" s="21"/>
      <c r="AL48" s="19"/>
      <c r="AM48" s="21"/>
      <c r="AN48" s="19"/>
      <c r="AO48" s="21"/>
      <c r="AP48" s="19"/>
      <c r="AQ48" s="21"/>
      <c r="AR48" s="19"/>
      <c r="AS48" s="21"/>
      <c r="AT48" s="19"/>
      <c r="AU48" s="21"/>
      <c r="AV48" s="19"/>
      <c r="AW48" s="21"/>
      <c r="AX48" s="19"/>
      <c r="AY48" s="21"/>
      <c r="AZ48" s="19"/>
      <c r="BA48" s="21"/>
      <c r="BB48" s="19"/>
      <c r="BC48" s="21"/>
      <c r="BD48" s="19"/>
      <c r="BE48" s="21"/>
      <c r="BF48" s="19"/>
      <c r="BG48" s="21"/>
      <c r="BH48" s="19"/>
    </row>
    <row r="49" spans="1:60" x14ac:dyDescent="0.15">
      <c r="A49" s="17">
        <v>1989</v>
      </c>
      <c r="B49" s="17">
        <v>2</v>
      </c>
      <c r="C49" s="21"/>
      <c r="D49" s="19"/>
      <c r="E49" s="21"/>
      <c r="F49" s="19"/>
      <c r="G49" s="21"/>
      <c r="H49" s="19"/>
      <c r="I49" s="21"/>
      <c r="J49" s="19"/>
      <c r="K49" s="21"/>
      <c r="L49" s="19"/>
      <c r="M49" s="21"/>
      <c r="N49" s="19"/>
      <c r="O49" s="21"/>
      <c r="P49" s="19"/>
      <c r="Q49" s="21"/>
      <c r="R49" s="19"/>
      <c r="S49" s="21"/>
      <c r="T49" s="19"/>
      <c r="U49" s="21"/>
      <c r="V49" s="19"/>
      <c r="W49" s="21"/>
      <c r="X49" s="19"/>
      <c r="Y49" s="21"/>
      <c r="Z49" s="19"/>
      <c r="AA49" s="21"/>
      <c r="AB49" s="19"/>
      <c r="AC49" s="21"/>
      <c r="AD49" s="19"/>
      <c r="AE49" s="21"/>
      <c r="AF49" s="19"/>
      <c r="AG49" s="21"/>
      <c r="AH49" s="19"/>
      <c r="AI49" s="21"/>
      <c r="AJ49" s="19"/>
      <c r="AK49" s="21"/>
      <c r="AL49" s="19"/>
      <c r="AM49" s="21"/>
      <c r="AN49" s="19"/>
      <c r="AO49" s="21"/>
      <c r="AP49" s="19"/>
      <c r="AQ49" s="21"/>
      <c r="AR49" s="19"/>
      <c r="AS49" s="21"/>
      <c r="AT49" s="19"/>
      <c r="AU49" s="21"/>
      <c r="AV49" s="19"/>
      <c r="AW49" s="21"/>
      <c r="AX49" s="19"/>
      <c r="AY49" s="21"/>
      <c r="AZ49" s="19"/>
      <c r="BA49" s="21"/>
      <c r="BB49" s="19"/>
      <c r="BC49" s="21"/>
      <c r="BD49" s="19"/>
      <c r="BE49" s="21"/>
      <c r="BF49" s="19"/>
      <c r="BG49" s="21"/>
      <c r="BH49" s="19"/>
    </row>
    <row r="50" spans="1:60" x14ac:dyDescent="0.15">
      <c r="A50" s="17">
        <v>1989</v>
      </c>
      <c r="B50" s="17">
        <v>3</v>
      </c>
      <c r="C50" s="21"/>
      <c r="D50" s="19"/>
      <c r="E50" s="21"/>
      <c r="F50" s="19"/>
      <c r="G50" s="21"/>
      <c r="H50" s="19"/>
      <c r="I50" s="21"/>
      <c r="J50" s="19"/>
      <c r="K50" s="21"/>
      <c r="L50" s="19"/>
      <c r="M50" s="21"/>
      <c r="N50" s="19"/>
      <c r="O50" s="21"/>
      <c r="P50" s="19"/>
      <c r="Q50" s="21"/>
      <c r="R50" s="19"/>
      <c r="S50" s="21"/>
      <c r="T50" s="19"/>
      <c r="U50" s="21"/>
      <c r="V50" s="19"/>
      <c r="W50" s="21"/>
      <c r="X50" s="19"/>
      <c r="Y50" s="21"/>
      <c r="Z50" s="19"/>
      <c r="AA50" s="21"/>
      <c r="AB50" s="19"/>
      <c r="AC50" s="21"/>
      <c r="AD50" s="19"/>
      <c r="AE50" s="21"/>
      <c r="AF50" s="19"/>
      <c r="AG50" s="21"/>
      <c r="AH50" s="19"/>
      <c r="AI50" s="21"/>
      <c r="AJ50" s="19"/>
      <c r="AK50" s="21"/>
      <c r="AL50" s="19"/>
      <c r="AM50" s="21"/>
      <c r="AN50" s="19"/>
      <c r="AO50" s="21"/>
      <c r="AP50" s="19"/>
      <c r="AQ50" s="21"/>
      <c r="AR50" s="19"/>
      <c r="AS50" s="21"/>
      <c r="AT50" s="19"/>
      <c r="AU50" s="21"/>
      <c r="AV50" s="19"/>
      <c r="AW50" s="21"/>
      <c r="AX50" s="19"/>
      <c r="AY50" s="21"/>
      <c r="AZ50" s="19"/>
      <c r="BA50" s="21"/>
      <c r="BB50" s="19"/>
      <c r="BC50" s="21"/>
      <c r="BD50" s="19"/>
      <c r="BE50" s="21"/>
      <c r="BF50" s="19"/>
      <c r="BG50" s="21"/>
      <c r="BH50" s="19"/>
    </row>
    <row r="51" spans="1:60" x14ac:dyDescent="0.15">
      <c r="A51" s="17">
        <v>1989</v>
      </c>
      <c r="B51" s="17">
        <v>4</v>
      </c>
      <c r="C51" s="21"/>
      <c r="D51" s="19"/>
      <c r="E51" s="21"/>
      <c r="F51" s="19"/>
      <c r="G51" s="21"/>
      <c r="H51" s="19"/>
      <c r="I51" s="21"/>
      <c r="J51" s="19"/>
      <c r="K51" s="21"/>
      <c r="L51" s="19"/>
      <c r="M51" s="21"/>
      <c r="N51" s="19"/>
      <c r="O51" s="21"/>
      <c r="P51" s="19"/>
      <c r="Q51" s="21"/>
      <c r="R51" s="19"/>
      <c r="S51" s="21"/>
      <c r="T51" s="19"/>
      <c r="U51" s="21"/>
      <c r="V51" s="19"/>
      <c r="W51" s="21"/>
      <c r="X51" s="19"/>
      <c r="Y51" s="21"/>
      <c r="Z51" s="19"/>
      <c r="AA51" s="21"/>
      <c r="AB51" s="19"/>
      <c r="AC51" s="21"/>
      <c r="AD51" s="19"/>
      <c r="AE51" s="21"/>
      <c r="AF51" s="19"/>
      <c r="AG51" s="21"/>
      <c r="AH51" s="19"/>
      <c r="AI51" s="21"/>
      <c r="AJ51" s="19"/>
      <c r="AK51" s="21"/>
      <c r="AL51" s="19"/>
      <c r="AM51" s="21"/>
      <c r="AN51" s="19"/>
      <c r="AO51" s="21"/>
      <c r="AP51" s="19"/>
      <c r="AQ51" s="21"/>
      <c r="AR51" s="19"/>
      <c r="AS51" s="21"/>
      <c r="AT51" s="19"/>
      <c r="AU51" s="21"/>
      <c r="AV51" s="19"/>
      <c r="AW51" s="21"/>
      <c r="AX51" s="19"/>
      <c r="AY51" s="21"/>
      <c r="AZ51" s="19"/>
      <c r="BA51" s="21"/>
      <c r="BB51" s="19"/>
      <c r="BC51" s="21"/>
      <c r="BD51" s="19"/>
      <c r="BE51" s="21"/>
      <c r="BF51" s="19"/>
      <c r="BG51" s="21"/>
      <c r="BH51" s="19"/>
    </row>
    <row r="52" spans="1:60" x14ac:dyDescent="0.15">
      <c r="A52" s="17">
        <v>1990</v>
      </c>
      <c r="B52" s="17">
        <v>1</v>
      </c>
      <c r="C52" s="21"/>
      <c r="D52" s="19"/>
      <c r="E52" s="21">
        <v>1.9261467604545199E-2</v>
      </c>
      <c r="F52" s="19"/>
      <c r="G52" s="21">
        <v>-6.6249689723765705E-4</v>
      </c>
      <c r="H52" s="19"/>
      <c r="I52" s="21">
        <v>-5.8990496782879301E-5</v>
      </c>
      <c r="J52" s="19"/>
      <c r="K52" s="21">
        <v>4.1293571542449599E-3</v>
      </c>
      <c r="L52" s="19"/>
      <c r="M52" s="21">
        <v>6.0387074848315605E-4</v>
      </c>
      <c r="N52" s="19"/>
      <c r="O52" s="21">
        <v>3.52312860277823E-3</v>
      </c>
      <c r="P52" s="19"/>
      <c r="Q52" s="21">
        <v>5.5345564566277195E-4</v>
      </c>
      <c r="R52" s="19"/>
      <c r="S52" s="21">
        <v>1.4897877542038401E-4</v>
      </c>
      <c r="T52" s="19"/>
      <c r="U52" s="21">
        <v>1.1676716147176901E-3</v>
      </c>
      <c r="V52" s="19"/>
      <c r="W52" s="21">
        <v>9.3743230442701799E-3</v>
      </c>
      <c r="X52" s="19"/>
      <c r="Y52" s="21">
        <v>1.0133548413106101E-3</v>
      </c>
      <c r="Z52" s="19"/>
      <c r="AA52" s="21">
        <v>-1.7368605194041701E-3</v>
      </c>
      <c r="AB52" s="19"/>
      <c r="AC52" s="21">
        <v>4.2869333458385499E-4</v>
      </c>
      <c r="AD52" s="19"/>
      <c r="AE52" s="21">
        <v>-3.4016104074719798E-6</v>
      </c>
      <c r="AF52" s="19"/>
      <c r="AG52" s="21">
        <v>1.42499346868037E-3</v>
      </c>
      <c r="AH52" s="19"/>
      <c r="AI52" s="21">
        <v>6.8036803708165696E-4</v>
      </c>
      <c r="AJ52" s="19"/>
      <c r="AK52" s="21">
        <v>7.5630971936546697E-4</v>
      </c>
      <c r="AL52" s="19"/>
      <c r="AM52" s="21">
        <v>1.2705669550485701E-3</v>
      </c>
      <c r="AN52" s="19"/>
      <c r="AO52" s="21">
        <v>1.2553620899234401E-3</v>
      </c>
      <c r="AP52" s="19"/>
      <c r="AQ52" s="21">
        <v>1.43625606031716E-3</v>
      </c>
      <c r="AR52" s="19"/>
      <c r="AS52" s="21">
        <v>9.9026876570752301E-5</v>
      </c>
      <c r="AT52" s="19"/>
      <c r="AU52" s="21">
        <v>-6.8429787093333305E-5</v>
      </c>
      <c r="AV52" s="19"/>
      <c r="AW52" s="21">
        <v>3.01598136899615E-4</v>
      </c>
      <c r="AX52" s="19"/>
      <c r="AY52" s="21">
        <v>8.7113133139169995E-5</v>
      </c>
      <c r="AZ52" s="19"/>
      <c r="BA52" s="21">
        <v>4.4771146171558698E-4</v>
      </c>
      <c r="BB52" s="19"/>
      <c r="BC52" s="21">
        <v>7.8229102209512495E-4</v>
      </c>
      <c r="BD52" s="19"/>
      <c r="BE52" s="21">
        <v>-3.4544622445325E-4</v>
      </c>
      <c r="BF52" s="19"/>
      <c r="BG52" s="21"/>
      <c r="BH52" s="19"/>
    </row>
    <row r="53" spans="1:60" x14ac:dyDescent="0.15">
      <c r="A53" s="17">
        <v>1990</v>
      </c>
      <c r="B53" s="17">
        <v>2</v>
      </c>
      <c r="C53" s="21"/>
      <c r="D53" s="19"/>
      <c r="E53" s="21">
        <v>3.3634198498951702E-3</v>
      </c>
      <c r="F53" s="19"/>
      <c r="G53" s="21">
        <v>-3.0430826380476703E-4</v>
      </c>
      <c r="H53" s="19"/>
      <c r="I53" s="21">
        <v>-8.6613028296578706E-6</v>
      </c>
      <c r="J53" s="19"/>
      <c r="K53" s="21">
        <v>3.63315687376622E-4</v>
      </c>
      <c r="L53" s="19"/>
      <c r="M53" s="21">
        <v>2.8677752794154697E-4</v>
      </c>
      <c r="N53" s="19"/>
      <c r="O53" s="21">
        <v>7.4968931161303802E-5</v>
      </c>
      <c r="P53" s="19"/>
      <c r="Q53" s="21">
        <v>6.3655163500737704E-4</v>
      </c>
      <c r="R53" s="19"/>
      <c r="S53" s="21">
        <v>1.5001099827239799E-4</v>
      </c>
      <c r="T53" s="19"/>
      <c r="U53" s="21">
        <v>-3.5424807141131301E-5</v>
      </c>
      <c r="V53" s="19"/>
      <c r="W53" s="21">
        <v>1.3342842987920801E-3</v>
      </c>
      <c r="X53" s="19"/>
      <c r="Y53" s="21">
        <v>6.3185241404368402E-4</v>
      </c>
      <c r="Z53" s="19"/>
      <c r="AA53" s="21">
        <v>-9.0756424402405197E-4</v>
      </c>
      <c r="AB53" s="19"/>
      <c r="AC53" s="21">
        <v>6.0921967951566296E-4</v>
      </c>
      <c r="AD53" s="19"/>
      <c r="AE53" s="21">
        <v>1.2376309800983E-4</v>
      </c>
      <c r="AF53" s="19"/>
      <c r="AG53" s="21">
        <v>-9.2925698180685104E-4</v>
      </c>
      <c r="AH53" s="19"/>
      <c r="AI53" s="21">
        <v>-1.3906929989479799E-3</v>
      </c>
      <c r="AJ53" s="19"/>
      <c r="AK53" s="21">
        <v>6.2204055890295595E-4</v>
      </c>
      <c r="AL53" s="19"/>
      <c r="AM53" s="21">
        <v>5.5145788370414501E-4</v>
      </c>
      <c r="AN53" s="19"/>
      <c r="AO53" s="21">
        <v>9.3191200643712104E-4</v>
      </c>
      <c r="AP53" s="19"/>
      <c r="AQ53" s="21">
        <v>9.0783365335841699E-4</v>
      </c>
      <c r="AR53" s="19"/>
      <c r="AS53" s="21">
        <v>1.20096567128306E-4</v>
      </c>
      <c r="AT53" s="19"/>
      <c r="AU53" s="21">
        <v>-8.2775428612580899E-5</v>
      </c>
      <c r="AV53" s="19"/>
      <c r="AW53" s="21">
        <v>-1.2232268118634801E-4</v>
      </c>
      <c r="AX53" s="19"/>
      <c r="AY53" s="21">
        <v>5.82304452090495E-5</v>
      </c>
      <c r="AZ53" s="19"/>
      <c r="BA53" s="21">
        <v>8.3804050298627196E-4</v>
      </c>
      <c r="BB53" s="19"/>
      <c r="BC53" s="21">
        <v>2.3938296747640401E-4</v>
      </c>
      <c r="BD53" s="19"/>
      <c r="BE53" s="21">
        <v>5.8007295975589796E-4</v>
      </c>
      <c r="BF53" s="19"/>
      <c r="BG53" s="21"/>
      <c r="BH53" s="19"/>
    </row>
    <row r="54" spans="1:60" x14ac:dyDescent="0.15">
      <c r="A54" s="17">
        <v>1990</v>
      </c>
      <c r="B54" s="17">
        <v>3</v>
      </c>
      <c r="C54" s="21"/>
      <c r="D54" s="19"/>
      <c r="E54" s="21">
        <v>-4.6799620694826602E-4</v>
      </c>
      <c r="F54" s="19"/>
      <c r="G54" s="21">
        <v>-2.2883719537730401E-4</v>
      </c>
      <c r="H54" s="19"/>
      <c r="I54" s="21">
        <v>1.32196158352206E-6</v>
      </c>
      <c r="J54" s="19"/>
      <c r="K54" s="21">
        <v>2.39304362644018E-4</v>
      </c>
      <c r="L54" s="19"/>
      <c r="M54" s="21">
        <v>8.4101957181444904E-5</v>
      </c>
      <c r="N54" s="19"/>
      <c r="O54" s="21">
        <v>1.54080267616211E-4</v>
      </c>
      <c r="P54" s="19"/>
      <c r="Q54" s="21">
        <v>-2.8969689097373699E-4</v>
      </c>
      <c r="R54" s="19"/>
      <c r="S54" s="21">
        <v>2.0851505484512201E-4</v>
      </c>
      <c r="T54" s="19"/>
      <c r="U54" s="21">
        <v>4.3675561055530102E-4</v>
      </c>
      <c r="V54" s="19"/>
      <c r="W54" s="21">
        <v>-3.1527900519632401E-3</v>
      </c>
      <c r="X54" s="19"/>
      <c r="Y54" s="21">
        <v>-5.8778612771530402E-4</v>
      </c>
      <c r="Z54" s="19"/>
      <c r="AA54" s="21">
        <v>2.2045577015534501E-5</v>
      </c>
      <c r="AB54" s="19"/>
      <c r="AC54" s="21">
        <v>2.64612694032081E-4</v>
      </c>
      <c r="AD54" s="19"/>
      <c r="AE54" s="21">
        <v>4.6961491751118398E-4</v>
      </c>
      <c r="AF54" s="19"/>
      <c r="AG54" s="21">
        <v>-2.6006397694593202E-4</v>
      </c>
      <c r="AH54" s="19"/>
      <c r="AI54" s="21">
        <v>-6.4523014140304997E-4</v>
      </c>
      <c r="AJ54" s="19"/>
      <c r="AK54" s="21">
        <v>5.0074342581557095E-4</v>
      </c>
      <c r="AL54" s="19"/>
      <c r="AM54" s="21">
        <v>7.1084001318973795E-4</v>
      </c>
      <c r="AN54" s="19"/>
      <c r="AO54" s="21">
        <v>6.6002802479747495E-4</v>
      </c>
      <c r="AP54" s="19"/>
      <c r="AQ54" s="21">
        <v>4.13025452309157E-4</v>
      </c>
      <c r="AR54" s="19"/>
      <c r="AS54" s="21">
        <v>7.84729460515317E-5</v>
      </c>
      <c r="AT54" s="19"/>
      <c r="AU54" s="21">
        <v>1.4629569660274099E-4</v>
      </c>
      <c r="AV54" s="19"/>
      <c r="AW54" s="21">
        <v>-1.63696310812559E-4</v>
      </c>
      <c r="AX54" s="19"/>
      <c r="AY54" s="21">
        <v>3.14444234989579E-5</v>
      </c>
      <c r="AZ54" s="19"/>
      <c r="BA54" s="21">
        <v>-9.4869681259919899E-5</v>
      </c>
      <c r="BB54" s="19"/>
      <c r="BC54" s="21">
        <v>-4.9226828197515003E-5</v>
      </c>
      <c r="BD54" s="19"/>
      <c r="BE54" s="21">
        <v>-4.2825586057972203E-5</v>
      </c>
      <c r="BF54" s="19"/>
      <c r="BG54" s="21"/>
      <c r="BH54" s="19"/>
    </row>
    <row r="55" spans="1:60" x14ac:dyDescent="0.15">
      <c r="A55" s="17">
        <v>1990</v>
      </c>
      <c r="B55" s="17">
        <v>4</v>
      </c>
      <c r="C55" s="21"/>
      <c r="D55" s="19"/>
      <c r="E55" s="21">
        <v>-5.2970526916638E-3</v>
      </c>
      <c r="F55" s="19"/>
      <c r="G55" s="21">
        <v>-4.8088876095806298E-5</v>
      </c>
      <c r="H55" s="19"/>
      <c r="I55" s="21">
        <v>2.43452133936588E-5</v>
      </c>
      <c r="J55" s="19"/>
      <c r="K55" s="21">
        <v>1.4046608446467699E-3</v>
      </c>
      <c r="L55" s="19"/>
      <c r="M55" s="21">
        <v>4.1323508506048797E-4</v>
      </c>
      <c r="N55" s="19"/>
      <c r="O55" s="21">
        <v>9.8772930038583504E-4</v>
      </c>
      <c r="P55" s="19"/>
      <c r="Q55" s="21">
        <v>5.0735104824858304E-4</v>
      </c>
      <c r="R55" s="19"/>
      <c r="S55" s="21">
        <v>2.4658017477213301E-4</v>
      </c>
      <c r="T55" s="19"/>
      <c r="U55" s="21">
        <v>-5.5216804112455105E-4</v>
      </c>
      <c r="V55" s="19"/>
      <c r="W55" s="21">
        <v>-7.1001631869821403E-3</v>
      </c>
      <c r="X55" s="19"/>
      <c r="Y55" s="21">
        <v>-1.10693684034873E-3</v>
      </c>
      <c r="Z55" s="19"/>
      <c r="AA55" s="21">
        <v>9.3617204274380696E-4</v>
      </c>
      <c r="AB55" s="19"/>
      <c r="AC55" s="21">
        <v>1.03810290432187E-4</v>
      </c>
      <c r="AD55" s="19"/>
      <c r="AE55" s="21">
        <v>2.6506706457840801E-4</v>
      </c>
      <c r="AF55" s="19"/>
      <c r="AG55" s="21">
        <v>-1.41678610197225E-3</v>
      </c>
      <c r="AH55" s="19"/>
      <c r="AI55" s="21">
        <v>-1.6562998845341399E-3</v>
      </c>
      <c r="AJ55" s="19"/>
      <c r="AK55" s="21">
        <v>3.81051149461243E-4</v>
      </c>
      <c r="AL55" s="19"/>
      <c r="AM55" s="21">
        <v>1.0127300907771801E-4</v>
      </c>
      <c r="AN55" s="19"/>
      <c r="AO55" s="21">
        <v>5.1298745988834302E-4</v>
      </c>
      <c r="AP55" s="19"/>
      <c r="AQ55" s="21">
        <v>-8.3054523630339902E-5</v>
      </c>
      <c r="AR55" s="19"/>
      <c r="AS55" s="21">
        <v>7.6405283595258697E-5</v>
      </c>
      <c r="AT55" s="19"/>
      <c r="AU55" s="21">
        <v>1.1909109561622401E-4</v>
      </c>
      <c r="AV55" s="19"/>
      <c r="AW55" s="21">
        <v>-4.5720442489225599E-4</v>
      </c>
      <c r="AX55" s="19"/>
      <c r="AY55" s="21">
        <v>4.90195164094461E-6</v>
      </c>
      <c r="AZ55" s="19"/>
      <c r="BA55" s="21">
        <v>-4.9876712360825796E-4</v>
      </c>
      <c r="BB55" s="19"/>
      <c r="BC55" s="21">
        <v>-3.22458276897337E-4</v>
      </c>
      <c r="BD55" s="19"/>
      <c r="BE55" s="21">
        <v>-1.6125040068395099E-4</v>
      </c>
      <c r="BF55" s="19"/>
      <c r="BG55" s="21"/>
      <c r="BH55" s="19"/>
    </row>
    <row r="56" spans="1:60" x14ac:dyDescent="0.15">
      <c r="A56" s="17">
        <v>1991</v>
      </c>
      <c r="B56" s="17">
        <v>1</v>
      </c>
      <c r="C56" s="21"/>
      <c r="D56" s="19"/>
      <c r="E56" s="21">
        <v>3.2563487778364702E-3</v>
      </c>
      <c r="F56" s="19"/>
      <c r="G56" s="21">
        <v>-3.8991578031397798E-5</v>
      </c>
      <c r="H56" s="19"/>
      <c r="I56" s="21">
        <v>-2.21621262413246E-5</v>
      </c>
      <c r="J56" s="19"/>
      <c r="K56" s="21">
        <v>4.5268357609920599E-4</v>
      </c>
      <c r="L56" s="19"/>
      <c r="M56" s="21">
        <v>4.2681034170289901E-4</v>
      </c>
      <c r="N56" s="19"/>
      <c r="O56" s="21">
        <v>3.0747579058065002E-5</v>
      </c>
      <c r="P56" s="19"/>
      <c r="Q56" s="21">
        <v>3.3641445770690498E-4</v>
      </c>
      <c r="R56" s="19"/>
      <c r="S56" s="21">
        <v>2.5460416947270802E-4</v>
      </c>
      <c r="T56" s="19"/>
      <c r="U56" s="21">
        <v>-8.8699300048424804E-4</v>
      </c>
      <c r="V56" s="19"/>
      <c r="W56" s="21">
        <v>-1.6210362204150299E-3</v>
      </c>
      <c r="X56" s="19"/>
      <c r="Y56" s="21">
        <v>-9.0594090098915995E-4</v>
      </c>
      <c r="Z56" s="19"/>
      <c r="AA56" s="21">
        <v>2.1890697973416398E-3</v>
      </c>
      <c r="AB56" s="19"/>
      <c r="AC56" s="21">
        <v>2.23602948716777E-5</v>
      </c>
      <c r="AD56" s="19"/>
      <c r="AE56" s="21">
        <v>1.76253637237449E-4</v>
      </c>
      <c r="AF56" s="19"/>
      <c r="AG56" s="21">
        <v>3.2146884297879802E-3</v>
      </c>
      <c r="AH56" s="19"/>
      <c r="AI56" s="21">
        <v>2.83182137198932E-3</v>
      </c>
      <c r="AJ56" s="19"/>
      <c r="AK56" s="21">
        <v>2.5695983068160799E-4</v>
      </c>
      <c r="AL56" s="19"/>
      <c r="AM56" s="21">
        <v>2.4235069979847501E-4</v>
      </c>
      <c r="AN56" s="19"/>
      <c r="AO56" s="21">
        <v>-9.6702236294707905E-5</v>
      </c>
      <c r="AP56" s="19"/>
      <c r="AQ56" s="21">
        <v>-5.8619846359798098E-4</v>
      </c>
      <c r="AR56" s="19"/>
      <c r="AS56" s="21">
        <v>1.78721309761429E-4</v>
      </c>
      <c r="AT56" s="19"/>
      <c r="AU56" s="21">
        <v>2.0401474571407E-4</v>
      </c>
      <c r="AV56" s="19"/>
      <c r="AW56" s="21">
        <v>-7.5584457321972004E-4</v>
      </c>
      <c r="AX56" s="19"/>
      <c r="AY56" s="21">
        <v>-2.1010198499447101E-5</v>
      </c>
      <c r="AZ56" s="19"/>
      <c r="BA56" s="21">
        <v>-1.02841358268312E-3</v>
      </c>
      <c r="BB56" s="19"/>
      <c r="BC56" s="21">
        <v>-5.1954898153276901E-5</v>
      </c>
      <c r="BD56" s="19"/>
      <c r="BE56" s="21">
        <v>-9.9237465295542895E-4</v>
      </c>
      <c r="BF56" s="19"/>
      <c r="BG56" s="21"/>
      <c r="BH56" s="19"/>
    </row>
    <row r="57" spans="1:60" x14ac:dyDescent="0.15">
      <c r="A57" s="17">
        <v>1991</v>
      </c>
      <c r="B57" s="17">
        <v>2</v>
      </c>
      <c r="C57" s="21"/>
      <c r="D57" s="19"/>
      <c r="E57" s="21">
        <v>-9.2609595653122892E-3</v>
      </c>
      <c r="F57" s="19"/>
      <c r="G57" s="21">
        <v>7.1603316890044206E-5</v>
      </c>
      <c r="H57" s="19"/>
      <c r="I57" s="21">
        <v>1.6019343549465101E-5</v>
      </c>
      <c r="J57" s="19"/>
      <c r="K57" s="21">
        <v>-1.28766668160273E-3</v>
      </c>
      <c r="L57" s="19"/>
      <c r="M57" s="21">
        <v>3.7999493074526399E-4</v>
      </c>
      <c r="N57" s="19"/>
      <c r="O57" s="21">
        <v>-1.6706712523317799E-3</v>
      </c>
      <c r="P57" s="19"/>
      <c r="Q57" s="21">
        <v>-7.4799694725099304E-4</v>
      </c>
      <c r="R57" s="19"/>
      <c r="S57" s="21">
        <v>2.1955685698831599E-4</v>
      </c>
      <c r="T57" s="19"/>
      <c r="U57" s="21">
        <v>-7.3450048561818099E-4</v>
      </c>
      <c r="V57" s="19"/>
      <c r="W57" s="21">
        <v>-7.4255790898762799E-3</v>
      </c>
      <c r="X57" s="19"/>
      <c r="Y57" s="21">
        <v>-9.4437275478292601E-4</v>
      </c>
      <c r="Z57" s="19"/>
      <c r="AA57" s="21">
        <v>1.40937321781201E-3</v>
      </c>
      <c r="AB57" s="19"/>
      <c r="AC57" s="21">
        <v>-1.56249719842191E-4</v>
      </c>
      <c r="AD57" s="19"/>
      <c r="AE57" s="21">
        <v>1.84335741212837E-4</v>
      </c>
      <c r="AF57" s="19"/>
      <c r="AG57" s="21">
        <v>1.7523684645603E-3</v>
      </c>
      <c r="AH57" s="19"/>
      <c r="AI57" s="21">
        <v>1.18292358122337E-3</v>
      </c>
      <c r="AJ57" s="19"/>
      <c r="AK57" s="21">
        <v>4.7243638711783298E-4</v>
      </c>
      <c r="AL57" s="19"/>
      <c r="AM57" s="21">
        <v>-1.3076950016413401E-3</v>
      </c>
      <c r="AN57" s="19"/>
      <c r="AO57" s="21">
        <v>-4.94533395048098E-5</v>
      </c>
      <c r="AP57" s="19"/>
      <c r="AQ57" s="21">
        <v>-4.4542021603798001E-4</v>
      </c>
      <c r="AR57" s="19"/>
      <c r="AS57" s="21">
        <v>-1.36552344399965E-5</v>
      </c>
      <c r="AT57" s="19"/>
      <c r="AU57" s="21">
        <v>-1.36889641530036E-4</v>
      </c>
      <c r="AV57" s="19"/>
      <c r="AW57" s="21">
        <v>-7.1874139483722797E-4</v>
      </c>
      <c r="AX57" s="19"/>
      <c r="AY57" s="21">
        <v>-1.43746195387295E-5</v>
      </c>
      <c r="AZ57" s="19"/>
      <c r="BA57" s="21">
        <v>-1.0894188383718301E-3</v>
      </c>
      <c r="BB57" s="19"/>
      <c r="BC57" s="21">
        <v>-5.2681646412383403E-4</v>
      </c>
      <c r="BD57" s="19"/>
      <c r="BE57" s="21">
        <v>-6.0167475215804902E-4</v>
      </c>
      <c r="BF57" s="19"/>
      <c r="BG57" s="21"/>
      <c r="BH57" s="19"/>
    </row>
    <row r="58" spans="1:60" x14ac:dyDescent="0.15">
      <c r="A58" s="17">
        <v>1991</v>
      </c>
      <c r="B58" s="17">
        <v>3</v>
      </c>
      <c r="C58" s="21"/>
      <c r="D58" s="19"/>
      <c r="E58" s="21">
        <v>-1.45458811179599E-4</v>
      </c>
      <c r="F58" s="19"/>
      <c r="G58" s="21">
        <v>9.9631837227516897E-5</v>
      </c>
      <c r="H58" s="19"/>
      <c r="I58" s="21">
        <v>-2.6387776271977501E-5</v>
      </c>
      <c r="J58" s="19"/>
      <c r="K58" s="21">
        <v>5.6119257058094996E-4</v>
      </c>
      <c r="L58" s="19"/>
      <c r="M58" s="21">
        <v>7.9507889705229297E-4</v>
      </c>
      <c r="N58" s="19"/>
      <c r="O58" s="21">
        <v>-2.5183702221275402E-4</v>
      </c>
      <c r="P58" s="19"/>
      <c r="Q58" s="21">
        <v>2.90375565168211E-4</v>
      </c>
      <c r="R58" s="19"/>
      <c r="S58" s="21">
        <v>2.51096313135725E-4</v>
      </c>
      <c r="T58" s="19"/>
      <c r="U58" s="21">
        <v>-6.1058436473323597E-4</v>
      </c>
      <c r="V58" s="19"/>
      <c r="W58" s="21">
        <v>-1.62406549539108E-3</v>
      </c>
      <c r="X58" s="19"/>
      <c r="Y58" s="21">
        <v>-4.3666564766314098E-4</v>
      </c>
      <c r="Z58" s="19"/>
      <c r="AA58" s="21">
        <v>9.5890274282057998E-4</v>
      </c>
      <c r="AB58" s="19"/>
      <c r="AC58" s="21">
        <v>-3.1109498995453799E-6</v>
      </c>
      <c r="AD58" s="19"/>
      <c r="AE58" s="21">
        <v>2.5888631047898801E-4</v>
      </c>
      <c r="AF58" s="19"/>
      <c r="AG58" s="21">
        <v>3.9948753836377504E-6</v>
      </c>
      <c r="AH58" s="19"/>
      <c r="AI58" s="21">
        <v>-7.6574989834419897E-4</v>
      </c>
      <c r="AJ58" s="19"/>
      <c r="AK58" s="21">
        <v>6.8338108972638696E-4</v>
      </c>
      <c r="AL58" s="19"/>
      <c r="AM58" s="21">
        <v>-3.56845541968411E-5</v>
      </c>
      <c r="AN58" s="19"/>
      <c r="AO58" s="21">
        <v>1.4981690014706899E-4</v>
      </c>
      <c r="AP58" s="19"/>
      <c r="AQ58" s="21">
        <v>-3.0932769702618902E-4</v>
      </c>
      <c r="AR58" s="19"/>
      <c r="AS58" s="21">
        <v>1.3343028319677601E-4</v>
      </c>
      <c r="AT58" s="19"/>
      <c r="AU58" s="21">
        <v>4.3219428226305097E-5</v>
      </c>
      <c r="AV58" s="19"/>
      <c r="AW58" s="21">
        <v>-2.9400621226038302E-4</v>
      </c>
      <c r="AX58" s="19"/>
      <c r="AY58" s="21">
        <v>-9.3154847506507898E-6</v>
      </c>
      <c r="AZ58" s="19"/>
      <c r="BA58" s="21">
        <v>-6.1858306745852002E-4</v>
      </c>
      <c r="BB58" s="19"/>
      <c r="BC58" s="21">
        <v>-3.1684757911466002E-4</v>
      </c>
      <c r="BD58" s="19"/>
      <c r="BE58" s="21">
        <v>-3.3335860671593402E-4</v>
      </c>
      <c r="BF58" s="19"/>
      <c r="BG58" s="21"/>
      <c r="BH58" s="19"/>
    </row>
    <row r="59" spans="1:60" x14ac:dyDescent="0.15">
      <c r="A59" s="17">
        <v>1991</v>
      </c>
      <c r="B59" s="17">
        <v>4</v>
      </c>
      <c r="C59" s="21"/>
      <c r="D59" s="19"/>
      <c r="E59" s="21">
        <v>2.1466464402887602E-3</v>
      </c>
      <c r="F59" s="19"/>
      <c r="G59" s="21">
        <v>1.5292497460652401E-4</v>
      </c>
      <c r="H59" s="19"/>
      <c r="I59" s="21">
        <v>-5.2583431874337E-5</v>
      </c>
      <c r="J59" s="19"/>
      <c r="K59" s="21">
        <v>8.141857558845E-4</v>
      </c>
      <c r="L59" s="19"/>
      <c r="M59" s="21">
        <v>6.7769616286552801E-4</v>
      </c>
      <c r="N59" s="19"/>
      <c r="O59" s="21">
        <v>1.18416083464034E-4</v>
      </c>
      <c r="P59" s="19"/>
      <c r="Q59" s="21">
        <v>7.1782405642033904E-4</v>
      </c>
      <c r="R59" s="19"/>
      <c r="S59" s="21">
        <v>2.5732525022047599E-4</v>
      </c>
      <c r="T59" s="19"/>
      <c r="U59" s="21">
        <v>-1.61911794271066E-3</v>
      </c>
      <c r="V59" s="19"/>
      <c r="W59" s="21">
        <v>1.8952103998557601E-3</v>
      </c>
      <c r="X59" s="19"/>
      <c r="Y59" s="21">
        <v>6.3662897036977301E-4</v>
      </c>
      <c r="Z59" s="19"/>
      <c r="AA59" s="21">
        <v>2.8635398920332601E-4</v>
      </c>
      <c r="AB59" s="19"/>
      <c r="AC59" s="21">
        <v>-2.0258655868989501E-4</v>
      </c>
      <c r="AD59" s="19"/>
      <c r="AE59" s="21">
        <v>-2.4302347970600301E-4</v>
      </c>
      <c r="AF59" s="19"/>
      <c r="AG59" s="21">
        <v>-2.40092717177561E-5</v>
      </c>
      <c r="AH59" s="19"/>
      <c r="AI59" s="21">
        <v>-9.8720007691915804E-4</v>
      </c>
      <c r="AJ59" s="19"/>
      <c r="AK59" s="21">
        <v>8.8774385382703303E-4</v>
      </c>
      <c r="AL59" s="19"/>
      <c r="AM59" s="21">
        <v>2.7360888113350302E-4</v>
      </c>
      <c r="AN59" s="19"/>
      <c r="AO59" s="21">
        <v>2.26066574391381E-4</v>
      </c>
      <c r="AP59" s="19"/>
      <c r="AQ59" s="21">
        <v>-1.7028237705009401E-4</v>
      </c>
      <c r="AR59" s="19"/>
      <c r="AS59" s="21">
        <v>1.43557051111995E-4</v>
      </c>
      <c r="AT59" s="19"/>
      <c r="AU59" s="21">
        <v>-8.8210681789298599E-5</v>
      </c>
      <c r="AV59" s="19"/>
      <c r="AW59" s="21">
        <v>-2.5966129290782203E-4</v>
      </c>
      <c r="AX59" s="19"/>
      <c r="AY59" s="21">
        <v>-3.2156634704132202E-6</v>
      </c>
      <c r="AZ59" s="19"/>
      <c r="BA59" s="21">
        <v>-1.51346864551946E-4</v>
      </c>
      <c r="BB59" s="19"/>
      <c r="BC59" s="21">
        <v>-3.3922781184454899E-4</v>
      </c>
      <c r="BD59" s="19"/>
      <c r="BE59" s="21">
        <v>1.8842420029752501E-4</v>
      </c>
      <c r="BF59" s="19"/>
      <c r="BG59" s="21"/>
      <c r="BH59" s="19"/>
    </row>
    <row r="60" spans="1:60" x14ac:dyDescent="0.15">
      <c r="A60" s="17">
        <v>1992</v>
      </c>
      <c r="B60" s="17">
        <v>1</v>
      </c>
      <c r="C60" s="21"/>
      <c r="D60" s="19"/>
      <c r="E60" s="21">
        <v>5.6068699796066098E-3</v>
      </c>
      <c r="F60" s="19"/>
      <c r="G60" s="21">
        <v>4.0620486747567101E-4</v>
      </c>
      <c r="H60" s="19"/>
      <c r="I60" s="21">
        <v>-1.07904100696857E-4</v>
      </c>
      <c r="J60" s="19"/>
      <c r="K60" s="21">
        <v>2.0227172064470498E-3</v>
      </c>
      <c r="L60" s="19"/>
      <c r="M60" s="21">
        <v>8.7714730460864798E-4</v>
      </c>
      <c r="N60" s="19"/>
      <c r="O60" s="21">
        <v>1.1648013329873001E-3</v>
      </c>
      <c r="P60" s="19"/>
      <c r="Q60" s="21">
        <v>-4.8469485703437701E-5</v>
      </c>
      <c r="R60" s="19"/>
      <c r="S60" s="21">
        <v>2.1830623824163999E-4</v>
      </c>
      <c r="T60" s="19"/>
      <c r="U60" s="21">
        <v>1.2050034853166801E-4</v>
      </c>
      <c r="V60" s="19"/>
      <c r="W60" s="21">
        <v>2.02058845024585E-3</v>
      </c>
      <c r="X60" s="19"/>
      <c r="Y60" s="21">
        <v>1.1324133102799401E-4</v>
      </c>
      <c r="Z60" s="19"/>
      <c r="AA60" s="21">
        <v>-3.99040375188511E-5</v>
      </c>
      <c r="AB60" s="19"/>
      <c r="AC60" s="21">
        <v>-2.3576866623151201E-4</v>
      </c>
      <c r="AD60" s="19"/>
      <c r="AE60" s="21">
        <v>-3.0413660200900898E-4</v>
      </c>
      <c r="AF60" s="19"/>
      <c r="AG60" s="21">
        <v>1.20961327099547E-3</v>
      </c>
      <c r="AH60" s="19"/>
      <c r="AI60" s="21">
        <v>2.3472983225429099E-4</v>
      </c>
      <c r="AJ60" s="19"/>
      <c r="AK60" s="21">
        <v>1.0985507565616E-3</v>
      </c>
      <c r="AL60" s="19"/>
      <c r="AM60" s="21">
        <v>4.9150827400578398E-4</v>
      </c>
      <c r="AN60" s="19"/>
      <c r="AO60" s="21">
        <v>8.5347305412098994E-5</v>
      </c>
      <c r="AP60" s="19"/>
      <c r="AQ60" s="21">
        <v>-3.1336240777115401E-5</v>
      </c>
      <c r="AR60" s="19"/>
      <c r="AS60" s="21">
        <v>1.4026204048109099E-4</v>
      </c>
      <c r="AT60" s="19"/>
      <c r="AU60" s="21">
        <v>-1.48197251705375E-4</v>
      </c>
      <c r="AV60" s="19"/>
      <c r="AW60" s="21">
        <v>-1.6694336002986401E-4</v>
      </c>
      <c r="AX60" s="19"/>
      <c r="AY60" s="21">
        <v>-2.2998927819697801E-6</v>
      </c>
      <c r="AZ60" s="19"/>
      <c r="BA60" s="21">
        <v>6.5174117904408997E-5</v>
      </c>
      <c r="BB60" s="19"/>
      <c r="BC60" s="21">
        <v>-9.8340679026674295E-5</v>
      </c>
      <c r="BD60" s="19"/>
      <c r="BE60" s="21">
        <v>1.9222284526857199E-4</v>
      </c>
      <c r="BF60" s="19"/>
      <c r="BG60" s="21"/>
      <c r="BH60" s="19"/>
    </row>
    <row r="61" spans="1:60" x14ac:dyDescent="0.15">
      <c r="A61" s="17">
        <v>1992</v>
      </c>
      <c r="B61" s="17">
        <v>2</v>
      </c>
      <c r="C61" s="21"/>
      <c r="D61" s="19"/>
      <c r="E61" s="21">
        <v>-7.1147034456563402E-4</v>
      </c>
      <c r="F61" s="19"/>
      <c r="G61" s="21">
        <v>7.8776587064513206E-5</v>
      </c>
      <c r="H61" s="19"/>
      <c r="I61" s="21">
        <v>-6.6445391353424295E-5</v>
      </c>
      <c r="J61" s="19"/>
      <c r="K61" s="21">
        <v>-9.7958744542713102E-4</v>
      </c>
      <c r="L61" s="19"/>
      <c r="M61" s="21">
        <v>1.39960691422269E-4</v>
      </c>
      <c r="N61" s="19"/>
      <c r="O61" s="21">
        <v>-1.11912793895615E-3</v>
      </c>
      <c r="P61" s="19"/>
      <c r="Q61" s="21">
        <v>2.18588604325185E-4</v>
      </c>
      <c r="R61" s="19"/>
      <c r="S61" s="21">
        <v>1.2678425877547101E-4</v>
      </c>
      <c r="T61" s="19"/>
      <c r="U61" s="21">
        <v>-4.83332492863673E-4</v>
      </c>
      <c r="V61" s="19"/>
      <c r="W61" s="21">
        <v>5.11746744855463E-4</v>
      </c>
      <c r="X61" s="19"/>
      <c r="Y61" s="21">
        <v>-4.0127038158922703E-4</v>
      </c>
      <c r="Z61" s="19"/>
      <c r="AA61" s="21">
        <v>3.9460429736273901E-5</v>
      </c>
      <c r="AB61" s="19"/>
      <c r="AC61" s="21">
        <v>-2.37026082428624E-4</v>
      </c>
      <c r="AD61" s="19"/>
      <c r="AE61" s="21">
        <v>-5.3454141465164096E-4</v>
      </c>
      <c r="AF61" s="19"/>
      <c r="AG61" s="21">
        <v>4.6770794656390401E-4</v>
      </c>
      <c r="AH61" s="19"/>
      <c r="AI61" s="21">
        <v>-4.2279850975165999E-4</v>
      </c>
      <c r="AJ61" s="19"/>
      <c r="AK61" s="21">
        <v>8.3934153828934502E-4</v>
      </c>
      <c r="AL61" s="19"/>
      <c r="AM61" s="21">
        <v>-1.9711056382818701E-4</v>
      </c>
      <c r="AN61" s="19"/>
      <c r="AO61" s="21">
        <v>-2.64597605171903E-6</v>
      </c>
      <c r="AP61" s="19"/>
      <c r="AQ61" s="21">
        <v>1.52732572830198E-4</v>
      </c>
      <c r="AR61" s="19"/>
      <c r="AS61" s="21">
        <v>4.7607296473139299E-4</v>
      </c>
      <c r="AT61" s="19"/>
      <c r="AU61" s="21">
        <v>-8.6489085986825304E-5</v>
      </c>
      <c r="AV61" s="19"/>
      <c r="AW61" s="21">
        <v>-1.99501578214357E-4</v>
      </c>
      <c r="AX61" s="19"/>
      <c r="AY61" s="21">
        <v>-3.7189753009817498E-6</v>
      </c>
      <c r="AZ61" s="19"/>
      <c r="BA61" s="21">
        <v>-1.43604017022827E-4</v>
      </c>
      <c r="BB61" s="19"/>
      <c r="BC61" s="21">
        <v>-3.25508140732822E-4</v>
      </c>
      <c r="BD61" s="19"/>
      <c r="BE61" s="21">
        <v>1.82347625225491E-4</v>
      </c>
      <c r="BF61" s="19"/>
      <c r="BG61" s="21"/>
      <c r="BH61" s="19"/>
    </row>
    <row r="62" spans="1:60" x14ac:dyDescent="0.15">
      <c r="A62" s="17">
        <v>1992</v>
      </c>
      <c r="B62" s="17">
        <v>3</v>
      </c>
      <c r="C62" s="21"/>
      <c r="D62" s="19"/>
      <c r="E62" s="21">
        <v>-6.9837718321735798E-3</v>
      </c>
      <c r="F62" s="19"/>
      <c r="G62" s="21">
        <v>-1.25638790998759E-4</v>
      </c>
      <c r="H62" s="19"/>
      <c r="I62" s="21">
        <v>-3.4120003444128702E-5</v>
      </c>
      <c r="J62" s="19"/>
      <c r="K62" s="21">
        <v>-1.9295680608728701E-3</v>
      </c>
      <c r="L62" s="19"/>
      <c r="M62" s="21">
        <v>-8.8783119120103206E-5</v>
      </c>
      <c r="N62" s="19"/>
      <c r="O62" s="21">
        <v>-1.84101513188962E-3</v>
      </c>
      <c r="P62" s="19"/>
      <c r="Q62" s="21">
        <v>2.2399333282427001E-4</v>
      </c>
      <c r="R62" s="19"/>
      <c r="S62" s="21">
        <v>1.0477586559354E-4</v>
      </c>
      <c r="T62" s="19"/>
      <c r="U62" s="21">
        <v>-6.6339933764019495E-4</v>
      </c>
      <c r="V62" s="19"/>
      <c r="W62" s="21">
        <v>-1.3411961594648101E-3</v>
      </c>
      <c r="X62" s="19"/>
      <c r="Y62" s="21">
        <v>-1.7494903879944801E-4</v>
      </c>
      <c r="Z62" s="19"/>
      <c r="AA62" s="21">
        <v>-2.22475179905555E-4</v>
      </c>
      <c r="AB62" s="19"/>
      <c r="AC62" s="21">
        <v>-2.4537242714956598E-4</v>
      </c>
      <c r="AD62" s="19"/>
      <c r="AE62" s="21">
        <v>-7.0968118346260598E-4</v>
      </c>
      <c r="AF62" s="19"/>
      <c r="AG62" s="21">
        <v>1.2735892873139999E-3</v>
      </c>
      <c r="AH62" s="19"/>
      <c r="AI62" s="21">
        <v>7.7922934959989796E-4</v>
      </c>
      <c r="AJ62" s="19"/>
      <c r="AK62" s="21">
        <v>6.2114870984458597E-4</v>
      </c>
      <c r="AL62" s="19"/>
      <c r="AM62" s="21">
        <v>-1.32698556322235E-3</v>
      </c>
      <c r="AN62" s="19"/>
      <c r="AO62" s="21">
        <v>-4.80289073317029E-4</v>
      </c>
      <c r="AP62" s="19"/>
      <c r="AQ62" s="21">
        <v>3.3657838700111798E-4</v>
      </c>
      <c r="AR62" s="19"/>
      <c r="AS62" s="21">
        <v>-1.22683592384387E-3</v>
      </c>
      <c r="AT62" s="19"/>
      <c r="AU62" s="21">
        <v>-3.8151707876567698E-4</v>
      </c>
      <c r="AV62" s="19"/>
      <c r="AW62" s="21">
        <v>-3.3811454620521402E-4</v>
      </c>
      <c r="AX62" s="19"/>
      <c r="AY62" s="21">
        <v>-1.06555707321484E-6</v>
      </c>
      <c r="AZ62" s="19"/>
      <c r="BA62" s="21">
        <v>-2.7068050900137201E-4</v>
      </c>
      <c r="BB62" s="19"/>
      <c r="BC62" s="21">
        <v>-4.7468151223759898E-4</v>
      </c>
      <c r="BD62" s="19"/>
      <c r="BE62" s="21">
        <v>2.0019778658922699E-4</v>
      </c>
      <c r="BF62" s="19"/>
      <c r="BG62" s="21"/>
      <c r="BH62" s="19"/>
    </row>
    <row r="63" spans="1:60" x14ac:dyDescent="0.15">
      <c r="A63" s="17">
        <v>1992</v>
      </c>
      <c r="B63" s="17">
        <v>4</v>
      </c>
      <c r="C63" s="21"/>
      <c r="D63" s="19"/>
      <c r="E63" s="21">
        <v>-4.9993262639236201E-3</v>
      </c>
      <c r="F63" s="19"/>
      <c r="G63" s="21">
        <v>-1.3753596457333401E-4</v>
      </c>
      <c r="H63" s="19"/>
      <c r="I63" s="21">
        <v>-1.46506169848985E-5</v>
      </c>
      <c r="J63" s="19"/>
      <c r="K63" s="21">
        <v>-2.8626953664755901E-3</v>
      </c>
      <c r="L63" s="19"/>
      <c r="M63" s="21">
        <v>2.3457058776696799E-4</v>
      </c>
      <c r="N63" s="19"/>
      <c r="O63" s="21">
        <v>-3.0982644480711898E-3</v>
      </c>
      <c r="P63" s="19"/>
      <c r="Q63" s="21">
        <v>-4.4891149421109102E-4</v>
      </c>
      <c r="R63" s="19"/>
      <c r="S63" s="21">
        <v>2.11918412377556E-5</v>
      </c>
      <c r="T63" s="19"/>
      <c r="U63" s="21">
        <v>2.3614369299082401E-4</v>
      </c>
      <c r="V63" s="19"/>
      <c r="W63" s="21">
        <v>-2.60153317268928E-3</v>
      </c>
      <c r="X63" s="19"/>
      <c r="Y63" s="21">
        <v>-3.5519729113638602E-4</v>
      </c>
      <c r="Z63" s="19"/>
      <c r="AA63" s="21">
        <v>-3.6265197298256102E-4</v>
      </c>
      <c r="AB63" s="19"/>
      <c r="AC63" s="21">
        <v>-1.52763389708915E-4</v>
      </c>
      <c r="AD63" s="19"/>
      <c r="AE63" s="21">
        <v>-9.0348918293243303E-4</v>
      </c>
      <c r="AF63" s="19"/>
      <c r="AG63" s="21">
        <v>3.0578223910340302E-3</v>
      </c>
      <c r="AH63" s="19"/>
      <c r="AI63" s="21">
        <v>2.7891491429669602E-3</v>
      </c>
      <c r="AJ63" s="19"/>
      <c r="AK63" s="21">
        <v>4.2485179675127597E-4</v>
      </c>
      <c r="AL63" s="19"/>
      <c r="AM63" s="21">
        <v>-1.0140744421685301E-3</v>
      </c>
      <c r="AN63" s="19"/>
      <c r="AO63" s="21">
        <v>-4.5594526465289901E-4</v>
      </c>
      <c r="AP63" s="19"/>
      <c r="AQ63" s="21">
        <v>5.2821516093635599E-4</v>
      </c>
      <c r="AR63" s="19"/>
      <c r="AS63" s="21">
        <v>1.2594787814424E-4</v>
      </c>
      <c r="AT63" s="19"/>
      <c r="AU63" s="21">
        <v>1.5982252675099401E-5</v>
      </c>
      <c r="AV63" s="19"/>
      <c r="AW63" s="21">
        <v>-1.5166170567341899E-4</v>
      </c>
      <c r="AX63" s="19"/>
      <c r="AY63" s="21">
        <v>2.0354505115401499E-6</v>
      </c>
      <c r="AZ63" s="19"/>
      <c r="BA63" s="21">
        <v>-2.2488391422643699E-5</v>
      </c>
      <c r="BB63" s="19"/>
      <c r="BC63" s="21">
        <v>-3.1923791219443999E-4</v>
      </c>
      <c r="BD63" s="19"/>
      <c r="BE63" s="21">
        <v>3.0905113545076201E-4</v>
      </c>
      <c r="BF63" s="19"/>
      <c r="BG63" s="21"/>
      <c r="BH63" s="19"/>
    </row>
    <row r="64" spans="1:60" x14ac:dyDescent="0.15">
      <c r="A64" s="17">
        <v>1993</v>
      </c>
      <c r="B64" s="17">
        <v>1</v>
      </c>
      <c r="C64" s="21"/>
      <c r="D64" s="19"/>
      <c r="E64" s="21">
        <v>-3.5033755973380202E-3</v>
      </c>
      <c r="F64" s="19"/>
      <c r="G64" s="21">
        <v>-2.0240912035809799E-4</v>
      </c>
      <c r="H64" s="19"/>
      <c r="I64" s="21">
        <v>4.9388255013168801E-5</v>
      </c>
      <c r="J64" s="19"/>
      <c r="K64" s="21">
        <v>7.3089225936381896E-4</v>
      </c>
      <c r="L64" s="19"/>
      <c r="M64" s="21">
        <v>4.0165593990804902E-4</v>
      </c>
      <c r="N64" s="19"/>
      <c r="O64" s="21">
        <v>3.2941277703285002E-4</v>
      </c>
      <c r="P64" s="19"/>
      <c r="Q64" s="21">
        <v>4.09177637132926E-4</v>
      </c>
      <c r="R64" s="19"/>
      <c r="S64" s="21">
        <v>-5.2632194071259497E-5</v>
      </c>
      <c r="T64" s="19"/>
      <c r="U64" s="21">
        <v>-1.6234258207764799E-3</v>
      </c>
      <c r="V64" s="19"/>
      <c r="W64" s="21">
        <v>-2.9191639065838902E-3</v>
      </c>
      <c r="X64" s="19"/>
      <c r="Y64" s="21">
        <v>-7.4537196361749395E-4</v>
      </c>
      <c r="Z64" s="19"/>
      <c r="AA64" s="21">
        <v>-2.34279683130424E-4</v>
      </c>
      <c r="AB64" s="19"/>
      <c r="AC64" s="21">
        <v>-1.9113827856780401E-4</v>
      </c>
      <c r="AD64" s="19"/>
      <c r="AE64" s="21">
        <v>-7.6084063298819098E-4</v>
      </c>
      <c r="AF64" s="19"/>
      <c r="AG64" s="21">
        <v>8.0042838705395502E-4</v>
      </c>
      <c r="AH64" s="19"/>
      <c r="AI64" s="21">
        <v>4.3139699741825803E-4</v>
      </c>
      <c r="AJ64" s="19"/>
      <c r="AK64" s="21">
        <v>2.2871846587440301E-4</v>
      </c>
      <c r="AL64" s="19"/>
      <c r="AM64" s="21">
        <v>-2.7811140471493203E-4</v>
      </c>
      <c r="AN64" s="19"/>
      <c r="AO64" s="21">
        <v>1.19470145030256E-4</v>
      </c>
      <c r="AP64" s="19"/>
      <c r="AQ64" s="21">
        <v>7.2431011823146903E-4</v>
      </c>
      <c r="AR64" s="19"/>
      <c r="AS64" s="21">
        <v>1.6675369380459099E-4</v>
      </c>
      <c r="AT64" s="19"/>
      <c r="AU64" s="21">
        <v>-7.0034328038808398E-5</v>
      </c>
      <c r="AV64" s="19"/>
      <c r="AW64" s="21">
        <v>6.5796558104632299E-6</v>
      </c>
      <c r="AX64" s="19"/>
      <c r="AY64" s="21">
        <v>5.6044609163689603E-6</v>
      </c>
      <c r="AZ64" s="19"/>
      <c r="BA64" s="21">
        <v>1.82520928090071E-4</v>
      </c>
      <c r="BB64" s="19"/>
      <c r="BC64" s="21">
        <v>-8.6920089719623594E-6</v>
      </c>
      <c r="BD64" s="19"/>
      <c r="BE64" s="21">
        <v>1.8467789065091601E-4</v>
      </c>
      <c r="BF64" s="19"/>
      <c r="BG64" s="21"/>
      <c r="BH64" s="19"/>
    </row>
    <row r="65" spans="1:60" x14ac:dyDescent="0.15">
      <c r="A65" s="17">
        <v>1993</v>
      </c>
      <c r="B65" s="17">
        <v>2</v>
      </c>
      <c r="C65" s="21"/>
      <c r="D65" s="19"/>
      <c r="E65" s="21">
        <v>8.5759326779760794E-3</v>
      </c>
      <c r="F65" s="19"/>
      <c r="G65" s="21">
        <v>-1.8688132178770999E-4</v>
      </c>
      <c r="H65" s="19"/>
      <c r="I65" s="21">
        <v>-1.2913992457961101E-5</v>
      </c>
      <c r="J65" s="19"/>
      <c r="K65" s="21">
        <v>1.8791621773581401E-3</v>
      </c>
      <c r="L65" s="19"/>
      <c r="M65" s="21">
        <v>1.0708128070703201E-3</v>
      </c>
      <c r="N65" s="19"/>
      <c r="O65" s="21">
        <v>8.1686226604298605E-4</v>
      </c>
      <c r="P65" s="19"/>
      <c r="Q65" s="21">
        <v>-2.92333765581396E-4</v>
      </c>
      <c r="R65" s="19"/>
      <c r="S65" s="21">
        <v>-8.5502406485270501E-5</v>
      </c>
      <c r="T65" s="19"/>
      <c r="U65" s="21">
        <v>2.0849453344573001E-4</v>
      </c>
      <c r="V65" s="19"/>
      <c r="W65" s="21">
        <v>9.4096512526433502E-4</v>
      </c>
      <c r="X65" s="19"/>
      <c r="Y65" s="21">
        <v>2.2053236797225801E-4</v>
      </c>
      <c r="Z65" s="19"/>
      <c r="AA65" s="21">
        <v>-3.2032635088100498E-4</v>
      </c>
      <c r="AB65" s="19"/>
      <c r="AC65" s="21">
        <v>-1.5591970386917499E-4</v>
      </c>
      <c r="AD65" s="19"/>
      <c r="AE65" s="21">
        <v>4.9082632297282101E-5</v>
      </c>
      <c r="AF65" s="19"/>
      <c r="AG65" s="21">
        <v>2.07995137673413E-3</v>
      </c>
      <c r="AH65" s="19"/>
      <c r="AI65" s="21">
        <v>1.9383429426269301E-3</v>
      </c>
      <c r="AJ65" s="19"/>
      <c r="AK65" s="21">
        <v>1.7664469367092999E-4</v>
      </c>
      <c r="AL65" s="19"/>
      <c r="AM65" s="21">
        <v>3.1998840201107599E-3</v>
      </c>
      <c r="AN65" s="19"/>
      <c r="AO65" s="21">
        <v>7.5906123357057803E-4</v>
      </c>
      <c r="AP65" s="19"/>
      <c r="AQ65" s="21">
        <v>2.0768408430955399E-5</v>
      </c>
      <c r="AR65" s="19"/>
      <c r="AS65" s="21">
        <v>6.4512386960028604E-4</v>
      </c>
      <c r="AT65" s="19"/>
      <c r="AU65" s="21">
        <v>4.6722772014991402E-5</v>
      </c>
      <c r="AV65" s="19"/>
      <c r="AW65" s="21">
        <v>-8.5173218573929497E-5</v>
      </c>
      <c r="AX65" s="19"/>
      <c r="AY65" s="21">
        <v>1.4884032404042899E-5</v>
      </c>
      <c r="AZ65" s="19"/>
      <c r="BA65" s="21">
        <v>6.1370176177760402E-4</v>
      </c>
      <c r="BB65" s="19"/>
      <c r="BC65" s="21">
        <v>4.2547096359588202E-4</v>
      </c>
      <c r="BD65" s="19"/>
      <c r="BE65" s="21">
        <v>1.7746639484066199E-4</v>
      </c>
      <c r="BF65" s="19"/>
      <c r="BG65" s="21"/>
      <c r="BH65" s="19"/>
    </row>
    <row r="66" spans="1:60" x14ac:dyDescent="0.15">
      <c r="A66" s="17">
        <v>1993</v>
      </c>
      <c r="B66" s="17">
        <v>3</v>
      </c>
      <c r="C66" s="21"/>
      <c r="D66" s="19"/>
      <c r="E66" s="21">
        <v>3.28714514938328E-3</v>
      </c>
      <c r="F66" s="19"/>
      <c r="G66" s="21">
        <v>-2.8631431486963999E-4</v>
      </c>
      <c r="H66" s="19"/>
      <c r="I66" s="21">
        <v>-1.0830449404590799E-5</v>
      </c>
      <c r="J66" s="19"/>
      <c r="K66" s="21">
        <v>1.1828210615932901E-3</v>
      </c>
      <c r="L66" s="19"/>
      <c r="M66" s="21">
        <v>6.9426293539241702E-4</v>
      </c>
      <c r="N66" s="19"/>
      <c r="O66" s="21">
        <v>4.9171530073175004E-4</v>
      </c>
      <c r="P66" s="19"/>
      <c r="Q66" s="21">
        <v>1.45413250341413E-3</v>
      </c>
      <c r="R66" s="19"/>
      <c r="S66" s="21">
        <v>3.8033032981458402E-4</v>
      </c>
      <c r="T66" s="19"/>
      <c r="U66" s="21">
        <v>-4.1210262671639901E-4</v>
      </c>
      <c r="V66" s="19"/>
      <c r="W66" s="21">
        <v>-5.8253091404450496E-4</v>
      </c>
      <c r="X66" s="19"/>
      <c r="Y66" s="21">
        <v>-4.6538413517850999E-4</v>
      </c>
      <c r="Z66" s="19"/>
      <c r="AA66" s="21">
        <v>-3.7301311607828398E-4</v>
      </c>
      <c r="AB66" s="19"/>
      <c r="AC66" s="21">
        <v>-3.3541596322925199E-4</v>
      </c>
      <c r="AD66" s="19"/>
      <c r="AE66" s="21">
        <v>-4.2897170116125899E-4</v>
      </c>
      <c r="AF66" s="19"/>
      <c r="AG66" s="21">
        <v>2.4094948819056998E-3</v>
      </c>
      <c r="AH66" s="19"/>
      <c r="AI66" s="21">
        <v>2.3367640269712701E-3</v>
      </c>
      <c r="AJ66" s="19"/>
      <c r="AK66" s="21">
        <v>1.07573051642944E-4</v>
      </c>
      <c r="AL66" s="19"/>
      <c r="AM66" s="21">
        <v>1.0618304763201499E-3</v>
      </c>
      <c r="AN66" s="19"/>
      <c r="AO66" s="21">
        <v>1.92735870888748E-4</v>
      </c>
      <c r="AP66" s="19"/>
      <c r="AQ66" s="21">
        <v>-6.77332280696321E-4</v>
      </c>
      <c r="AR66" s="19"/>
      <c r="AS66" s="21">
        <v>3.5353281997902998E-4</v>
      </c>
      <c r="AT66" s="19"/>
      <c r="AU66" s="21">
        <v>-1.2457880503185099E-4</v>
      </c>
      <c r="AV66" s="19"/>
      <c r="AW66" s="21">
        <v>-2.6195896605936398E-4</v>
      </c>
      <c r="AX66" s="19"/>
      <c r="AY66" s="21">
        <v>2.3562770460980299E-5</v>
      </c>
      <c r="AZ66" s="19"/>
      <c r="BA66" s="21">
        <v>5.35119159689591E-4</v>
      </c>
      <c r="BB66" s="19"/>
      <c r="BC66" s="21">
        <v>4.0094022140066301E-4</v>
      </c>
      <c r="BD66" s="19"/>
      <c r="BE66" s="21">
        <v>1.3033168632874001E-4</v>
      </c>
      <c r="BF66" s="19"/>
      <c r="BG66" s="21"/>
      <c r="BH66" s="19"/>
    </row>
    <row r="67" spans="1:60" x14ac:dyDescent="0.15">
      <c r="A67" s="17">
        <v>1993</v>
      </c>
      <c r="B67" s="17">
        <v>4</v>
      </c>
      <c r="C67" s="21"/>
      <c r="D67" s="19"/>
      <c r="E67" s="21">
        <v>4.7277916407810197E-3</v>
      </c>
      <c r="F67" s="19"/>
      <c r="G67" s="21">
        <v>-3.2978757193429301E-4</v>
      </c>
      <c r="H67" s="19"/>
      <c r="I67" s="21">
        <v>-4.7061305753563102E-5</v>
      </c>
      <c r="J67" s="19"/>
      <c r="K67" s="21">
        <v>2.1982437593297201E-3</v>
      </c>
      <c r="L67" s="19"/>
      <c r="M67" s="21">
        <v>1.1181633653399199E-3</v>
      </c>
      <c r="N67" s="19"/>
      <c r="O67" s="21">
        <v>1.0703110689765001E-3</v>
      </c>
      <c r="P67" s="19"/>
      <c r="Q67" s="21">
        <v>1.5420588605275E-3</v>
      </c>
      <c r="R67" s="19"/>
      <c r="S67" s="21">
        <v>-1.1830798304057E-4</v>
      </c>
      <c r="T67" s="19"/>
      <c r="U67" s="21">
        <v>5.4852243888775802E-4</v>
      </c>
      <c r="V67" s="19"/>
      <c r="W67" s="21">
        <v>-1.65593729090941E-3</v>
      </c>
      <c r="X67" s="19"/>
      <c r="Y67" s="21">
        <v>-3.8184472212700798E-4</v>
      </c>
      <c r="Z67" s="19"/>
      <c r="AA67" s="21">
        <v>-2.3086658002856799E-4</v>
      </c>
      <c r="AB67" s="19"/>
      <c r="AC67" s="21">
        <v>-3.7069732737768103E-4</v>
      </c>
      <c r="AD67" s="19"/>
      <c r="AE67" s="21">
        <v>-3.2433093987670799E-4</v>
      </c>
      <c r="AF67" s="19"/>
      <c r="AG67" s="21">
        <v>2.9686532976717001E-3</v>
      </c>
      <c r="AH67" s="19"/>
      <c r="AI67" s="21">
        <v>2.9964446748693102E-3</v>
      </c>
      <c r="AJ67" s="19"/>
      <c r="AK67" s="21">
        <v>2.58924261817293E-5</v>
      </c>
      <c r="AL67" s="19"/>
      <c r="AM67" s="21">
        <v>1.5137527449470801E-3</v>
      </c>
      <c r="AN67" s="19"/>
      <c r="AO67" s="21">
        <v>7.8050806137147004E-4</v>
      </c>
      <c r="AP67" s="19"/>
      <c r="AQ67" s="21">
        <v>-1.3719520609320099E-3</v>
      </c>
      <c r="AR67" s="19"/>
      <c r="AS67" s="21">
        <v>1.51179386656026E-4</v>
      </c>
      <c r="AT67" s="19"/>
      <c r="AU67" s="21">
        <v>2.1184317039315599E-4</v>
      </c>
      <c r="AV67" s="19"/>
      <c r="AW67" s="21">
        <v>-4.4367392754565498E-4</v>
      </c>
      <c r="AX67" s="19"/>
      <c r="AY67" s="21">
        <v>3.2519765789940403E-5</v>
      </c>
      <c r="AZ67" s="19"/>
      <c r="BA67" s="21">
        <v>7.4875228345389695E-4</v>
      </c>
      <c r="BB67" s="19"/>
      <c r="BC67" s="21">
        <v>3.37502941868861E-4</v>
      </c>
      <c r="BD67" s="19"/>
      <c r="BE67" s="21">
        <v>4.12249637732453E-4</v>
      </c>
      <c r="BF67" s="19"/>
      <c r="BG67" s="21"/>
      <c r="BH67" s="19"/>
    </row>
    <row r="68" spans="1:60" x14ac:dyDescent="0.15">
      <c r="A68" s="17">
        <v>1994</v>
      </c>
      <c r="B68" s="17">
        <v>1</v>
      </c>
      <c r="C68" s="21"/>
      <c r="D68" s="19"/>
      <c r="E68" s="21">
        <v>4.7709079372162504E-3</v>
      </c>
      <c r="F68" s="19"/>
      <c r="G68" s="21">
        <v>-3.8361159507263902E-4</v>
      </c>
      <c r="H68" s="19"/>
      <c r="I68" s="21">
        <v>-1.46374941416492E-5</v>
      </c>
      <c r="J68" s="19"/>
      <c r="K68" s="21">
        <v>3.3896650611103599E-3</v>
      </c>
      <c r="L68" s="19"/>
      <c r="M68" s="21">
        <v>1.5268107586671499E-3</v>
      </c>
      <c r="N68" s="19"/>
      <c r="O68" s="21">
        <v>1.8474956302010901E-3</v>
      </c>
      <c r="P68" s="19"/>
      <c r="Q68" s="21">
        <v>-1.7268127384886901E-4</v>
      </c>
      <c r="R68" s="19"/>
      <c r="S68" s="21">
        <v>-1.3094237203194501E-4</v>
      </c>
      <c r="T68" s="19"/>
      <c r="U68" s="21">
        <v>7.7867959050761698E-4</v>
      </c>
      <c r="V68" s="19"/>
      <c r="W68" s="21">
        <v>1.07197667519041E-3</v>
      </c>
      <c r="X68" s="19"/>
      <c r="Y68" s="21">
        <v>-4.7247147060707203E-5</v>
      </c>
      <c r="Z68" s="19"/>
      <c r="AA68" s="21">
        <v>-1.7409722371958001E-4</v>
      </c>
      <c r="AB68" s="19"/>
      <c r="AC68" s="21">
        <v>-1.80808987674287E-4</v>
      </c>
      <c r="AD68" s="19"/>
      <c r="AE68" s="21">
        <v>-4.6444634871036899E-4</v>
      </c>
      <c r="AF68" s="19"/>
      <c r="AG68" s="21">
        <v>1.3887965195490801E-3</v>
      </c>
      <c r="AH68" s="19"/>
      <c r="AI68" s="21">
        <v>8.5146438055717704E-4</v>
      </c>
      <c r="AJ68" s="19"/>
      <c r="AK68" s="21">
        <v>-6.7908900225039994E-5</v>
      </c>
      <c r="AL68" s="19"/>
      <c r="AM68" s="21">
        <v>1.4496365399324E-3</v>
      </c>
      <c r="AN68" s="19"/>
      <c r="AO68" s="21">
        <v>5.5422784234231701E-4</v>
      </c>
      <c r="AP68" s="19"/>
      <c r="AQ68" s="21">
        <v>-2.07000016407155E-3</v>
      </c>
      <c r="AR68" s="19"/>
      <c r="AS68" s="21">
        <v>4.3131940592452598E-4</v>
      </c>
      <c r="AT68" s="19"/>
      <c r="AU68" s="21">
        <v>-3.3164901265740198E-4</v>
      </c>
      <c r="AV68" s="19"/>
      <c r="AW68" s="21">
        <v>-8.4445072480097895E-4</v>
      </c>
      <c r="AX68" s="19"/>
      <c r="AY68" s="21">
        <v>4.2059093221833198E-5</v>
      </c>
      <c r="AZ68" s="19"/>
      <c r="BA68" s="21">
        <v>8.4064873931587105E-4</v>
      </c>
      <c r="BB68" s="19"/>
      <c r="BC68" s="21">
        <v>6.8414588747127804E-4</v>
      </c>
      <c r="BD68" s="19"/>
      <c r="BE68" s="21">
        <v>1.6343729722630799E-4</v>
      </c>
      <c r="BF68" s="19"/>
      <c r="BG68" s="21"/>
      <c r="BH68" s="19"/>
    </row>
    <row r="69" spans="1:60" x14ac:dyDescent="0.15">
      <c r="A69" s="17">
        <v>1994</v>
      </c>
      <c r="B69" s="17">
        <v>2</v>
      </c>
      <c r="C69" s="21"/>
      <c r="D69" s="19"/>
      <c r="E69" s="21">
        <v>-8.3888377264930702E-3</v>
      </c>
      <c r="F69" s="19"/>
      <c r="G69" s="21">
        <v>-1.56126309762174E-4</v>
      </c>
      <c r="H69" s="19"/>
      <c r="I69" s="21">
        <v>-5.5855762293014898E-5</v>
      </c>
      <c r="J69" s="19"/>
      <c r="K69" s="21">
        <v>-2.8882377961238502E-4</v>
      </c>
      <c r="L69" s="19"/>
      <c r="M69" s="21">
        <v>2.91774011692234E-4</v>
      </c>
      <c r="N69" s="19"/>
      <c r="O69" s="21">
        <v>-5.9419710886697704E-4</v>
      </c>
      <c r="P69" s="19"/>
      <c r="Q69" s="21">
        <v>1.6077692196192401E-3</v>
      </c>
      <c r="R69" s="19"/>
      <c r="S69" s="21">
        <v>5.13644251648364E-5</v>
      </c>
      <c r="T69" s="19"/>
      <c r="U69" s="21">
        <v>-5.0911311769568103E-5</v>
      </c>
      <c r="V69" s="19"/>
      <c r="W69" s="21">
        <v>-3.2503768572643998E-3</v>
      </c>
      <c r="X69" s="19"/>
      <c r="Y69" s="21">
        <v>-6.4821002406522895E-4</v>
      </c>
      <c r="Z69" s="19"/>
      <c r="AA69" s="21">
        <v>-1.6758587179601701E-4</v>
      </c>
      <c r="AB69" s="19"/>
      <c r="AC69" s="21">
        <v>-5.5213919232036601E-4</v>
      </c>
      <c r="AD69" s="19"/>
      <c r="AE69" s="21">
        <v>-1.4435885825725401E-4</v>
      </c>
      <c r="AF69" s="19"/>
      <c r="AG69" s="21">
        <v>-4.2931013070392704E-3</v>
      </c>
      <c r="AH69" s="19"/>
      <c r="AI69" s="21">
        <v>-4.6042029664676203E-3</v>
      </c>
      <c r="AJ69" s="19"/>
      <c r="AK69" s="21">
        <v>2.3129177761972E-4</v>
      </c>
      <c r="AL69" s="19"/>
      <c r="AM69" s="21">
        <v>9.1254312089941801E-4</v>
      </c>
      <c r="AN69" s="19"/>
      <c r="AO69" s="21">
        <v>-4.3498975186918003E-4</v>
      </c>
      <c r="AP69" s="19"/>
      <c r="AQ69" s="21">
        <v>-1.2778962687159899E-3</v>
      </c>
      <c r="AR69" s="19"/>
      <c r="AS69" s="21">
        <v>2.6479716948213898E-4</v>
      </c>
      <c r="AT69" s="19"/>
      <c r="AU69" s="21">
        <v>-2.6069146700906601E-5</v>
      </c>
      <c r="AV69" s="19"/>
      <c r="AW69" s="21">
        <v>-3.6595120403828702E-4</v>
      </c>
      <c r="AX69" s="19"/>
      <c r="AY69" s="21">
        <v>3.1426540350484498E-5</v>
      </c>
      <c r="AZ69" s="19"/>
      <c r="BA69" s="21">
        <v>6.0529907099369498E-5</v>
      </c>
      <c r="BB69" s="19"/>
      <c r="BC69" s="21">
        <v>-8.2961663244510698E-5</v>
      </c>
      <c r="BD69" s="19"/>
      <c r="BE69" s="21">
        <v>1.47155423609495E-4</v>
      </c>
      <c r="BF69" s="19"/>
      <c r="BG69" s="21"/>
      <c r="BH69" s="19"/>
    </row>
    <row r="70" spans="1:60" x14ac:dyDescent="0.15">
      <c r="A70" s="17">
        <v>1994</v>
      </c>
      <c r="B70" s="17">
        <v>3</v>
      </c>
      <c r="C70" s="21"/>
      <c r="D70" s="19"/>
      <c r="E70" s="21">
        <v>7.5742987493281396E-3</v>
      </c>
      <c r="F70" s="19"/>
      <c r="G70" s="21">
        <v>-4.4107584834461197E-5</v>
      </c>
      <c r="H70" s="19"/>
      <c r="I70" s="21">
        <v>2.07239445922897E-5</v>
      </c>
      <c r="J70" s="19"/>
      <c r="K70" s="21">
        <v>1.4703201251078501E-3</v>
      </c>
      <c r="L70" s="19"/>
      <c r="M70" s="21">
        <v>5.5382194208810796E-4</v>
      </c>
      <c r="N70" s="19"/>
      <c r="O70" s="21">
        <v>9.0221544616107504E-4</v>
      </c>
      <c r="P70" s="19"/>
      <c r="Q70" s="21">
        <v>1.30131963322071E-3</v>
      </c>
      <c r="R70" s="19"/>
      <c r="S70" s="21">
        <v>-2.6067557224204702E-4</v>
      </c>
      <c r="T70" s="19"/>
      <c r="U70" s="21">
        <v>-3.1833228884315999E-5</v>
      </c>
      <c r="V70" s="19"/>
      <c r="W70" s="21">
        <v>2.79813015524185E-3</v>
      </c>
      <c r="X70" s="19"/>
      <c r="Y70" s="21">
        <v>7.7595230191889806E-5</v>
      </c>
      <c r="Z70" s="19"/>
      <c r="AA70" s="21">
        <v>-6.5805628186857795E-5</v>
      </c>
      <c r="AB70" s="19"/>
      <c r="AC70" s="21">
        <v>-1.3277800515178401E-4</v>
      </c>
      <c r="AD70" s="19"/>
      <c r="AE70" s="21">
        <v>2.2435895767866301E-4</v>
      </c>
      <c r="AF70" s="19"/>
      <c r="AG70" s="21">
        <v>-2.11357123437526E-4</v>
      </c>
      <c r="AH70" s="19"/>
      <c r="AI70" s="21">
        <v>-6.8659077170361805E-4</v>
      </c>
      <c r="AJ70" s="19"/>
      <c r="AK70" s="21">
        <v>5.0278277992360596E-4</v>
      </c>
      <c r="AL70" s="19"/>
      <c r="AM70" s="21">
        <v>8.5839592545038903E-4</v>
      </c>
      <c r="AN70" s="19"/>
      <c r="AO70" s="21">
        <v>8.6480774133500303E-4</v>
      </c>
      <c r="AP70" s="19"/>
      <c r="AQ70" s="21">
        <v>-4.98015807382179E-4</v>
      </c>
      <c r="AR70" s="19"/>
      <c r="AS70" s="21">
        <v>1.54446500874235E-3</v>
      </c>
      <c r="AT70" s="19"/>
      <c r="AU70" s="21">
        <v>6.3367354334050401E-5</v>
      </c>
      <c r="AV70" s="19"/>
      <c r="AW70" s="21">
        <v>-2.7180289516916099E-4</v>
      </c>
      <c r="AX70" s="19"/>
      <c r="AY70" s="21">
        <v>2.0546599283385201E-5</v>
      </c>
      <c r="AZ70" s="19"/>
      <c r="BA70" s="21">
        <v>6.3496240393898695E-4</v>
      </c>
      <c r="BB70" s="19"/>
      <c r="BC70" s="21">
        <v>5.5442857840886696E-4</v>
      </c>
      <c r="BD70" s="19"/>
      <c r="BE70" s="21">
        <v>8.8146632605893104E-5</v>
      </c>
      <c r="BF70" s="19"/>
      <c r="BG70" s="21"/>
      <c r="BH70" s="19"/>
    </row>
    <row r="71" spans="1:60" x14ac:dyDescent="0.15">
      <c r="A71" s="17">
        <v>1994</v>
      </c>
      <c r="B71" s="17">
        <v>4</v>
      </c>
      <c r="C71" s="21"/>
      <c r="D71" s="19"/>
      <c r="E71" s="21">
        <v>3.24497730205379E-3</v>
      </c>
      <c r="F71" s="19"/>
      <c r="G71" s="21">
        <v>8.6400530172376296E-5</v>
      </c>
      <c r="H71" s="19"/>
      <c r="I71" s="21">
        <v>9.2475019445324702E-5</v>
      </c>
      <c r="J71" s="19"/>
      <c r="K71" s="21">
        <v>1.1589877260557999E-3</v>
      </c>
      <c r="L71" s="19"/>
      <c r="M71" s="21">
        <v>1.31728966850814E-3</v>
      </c>
      <c r="N71" s="19"/>
      <c r="O71" s="21">
        <v>-2.3529129194228301E-4</v>
      </c>
      <c r="P71" s="19"/>
      <c r="Q71" s="21">
        <v>-4.6342600085829902E-4</v>
      </c>
      <c r="R71" s="19"/>
      <c r="S71" s="21">
        <v>2.4860603478633301E-4</v>
      </c>
      <c r="T71" s="19"/>
      <c r="U71" s="21">
        <v>-3.522234340597E-4</v>
      </c>
      <c r="V71" s="19"/>
      <c r="W71" s="21">
        <v>2.5201521376832701E-3</v>
      </c>
      <c r="X71" s="19"/>
      <c r="Y71" s="21">
        <v>8.3955857853354696E-5</v>
      </c>
      <c r="Z71" s="19"/>
      <c r="AA71" s="21">
        <v>1.06355096710036E-4</v>
      </c>
      <c r="AB71" s="19"/>
      <c r="AC71" s="21">
        <v>-4.14439808310667E-4</v>
      </c>
      <c r="AD71" s="19"/>
      <c r="AE71" s="21">
        <v>3.0014503536008501E-4</v>
      </c>
      <c r="AF71" s="19"/>
      <c r="AG71" s="21">
        <v>-8.1002241627343595E-4</v>
      </c>
      <c r="AH71" s="19"/>
      <c r="AI71" s="21">
        <v>-1.5902657157135E-3</v>
      </c>
      <c r="AJ71" s="19"/>
      <c r="AK71" s="21">
        <v>7.6383717538510104E-4</v>
      </c>
      <c r="AL71" s="19"/>
      <c r="AM71" s="21">
        <v>4.0131671568960401E-5</v>
      </c>
      <c r="AN71" s="19"/>
      <c r="AO71" s="21">
        <v>-1.7646655097376501E-7</v>
      </c>
      <c r="AP71" s="19"/>
      <c r="AQ71" s="21">
        <v>2.9885677915332E-4</v>
      </c>
      <c r="AR71" s="19"/>
      <c r="AS71" s="21">
        <v>4.7961290806439497E-4</v>
      </c>
      <c r="AT71" s="19"/>
      <c r="AU71" s="21">
        <v>1.3766210578770101E-4</v>
      </c>
      <c r="AV71" s="19"/>
      <c r="AW71" s="21">
        <v>-8.2282968193636303E-5</v>
      </c>
      <c r="AX71" s="19"/>
      <c r="AY71" s="21">
        <v>9.7627807454062403E-6</v>
      </c>
      <c r="AZ71" s="19"/>
      <c r="BA71" s="21">
        <v>1.9354361837997701E-4</v>
      </c>
      <c r="BB71" s="19"/>
      <c r="BC71" s="21">
        <v>1.28375841020536E-4</v>
      </c>
      <c r="BD71" s="19"/>
      <c r="BE71" s="21">
        <v>7.9829651294506903E-5</v>
      </c>
      <c r="BF71" s="19"/>
      <c r="BG71" s="21"/>
      <c r="BH71" s="19"/>
    </row>
    <row r="72" spans="1:60" x14ac:dyDescent="0.15">
      <c r="A72" s="17">
        <v>1995</v>
      </c>
      <c r="B72" s="17">
        <v>1</v>
      </c>
      <c r="C72" s="21"/>
      <c r="D72" s="19"/>
      <c r="E72" s="21">
        <v>-3.1040711353706499E-3</v>
      </c>
      <c r="F72" s="19"/>
      <c r="G72" s="21">
        <v>3.6134677070369999E-4</v>
      </c>
      <c r="H72" s="19"/>
      <c r="I72" s="21">
        <v>1.76302576031646E-4</v>
      </c>
      <c r="J72" s="19"/>
      <c r="K72" s="21">
        <v>-3.4056217873633401E-3</v>
      </c>
      <c r="L72" s="19"/>
      <c r="M72" s="21">
        <v>-5.5947745226723295E-4</v>
      </c>
      <c r="N72" s="19"/>
      <c r="O72" s="21">
        <v>-2.7815675091047401E-3</v>
      </c>
      <c r="P72" s="19"/>
      <c r="Q72" s="21">
        <v>1.2426453498229999E-3</v>
      </c>
      <c r="R72" s="19"/>
      <c r="S72" s="21">
        <v>4.5662419122195801E-4</v>
      </c>
      <c r="T72" s="19"/>
      <c r="U72" s="21">
        <v>-1.9562754496675301E-3</v>
      </c>
      <c r="V72" s="19"/>
      <c r="W72" s="21">
        <v>-1.7615458661159801E-4</v>
      </c>
      <c r="X72" s="19"/>
      <c r="Y72" s="21">
        <v>-9.3360247733354895E-5</v>
      </c>
      <c r="Z72" s="19"/>
      <c r="AA72" s="21">
        <v>-3.90918963228904E-4</v>
      </c>
      <c r="AB72" s="19"/>
      <c r="AC72" s="21">
        <v>8.66900013729745E-5</v>
      </c>
      <c r="AD72" s="19"/>
      <c r="AE72" s="21">
        <v>9.0672249299985296E-4</v>
      </c>
      <c r="AF72" s="19"/>
      <c r="AG72" s="21">
        <v>-1.6025532721545401E-3</v>
      </c>
      <c r="AH72" s="19"/>
      <c r="AI72" s="21">
        <v>-2.3103207961198001E-3</v>
      </c>
      <c r="AJ72" s="19"/>
      <c r="AK72" s="21">
        <v>1.2813978633830199E-3</v>
      </c>
      <c r="AL72" s="19"/>
      <c r="AM72" s="21">
        <v>-1.8007288933592899E-3</v>
      </c>
      <c r="AN72" s="19"/>
      <c r="AO72" s="21">
        <v>-6.4767653402756698E-4</v>
      </c>
      <c r="AP72" s="19"/>
      <c r="AQ72" s="21">
        <v>2.03398269592039E-3</v>
      </c>
      <c r="AR72" s="19"/>
      <c r="AS72" s="21">
        <v>6.2296325051625404E-4</v>
      </c>
      <c r="AT72" s="19"/>
      <c r="AU72" s="21">
        <v>6.8747369927433296E-4</v>
      </c>
      <c r="AV72" s="19"/>
      <c r="AW72" s="21">
        <v>1.7627502472018799E-4</v>
      </c>
      <c r="AX72" s="19"/>
      <c r="AY72" s="21">
        <v>-2.4776347666486601E-5</v>
      </c>
      <c r="AZ72" s="19"/>
      <c r="BA72" s="21">
        <v>-3.21802033569432E-4</v>
      </c>
      <c r="BB72" s="19"/>
      <c r="BC72" s="21">
        <v>-5.0907569872121598E-4</v>
      </c>
      <c r="BD72" s="19"/>
      <c r="BE72" s="21">
        <v>1.66631084909739E-4</v>
      </c>
      <c r="BF72" s="19"/>
      <c r="BG72" s="21"/>
      <c r="BH72" s="19"/>
    </row>
    <row r="73" spans="1:60" x14ac:dyDescent="0.15">
      <c r="A73" s="17">
        <v>1995</v>
      </c>
      <c r="B73" s="17">
        <v>2</v>
      </c>
      <c r="C73" s="21"/>
      <c r="D73" s="19"/>
      <c r="E73" s="21">
        <v>2.8691013376839799E-3</v>
      </c>
      <c r="F73" s="19"/>
      <c r="G73" s="21">
        <v>-3.0318305816072502E-5</v>
      </c>
      <c r="H73" s="19"/>
      <c r="I73" s="21">
        <v>-1.7242574618577601E-6</v>
      </c>
      <c r="J73" s="19"/>
      <c r="K73" s="21">
        <v>9.9768354379370806E-4</v>
      </c>
      <c r="L73" s="19"/>
      <c r="M73" s="21">
        <v>1.16983977787255E-3</v>
      </c>
      <c r="N73" s="19"/>
      <c r="O73" s="21">
        <v>-2.3958940655099099E-4</v>
      </c>
      <c r="P73" s="19"/>
      <c r="Q73" s="21">
        <v>-5.7085515071789497E-4</v>
      </c>
      <c r="R73" s="19"/>
      <c r="S73" s="21">
        <v>2.8054892174885702E-4</v>
      </c>
      <c r="T73" s="19"/>
      <c r="U73" s="21">
        <v>-4.5724766386493398E-4</v>
      </c>
      <c r="V73" s="19"/>
      <c r="W73" s="21">
        <v>1.0542450833321601E-3</v>
      </c>
      <c r="X73" s="19"/>
      <c r="Y73" s="21">
        <v>1.02118722389336E-4</v>
      </c>
      <c r="Z73" s="19"/>
      <c r="AA73" s="21">
        <v>-1.6955237255596601E-4</v>
      </c>
      <c r="AB73" s="19"/>
      <c r="AC73" s="21">
        <v>-6.4706518631199204E-4</v>
      </c>
      <c r="AD73" s="19"/>
      <c r="AE73" s="21">
        <v>3.26904988780214E-5</v>
      </c>
      <c r="AF73" s="19"/>
      <c r="AG73" s="21">
        <v>1.8430840637000199E-3</v>
      </c>
      <c r="AH73" s="19"/>
      <c r="AI73" s="21">
        <v>1.0545849106809401E-3</v>
      </c>
      <c r="AJ73" s="19"/>
      <c r="AK73" s="21">
        <v>4.9619710488255596E-4</v>
      </c>
      <c r="AL73" s="19"/>
      <c r="AM73" s="21">
        <v>6.7255399664589201E-4</v>
      </c>
      <c r="AN73" s="19"/>
      <c r="AO73" s="21">
        <v>-1.9570953263956699E-4</v>
      </c>
      <c r="AP73" s="19"/>
      <c r="AQ73" s="21">
        <v>-1.22184654905147E-5</v>
      </c>
      <c r="AR73" s="19"/>
      <c r="AS73" s="21">
        <v>-3.7654199164953703E-5</v>
      </c>
      <c r="AT73" s="19"/>
      <c r="AU73" s="21">
        <v>1.00431411605531E-4</v>
      </c>
      <c r="AV73" s="19"/>
      <c r="AW73" s="21">
        <v>-1.04313181129392E-4</v>
      </c>
      <c r="AX73" s="19"/>
      <c r="AY73" s="21">
        <v>1.47382296528751E-5</v>
      </c>
      <c r="AZ73" s="19"/>
      <c r="BA73" s="21">
        <v>2.0739567935956299E-4</v>
      </c>
      <c r="BB73" s="19"/>
      <c r="BC73" s="21">
        <v>3.6690508305409002E-4</v>
      </c>
      <c r="BD73" s="19"/>
      <c r="BE73" s="21">
        <v>-1.5879660592210001E-4</v>
      </c>
      <c r="BF73" s="19"/>
      <c r="BG73" s="21"/>
      <c r="BH73" s="19"/>
    </row>
    <row r="74" spans="1:60" x14ac:dyDescent="0.15">
      <c r="A74" s="17">
        <v>1995</v>
      </c>
      <c r="B74" s="17">
        <v>3</v>
      </c>
      <c r="C74" s="21"/>
      <c r="D74" s="19"/>
      <c r="E74" s="21">
        <v>4.58947275100506E-3</v>
      </c>
      <c r="F74" s="19"/>
      <c r="G74" s="21">
        <v>3.32793625636344E-5</v>
      </c>
      <c r="H74" s="19"/>
      <c r="I74" s="21">
        <v>-4.3188159373546702E-5</v>
      </c>
      <c r="J74" s="19"/>
      <c r="K74" s="21">
        <v>-1.8099538072847201E-4</v>
      </c>
      <c r="L74" s="19"/>
      <c r="M74" s="21">
        <v>1.0248099475167001E-3</v>
      </c>
      <c r="N74" s="19"/>
      <c r="O74" s="21">
        <v>-1.2898151042464499E-3</v>
      </c>
      <c r="P74" s="19"/>
      <c r="Q74" s="21">
        <v>-7.6761011337824796E-6</v>
      </c>
      <c r="R74" s="19"/>
      <c r="S74" s="21">
        <v>-4.0083646340608499E-5</v>
      </c>
      <c r="T74" s="19"/>
      <c r="U74" s="21">
        <v>6.4567605058902698E-4</v>
      </c>
      <c r="V74" s="19"/>
      <c r="W74" s="21">
        <v>5.0857602903422799E-4</v>
      </c>
      <c r="X74" s="19"/>
      <c r="Y74" s="21">
        <v>1.03341156637553E-4</v>
      </c>
      <c r="Z74" s="19"/>
      <c r="AA74" s="21">
        <v>-5.7050166353210996E-4</v>
      </c>
      <c r="AB74" s="19"/>
      <c r="AC74" s="21">
        <v>-3.3438980910992098E-4</v>
      </c>
      <c r="AD74" s="19"/>
      <c r="AE74" s="21">
        <v>2.3083394334189901E-4</v>
      </c>
      <c r="AF74" s="19"/>
      <c r="AG74" s="21">
        <v>2.7484306307506202E-3</v>
      </c>
      <c r="AH74" s="19"/>
      <c r="AI74" s="21">
        <v>2.3544086902144898E-3</v>
      </c>
      <c r="AJ74" s="19"/>
      <c r="AK74" s="21">
        <v>2.7164597980802502E-4</v>
      </c>
      <c r="AL74" s="19"/>
      <c r="AM74" s="21">
        <v>1.2033304130897901E-3</v>
      </c>
      <c r="AN74" s="19"/>
      <c r="AO74" s="21">
        <v>-8.0677099896410307E-6</v>
      </c>
      <c r="AP74" s="19"/>
      <c r="AQ74" s="21">
        <v>-2.11766290799239E-4</v>
      </c>
      <c r="AR74" s="19"/>
      <c r="AS74" s="21">
        <v>6.6538054792728398E-4</v>
      </c>
      <c r="AT74" s="19"/>
      <c r="AU74" s="21">
        <v>-3.7163757789203901E-5</v>
      </c>
      <c r="AV74" s="19"/>
      <c r="AW74" s="21">
        <v>-7.2142814730738307E-5</v>
      </c>
      <c r="AX74" s="19"/>
      <c r="AY74" s="21">
        <v>1.2319126222852799E-6</v>
      </c>
      <c r="AZ74" s="19"/>
      <c r="BA74" s="21">
        <v>3.6808206500203602E-4</v>
      </c>
      <c r="BB74" s="19"/>
      <c r="BC74" s="21">
        <v>5.3855651306106503E-4</v>
      </c>
      <c r="BD74" s="19"/>
      <c r="BE74" s="21">
        <v>-1.8221066376913E-4</v>
      </c>
      <c r="BF74" s="19"/>
      <c r="BG74" s="21"/>
      <c r="BH74" s="19"/>
    </row>
    <row r="75" spans="1:60" x14ac:dyDescent="0.15">
      <c r="A75" s="17">
        <v>1995</v>
      </c>
      <c r="B75" s="17">
        <v>4</v>
      </c>
      <c r="C75" s="21"/>
      <c r="D75" s="19"/>
      <c r="E75" s="21">
        <v>-1.8152657910244199E-3</v>
      </c>
      <c r="F75" s="19"/>
      <c r="G75" s="21">
        <v>3.9433402649678702E-5</v>
      </c>
      <c r="H75" s="19"/>
      <c r="I75" s="21">
        <v>-2.1499832775087901E-5</v>
      </c>
      <c r="J75" s="19"/>
      <c r="K75" s="21">
        <v>-3.6064968799642301E-5</v>
      </c>
      <c r="L75" s="19"/>
      <c r="M75" s="21">
        <v>-1.91628725852516E-5</v>
      </c>
      <c r="N75" s="19"/>
      <c r="O75" s="21">
        <v>-1.5808592394989601E-5</v>
      </c>
      <c r="P75" s="19"/>
      <c r="Q75" s="21">
        <v>-7.4584669694907602E-4</v>
      </c>
      <c r="R75" s="19"/>
      <c r="S75" s="21">
        <v>-8.8347098984994097E-5</v>
      </c>
      <c r="T75" s="19"/>
      <c r="U75" s="21">
        <v>-3.3409810018667499E-4</v>
      </c>
      <c r="V75" s="19"/>
      <c r="W75" s="21">
        <v>-2.67093849462778E-3</v>
      </c>
      <c r="X75" s="19"/>
      <c r="Y75" s="21">
        <v>-7.46921720313573E-4</v>
      </c>
      <c r="Z75" s="19"/>
      <c r="AA75" s="21">
        <v>2.0022973490047401E-3</v>
      </c>
      <c r="AB75" s="19"/>
      <c r="AC75" s="21">
        <v>-2.2097859897514399E-4</v>
      </c>
      <c r="AD75" s="19"/>
      <c r="AE75" s="21">
        <v>-2.8931573002032902E-5</v>
      </c>
      <c r="AF75" s="19"/>
      <c r="AG75" s="21">
        <v>-5.6890523051295202E-4</v>
      </c>
      <c r="AH75" s="19"/>
      <c r="AI75" s="21">
        <v>-6.9621350548667899E-4</v>
      </c>
      <c r="AJ75" s="19"/>
      <c r="AK75" s="21">
        <v>4.8944012828823999E-5</v>
      </c>
      <c r="AL75" s="19"/>
      <c r="AM75" s="21">
        <v>8.2309252718408099E-4</v>
      </c>
      <c r="AN75" s="19"/>
      <c r="AO75" s="21">
        <v>-1.03320401498159E-4</v>
      </c>
      <c r="AP75" s="19"/>
      <c r="AQ75" s="21">
        <v>-1.6077015279522899E-4</v>
      </c>
      <c r="AR75" s="19"/>
      <c r="AS75" s="21">
        <v>3.0741893519859701E-4</v>
      </c>
      <c r="AT75" s="19"/>
      <c r="AU75" s="21">
        <v>2.0969452570217199E-4</v>
      </c>
      <c r="AV75" s="19"/>
      <c r="AW75" s="21">
        <v>-1.11898001754541E-4</v>
      </c>
      <c r="AX75" s="19"/>
      <c r="AY75" s="21">
        <v>-3.0565436422055798E-5</v>
      </c>
      <c r="AZ75" s="19"/>
      <c r="BA75" s="21">
        <v>-1.41812052116942E-5</v>
      </c>
      <c r="BB75" s="19"/>
      <c r="BC75" s="21">
        <v>1.79621281192881E-4</v>
      </c>
      <c r="BD75" s="19"/>
      <c r="BE75" s="21">
        <v>-1.7219787222555699E-4</v>
      </c>
      <c r="BF75" s="19"/>
      <c r="BG75" s="21"/>
      <c r="BH75" s="19"/>
    </row>
    <row r="76" spans="1:60" x14ac:dyDescent="0.15">
      <c r="A76" s="17">
        <v>1996</v>
      </c>
      <c r="B76" s="17">
        <v>1</v>
      </c>
      <c r="C76" s="21"/>
      <c r="D76" s="19"/>
      <c r="E76" s="21">
        <v>7.2656541804655096E-3</v>
      </c>
      <c r="F76" s="19"/>
      <c r="G76" s="21">
        <v>-8.0588360366369607E-5</v>
      </c>
      <c r="H76" s="19"/>
      <c r="I76" s="21">
        <v>-1.1070130761934099E-4</v>
      </c>
      <c r="J76" s="19"/>
      <c r="K76" s="21">
        <v>2.61602455382054E-3</v>
      </c>
      <c r="L76" s="19"/>
      <c r="M76" s="21">
        <v>2.0629076268818699E-5</v>
      </c>
      <c r="N76" s="19"/>
      <c r="O76" s="21">
        <v>2.6592120242694499E-3</v>
      </c>
      <c r="P76" s="19"/>
      <c r="Q76" s="21">
        <v>-3.19167188237997E-4</v>
      </c>
      <c r="R76" s="19"/>
      <c r="S76" s="21">
        <v>-2.2492326079067901E-4</v>
      </c>
      <c r="T76" s="19"/>
      <c r="U76" s="21">
        <v>-1.45370062569413E-3</v>
      </c>
      <c r="V76" s="19"/>
      <c r="W76" s="21">
        <v>1.09054999365969E-3</v>
      </c>
      <c r="X76" s="19"/>
      <c r="Y76" s="21">
        <v>-1.8709946229748101E-4</v>
      </c>
      <c r="Z76" s="19"/>
      <c r="AA76" s="21">
        <v>4.2661826694702999E-4</v>
      </c>
      <c r="AB76" s="19"/>
      <c r="AC76" s="21">
        <v>-2.4577028205341998E-4</v>
      </c>
      <c r="AD76" s="19"/>
      <c r="AE76" s="21">
        <v>7.2101987030660504E-4</v>
      </c>
      <c r="AF76" s="19"/>
      <c r="AG76" s="21">
        <v>3.30974193903077E-3</v>
      </c>
      <c r="AH76" s="19"/>
      <c r="AI76" s="21">
        <v>3.6675521856079601E-3</v>
      </c>
      <c r="AJ76" s="19"/>
      <c r="AK76" s="21">
        <v>-1.7722356518287501E-4</v>
      </c>
      <c r="AL76" s="19"/>
      <c r="AM76" s="21">
        <v>1.1285118533311399E-3</v>
      </c>
      <c r="AN76" s="19"/>
      <c r="AO76" s="21">
        <v>1.56232436879806E-4</v>
      </c>
      <c r="AP76" s="19"/>
      <c r="AQ76" s="21">
        <v>5.0578849026396697E-4</v>
      </c>
      <c r="AR76" s="19"/>
      <c r="AS76" s="21">
        <v>1.7944502771472299E-4</v>
      </c>
      <c r="AT76" s="19"/>
      <c r="AU76" s="21">
        <v>-1.10625174712217E-4</v>
      </c>
      <c r="AV76" s="19"/>
      <c r="AW76" s="21">
        <v>-1.8723590793727501E-4</v>
      </c>
      <c r="AX76" s="19"/>
      <c r="AY76" s="21">
        <v>-6.3082862988771905E-5</v>
      </c>
      <c r="AZ76" s="19"/>
      <c r="BA76" s="21">
        <v>3.07102039389967E-4</v>
      </c>
      <c r="BB76" s="19"/>
      <c r="BC76" s="21">
        <v>4.7123893410873201E-4</v>
      </c>
      <c r="BD76" s="19"/>
      <c r="BE76" s="21">
        <v>-1.7348123283479901E-4</v>
      </c>
      <c r="BF76" s="19"/>
      <c r="BG76" s="21"/>
      <c r="BH76" s="19"/>
    </row>
    <row r="77" spans="1:60" x14ac:dyDescent="0.15">
      <c r="A77" s="17">
        <v>1996</v>
      </c>
      <c r="B77" s="17">
        <v>2</v>
      </c>
      <c r="C77" s="21"/>
      <c r="D77" s="19"/>
      <c r="E77" s="21">
        <v>-6.4438852759359103E-3</v>
      </c>
      <c r="F77" s="19"/>
      <c r="G77" s="21">
        <v>1.87121152455854E-5</v>
      </c>
      <c r="H77" s="19"/>
      <c r="I77" s="21">
        <v>6.9247961230821196E-6</v>
      </c>
      <c r="J77" s="19"/>
      <c r="K77" s="21">
        <v>-1.86733737783201E-3</v>
      </c>
      <c r="L77" s="19"/>
      <c r="M77" s="21">
        <v>-2.7250495349946902E-4</v>
      </c>
      <c r="N77" s="19"/>
      <c r="O77" s="21">
        <v>-1.5951970124545301E-3</v>
      </c>
      <c r="P77" s="19"/>
      <c r="Q77" s="21">
        <v>-8.6566738401294599E-4</v>
      </c>
      <c r="R77" s="19"/>
      <c r="S77" s="21">
        <v>-2.0003495840083401E-4</v>
      </c>
      <c r="T77" s="19"/>
      <c r="U77" s="21">
        <v>-1.32261219509532E-3</v>
      </c>
      <c r="V77" s="19"/>
      <c r="W77" s="21">
        <v>-2.3947165572149902E-3</v>
      </c>
      <c r="X77" s="19"/>
      <c r="Y77" s="21">
        <v>-4.1289308932923201E-4</v>
      </c>
      <c r="Z77" s="19"/>
      <c r="AA77" s="21">
        <v>-5.2472200560945597E-4</v>
      </c>
      <c r="AB77" s="19"/>
      <c r="AC77" s="21">
        <v>4.77315698383094E-4</v>
      </c>
      <c r="AD77" s="19"/>
      <c r="AE77" s="21">
        <v>-2.6508825046668197E-4</v>
      </c>
      <c r="AF77" s="19"/>
      <c r="AG77" s="21">
        <v>8.6091637286168904E-5</v>
      </c>
      <c r="AH77" s="19"/>
      <c r="AI77" s="21">
        <v>3.5741613841174002E-6</v>
      </c>
      <c r="AJ77" s="19"/>
      <c r="AK77" s="21">
        <v>2.7406564832431899E-5</v>
      </c>
      <c r="AL77" s="19"/>
      <c r="AM77" s="21">
        <v>5.9896539759282002E-4</v>
      </c>
      <c r="AN77" s="19"/>
      <c r="AO77" s="21">
        <v>2.7376692548460598E-6</v>
      </c>
      <c r="AP77" s="19"/>
      <c r="AQ77" s="21">
        <v>4.3075526827502199E-5</v>
      </c>
      <c r="AR77" s="19"/>
      <c r="AS77" s="21">
        <v>4.3898377739459997E-5</v>
      </c>
      <c r="AT77" s="19"/>
      <c r="AU77" s="21">
        <v>-1.12671245157292E-4</v>
      </c>
      <c r="AV77" s="19"/>
      <c r="AW77" s="21">
        <v>-7.7833084875639596E-5</v>
      </c>
      <c r="AX77" s="19"/>
      <c r="AY77" s="21">
        <v>-1.20913166829389E-5</v>
      </c>
      <c r="AZ77" s="19"/>
      <c r="BA77" s="21">
        <v>2.07987523048577E-4</v>
      </c>
      <c r="BB77" s="19"/>
      <c r="BC77" s="21">
        <v>2.7653957877563502E-4</v>
      </c>
      <c r="BD77" s="19"/>
      <c r="BE77" s="21">
        <v>-6.2602130869592203E-5</v>
      </c>
      <c r="BF77" s="19"/>
      <c r="BG77" s="21"/>
      <c r="BH77" s="19"/>
    </row>
    <row r="78" spans="1:60" x14ac:dyDescent="0.15">
      <c r="A78" s="17">
        <v>1996</v>
      </c>
      <c r="B78" s="17">
        <v>3</v>
      </c>
      <c r="C78" s="21"/>
      <c r="D78" s="19"/>
      <c r="E78" s="21">
        <v>-2.5896691230355199E-3</v>
      </c>
      <c r="F78" s="19"/>
      <c r="G78" s="21">
        <v>-6.9028821963309299E-7</v>
      </c>
      <c r="H78" s="19"/>
      <c r="I78" s="21">
        <v>7.8901816970304198E-6</v>
      </c>
      <c r="J78" s="19"/>
      <c r="K78" s="21">
        <v>5.6313793053688096E-4</v>
      </c>
      <c r="L78" s="19"/>
      <c r="M78" s="21">
        <v>-3.4174712388956001E-4</v>
      </c>
      <c r="N78" s="19"/>
      <c r="O78" s="21">
        <v>9.0348357594628595E-4</v>
      </c>
      <c r="P78" s="19"/>
      <c r="Q78" s="21">
        <v>-9.9110822385566804E-4</v>
      </c>
      <c r="R78" s="19"/>
      <c r="S78" s="21">
        <v>-1.01496010874614E-4</v>
      </c>
      <c r="T78" s="19"/>
      <c r="U78" s="21">
        <v>-1.4077475383524E-3</v>
      </c>
      <c r="V78" s="19"/>
      <c r="W78" s="21">
        <v>-1.03409129177602E-3</v>
      </c>
      <c r="X78" s="19"/>
      <c r="Y78" s="21">
        <v>-6.0066958587096497E-5</v>
      </c>
      <c r="Z78" s="19"/>
      <c r="AA78" s="21">
        <v>-8.7639707924603303E-4</v>
      </c>
      <c r="AB78" s="19"/>
      <c r="AC78" s="21">
        <v>4.64017502366814E-4</v>
      </c>
      <c r="AD78" s="19"/>
      <c r="AE78" s="21">
        <v>-7.20971992948117E-4</v>
      </c>
      <c r="AF78" s="19"/>
      <c r="AG78" s="21">
        <v>1.9665425478628102E-3</v>
      </c>
      <c r="AH78" s="19"/>
      <c r="AI78" s="21">
        <v>1.67939084144427E-3</v>
      </c>
      <c r="AJ78" s="19"/>
      <c r="AK78" s="21">
        <v>2.16708229160946E-4</v>
      </c>
      <c r="AL78" s="19"/>
      <c r="AM78" s="21">
        <v>7.8373675311097397E-5</v>
      </c>
      <c r="AN78" s="19"/>
      <c r="AO78" s="21">
        <v>-1.66059442729235E-4</v>
      </c>
      <c r="AP78" s="19"/>
      <c r="AQ78" s="21">
        <v>-2.8212702902231202E-4</v>
      </c>
      <c r="AR78" s="19"/>
      <c r="AS78" s="21">
        <v>1.19592332515696E-4</v>
      </c>
      <c r="AT78" s="19"/>
      <c r="AU78" s="21">
        <v>8.9103097190395696E-5</v>
      </c>
      <c r="AV78" s="19"/>
      <c r="AW78" s="21">
        <v>-1.63152150052405E-4</v>
      </c>
      <c r="AX78" s="19"/>
      <c r="AY78" s="21">
        <v>-2.2736688196442401E-6</v>
      </c>
      <c r="AZ78" s="19"/>
      <c r="BA78" s="21">
        <v>5.0127721487774803E-4</v>
      </c>
      <c r="BB78" s="19"/>
      <c r="BC78" s="21">
        <v>3.7305710973447399E-4</v>
      </c>
      <c r="BD78" s="19"/>
      <c r="BE78" s="21">
        <v>1.1163961167583199E-4</v>
      </c>
      <c r="BF78" s="19"/>
      <c r="BG78" s="21"/>
      <c r="BH78" s="19"/>
    </row>
    <row r="79" spans="1:60" x14ac:dyDescent="0.15">
      <c r="A79" s="17">
        <v>1996</v>
      </c>
      <c r="B79" s="17">
        <v>4</v>
      </c>
      <c r="C79" s="21"/>
      <c r="D79" s="19"/>
      <c r="E79" s="21">
        <v>3.166373477969E-3</v>
      </c>
      <c r="F79" s="19"/>
      <c r="G79" s="21">
        <v>1.2567643866632901E-6</v>
      </c>
      <c r="H79" s="19"/>
      <c r="I79" s="21">
        <v>4.0419437011123998E-5</v>
      </c>
      <c r="J79" s="19"/>
      <c r="K79" s="21">
        <v>7.2594435176938894E-5</v>
      </c>
      <c r="L79" s="19"/>
      <c r="M79" s="21">
        <v>3.4002342516737403E-5</v>
      </c>
      <c r="N79" s="19"/>
      <c r="O79" s="21">
        <v>3.87726109142396E-5</v>
      </c>
      <c r="P79" s="19"/>
      <c r="Q79" s="21">
        <v>9.6404632857213205E-4</v>
      </c>
      <c r="R79" s="19"/>
      <c r="S79" s="21">
        <v>1.63479654370159E-5</v>
      </c>
      <c r="T79" s="19"/>
      <c r="U79" s="21">
        <v>-2.0589614318257199E-3</v>
      </c>
      <c r="V79" s="19"/>
      <c r="W79" s="21">
        <v>5.9319369620820903E-4</v>
      </c>
      <c r="X79" s="19"/>
      <c r="Y79" s="21">
        <v>1.8901436064359199E-4</v>
      </c>
      <c r="Z79" s="19"/>
      <c r="AA79" s="21">
        <v>1.4902062538467201E-4</v>
      </c>
      <c r="AB79" s="19"/>
      <c r="AC79" s="21">
        <v>8.4622572734408799E-4</v>
      </c>
      <c r="AD79" s="19"/>
      <c r="AE79" s="21">
        <v>-4.3562601582832302E-4</v>
      </c>
      <c r="AF79" s="19"/>
      <c r="AG79" s="21">
        <v>2.99682920990877E-3</v>
      </c>
      <c r="AH79" s="19"/>
      <c r="AI79" s="21">
        <v>2.3463244316952502E-3</v>
      </c>
      <c r="AJ79" s="19"/>
      <c r="AK79" s="21">
        <v>4.0309144084827602E-4</v>
      </c>
      <c r="AL79" s="19"/>
      <c r="AM79" s="21">
        <v>2.6737185449482703E-4</v>
      </c>
      <c r="AN79" s="19"/>
      <c r="AO79" s="21">
        <v>-1.09851731454192E-4</v>
      </c>
      <c r="AP79" s="19"/>
      <c r="AQ79" s="21">
        <v>-2.9674980941081698E-4</v>
      </c>
      <c r="AR79" s="19"/>
      <c r="AS79" s="21">
        <v>3.0560471493871799E-4</v>
      </c>
      <c r="AT79" s="19"/>
      <c r="AU79" s="21">
        <v>4.7791900029139599E-5</v>
      </c>
      <c r="AV79" s="19"/>
      <c r="AW79" s="21">
        <v>-4.4227925317505197E-5</v>
      </c>
      <c r="AX79" s="19"/>
      <c r="AY79" s="21">
        <v>-1.9468416313315101E-5</v>
      </c>
      <c r="AZ79" s="19"/>
      <c r="BA79" s="21">
        <v>1.10757637800688E-3</v>
      </c>
      <c r="BB79" s="19"/>
      <c r="BC79" s="21">
        <v>8.7554912724873096E-4</v>
      </c>
      <c r="BD79" s="19"/>
      <c r="BE79" s="21">
        <v>3.1674297860215099E-4</v>
      </c>
      <c r="BF79" s="19"/>
      <c r="BG79" s="21"/>
      <c r="BH79" s="19"/>
    </row>
    <row r="80" spans="1:60" x14ac:dyDescent="0.15">
      <c r="A80" s="17">
        <v>1997</v>
      </c>
      <c r="B80" s="17">
        <v>1</v>
      </c>
      <c r="C80" s="21"/>
      <c r="D80" s="19"/>
      <c r="E80" s="21">
        <v>4.8468253448591004E-3</v>
      </c>
      <c r="F80" s="19"/>
      <c r="G80" s="21">
        <v>1.3924099987423701E-4</v>
      </c>
      <c r="H80" s="19"/>
      <c r="I80" s="21">
        <v>1.1159940407794701E-4</v>
      </c>
      <c r="J80" s="19"/>
      <c r="K80" s="21">
        <v>1.7407968349592701E-3</v>
      </c>
      <c r="L80" s="19"/>
      <c r="M80" s="21">
        <v>4.0550632979148799E-4</v>
      </c>
      <c r="N80" s="19"/>
      <c r="O80" s="21">
        <v>1.33573125902276E-3</v>
      </c>
      <c r="P80" s="19"/>
      <c r="Q80" s="21">
        <v>2.4534828164199802E-4</v>
      </c>
      <c r="R80" s="19"/>
      <c r="S80" s="21">
        <v>1.26805775651201E-4</v>
      </c>
      <c r="T80" s="19"/>
      <c r="U80" s="21">
        <v>-5.9100795367927504E-4</v>
      </c>
      <c r="V80" s="19"/>
      <c r="W80" s="21">
        <v>3.05108563999802E-4</v>
      </c>
      <c r="X80" s="19"/>
      <c r="Y80" s="21">
        <v>4.1425005097248899E-4</v>
      </c>
      <c r="Z80" s="19"/>
      <c r="AA80" s="21">
        <v>-1.8405403217116099E-3</v>
      </c>
      <c r="AB80" s="19"/>
      <c r="AC80" s="21">
        <v>1.63644137651824E-3</v>
      </c>
      <c r="AD80" s="19"/>
      <c r="AE80" s="21">
        <v>-7.8616646171701698E-4</v>
      </c>
      <c r="AF80" s="19"/>
      <c r="AG80" s="21">
        <v>3.8343235933370099E-3</v>
      </c>
      <c r="AH80" s="19"/>
      <c r="AI80" s="21">
        <v>2.4542926255788299E-3</v>
      </c>
      <c r="AJ80" s="19"/>
      <c r="AK80" s="21">
        <v>5.8759626352212298E-4</v>
      </c>
      <c r="AL80" s="19"/>
      <c r="AM80" s="21">
        <v>-2.2330068849498401E-4</v>
      </c>
      <c r="AN80" s="19"/>
      <c r="AO80" s="21">
        <v>-2.7326256374317801E-5</v>
      </c>
      <c r="AP80" s="19"/>
      <c r="AQ80" s="21">
        <v>2.7657945654850798E-4</v>
      </c>
      <c r="AR80" s="19"/>
      <c r="AS80" s="21">
        <v>-1.14300237848042E-4</v>
      </c>
      <c r="AT80" s="19"/>
      <c r="AU80" s="21">
        <v>-3.7346384105177702E-5</v>
      </c>
      <c r="AV80" s="19"/>
      <c r="AW80" s="21">
        <v>-1.20583542169165E-4</v>
      </c>
      <c r="AX80" s="19"/>
      <c r="AY80" s="21">
        <v>-8.3885080399581995E-6</v>
      </c>
      <c r="AZ80" s="19"/>
      <c r="BA80" s="21">
        <v>1.09891219465125E-3</v>
      </c>
      <c r="BB80" s="19"/>
      <c r="BC80" s="21">
        <v>5.6463684121793502E-4</v>
      </c>
      <c r="BD80" s="19"/>
      <c r="BE80" s="21">
        <v>5.3275166823540097E-4</v>
      </c>
      <c r="BF80" s="19"/>
      <c r="BG80" s="21"/>
      <c r="BH80" s="19"/>
    </row>
    <row r="81" spans="1:60" x14ac:dyDescent="0.15">
      <c r="A81" s="17">
        <v>1997</v>
      </c>
      <c r="B81" s="17">
        <v>2</v>
      </c>
      <c r="C81" s="21"/>
      <c r="D81" s="19"/>
      <c r="E81" s="21">
        <v>8.3992410794096299E-3</v>
      </c>
      <c r="F81" s="19"/>
      <c r="G81" s="21">
        <v>-3.5620060046739399E-5</v>
      </c>
      <c r="H81" s="19"/>
      <c r="I81" s="21">
        <v>6.7255915093931206E-5</v>
      </c>
      <c r="J81" s="19"/>
      <c r="K81" s="21">
        <v>2.4445836137761E-3</v>
      </c>
      <c r="L81" s="19"/>
      <c r="M81" s="21">
        <v>7.4842679790939096E-4</v>
      </c>
      <c r="N81" s="19"/>
      <c r="O81" s="21">
        <v>1.6972348043594199E-3</v>
      </c>
      <c r="P81" s="19"/>
      <c r="Q81" s="21">
        <v>-6.3558626108558495E-4</v>
      </c>
      <c r="R81" s="19"/>
      <c r="S81" s="21">
        <v>-4.0107214347903699E-5</v>
      </c>
      <c r="T81" s="19"/>
      <c r="U81" s="21">
        <v>-5.8670708988126498E-4</v>
      </c>
      <c r="V81" s="19"/>
      <c r="W81" s="21">
        <v>1.69997402097947E-3</v>
      </c>
      <c r="X81" s="19"/>
      <c r="Y81" s="21">
        <v>2.36613792555648E-4</v>
      </c>
      <c r="Z81" s="19"/>
      <c r="AA81" s="21">
        <v>4.4553241102395701E-4</v>
      </c>
      <c r="AB81" s="19"/>
      <c r="AC81" s="21">
        <v>1.23510172158852E-3</v>
      </c>
      <c r="AD81" s="19"/>
      <c r="AE81" s="21">
        <v>-4.1957445385729802E-4</v>
      </c>
      <c r="AF81" s="19"/>
      <c r="AG81" s="21">
        <v>3.8025534627535102E-3</v>
      </c>
      <c r="AH81" s="19"/>
      <c r="AI81" s="21">
        <v>2.5323190562796501E-3</v>
      </c>
      <c r="AJ81" s="19"/>
      <c r="AK81" s="21">
        <v>5.4880849610943795E-4</v>
      </c>
      <c r="AL81" s="19"/>
      <c r="AM81" s="21">
        <v>2.7943040617990498E-4</v>
      </c>
      <c r="AN81" s="19"/>
      <c r="AO81" s="21">
        <v>6.4740607104186402E-5</v>
      </c>
      <c r="AP81" s="19"/>
      <c r="AQ81" s="21">
        <v>2.70136439678465E-4</v>
      </c>
      <c r="AR81" s="19"/>
      <c r="AS81" s="21">
        <v>1.4190487639770101E-4</v>
      </c>
      <c r="AT81" s="19"/>
      <c r="AU81" s="21">
        <v>-1.3450816127351099E-5</v>
      </c>
      <c r="AV81" s="19"/>
      <c r="AW81" s="21">
        <v>-2.2434179988683399E-4</v>
      </c>
      <c r="AX81" s="19"/>
      <c r="AY81" s="21">
        <v>2.2240016576943401E-5</v>
      </c>
      <c r="AZ81" s="19"/>
      <c r="BA81" s="21">
        <v>8.3868542810824898E-4</v>
      </c>
      <c r="BB81" s="19"/>
      <c r="BC81" s="21">
        <v>8.6765845129272497E-4</v>
      </c>
      <c r="BD81" s="19"/>
      <c r="BE81" s="21">
        <v>-1.4759052827425199E-5</v>
      </c>
      <c r="BF81" s="19"/>
      <c r="BG81" s="21"/>
      <c r="BH81" s="19"/>
    </row>
    <row r="82" spans="1:60" x14ac:dyDescent="0.15">
      <c r="A82" s="17">
        <v>1997</v>
      </c>
      <c r="B82" s="17">
        <v>3</v>
      </c>
      <c r="C82" s="21"/>
      <c r="D82" s="19"/>
      <c r="E82" s="21">
        <v>1.4155877249720001E-2</v>
      </c>
      <c r="F82" s="19"/>
      <c r="G82" s="21">
        <v>-4.1896492809881499E-5</v>
      </c>
      <c r="H82" s="19"/>
      <c r="I82" s="21">
        <v>5.6232621169087399E-5</v>
      </c>
      <c r="J82" s="19"/>
      <c r="K82" s="21">
        <v>3.7178531999666402E-3</v>
      </c>
      <c r="L82" s="19"/>
      <c r="M82" s="21">
        <v>1.0904412162192701E-3</v>
      </c>
      <c r="N82" s="19"/>
      <c r="O82" s="21">
        <v>2.6161547483742999E-3</v>
      </c>
      <c r="P82" s="19"/>
      <c r="Q82" s="21">
        <v>6.2601969422243595E-4</v>
      </c>
      <c r="R82" s="19"/>
      <c r="S82" s="21">
        <v>-7.6806431584155603E-5</v>
      </c>
      <c r="T82" s="19"/>
      <c r="U82" s="21">
        <v>-8.6532356396636599E-4</v>
      </c>
      <c r="V82" s="19"/>
      <c r="W82" s="21">
        <v>1.66411110667063E-3</v>
      </c>
      <c r="X82" s="19"/>
      <c r="Y82" s="21">
        <v>1.7877702160943499E-5</v>
      </c>
      <c r="Z82" s="19"/>
      <c r="AA82" s="21">
        <v>1.1986045098810801E-3</v>
      </c>
      <c r="AB82" s="19"/>
      <c r="AC82" s="21">
        <v>1.19194738412334E-3</v>
      </c>
      <c r="AD82" s="19"/>
      <c r="AE82" s="21">
        <v>1.33557088287208E-3</v>
      </c>
      <c r="AF82" s="19"/>
      <c r="AG82" s="21">
        <v>3.6402627262407698E-3</v>
      </c>
      <c r="AH82" s="19"/>
      <c r="AI82" s="21">
        <v>2.3304748017645401E-3</v>
      </c>
      <c r="AJ82" s="19"/>
      <c r="AK82" s="21">
        <v>5.1067669074810504E-4</v>
      </c>
      <c r="AL82" s="19"/>
      <c r="AM82" s="21">
        <v>6.4484102132468795E-4</v>
      </c>
      <c r="AN82" s="19"/>
      <c r="AO82" s="21">
        <v>5.0924602181327002E-5</v>
      </c>
      <c r="AP82" s="19"/>
      <c r="AQ82" s="21">
        <v>5.4896102395275801E-4</v>
      </c>
      <c r="AR82" s="19"/>
      <c r="AS82" s="21">
        <v>1.77083246143491E-4</v>
      </c>
      <c r="AT82" s="19"/>
      <c r="AU82" s="21">
        <v>2.7843035754047198E-4</v>
      </c>
      <c r="AV82" s="19"/>
      <c r="AW82" s="21">
        <v>1.6592201773844799E-4</v>
      </c>
      <c r="AX82" s="19"/>
      <c r="AY82" s="21">
        <v>1.36650819035488E-5</v>
      </c>
      <c r="AZ82" s="19"/>
      <c r="BA82" s="21">
        <v>5.3100231328699903E-4</v>
      </c>
      <c r="BB82" s="19"/>
      <c r="BC82" s="21">
        <v>9.7868910813024698E-4</v>
      </c>
      <c r="BD82" s="19"/>
      <c r="BE82" s="21">
        <v>-4.4936560711633297E-4</v>
      </c>
      <c r="BF82" s="19"/>
      <c r="BG82" s="21"/>
      <c r="BH82" s="19"/>
    </row>
    <row r="83" spans="1:60" x14ac:dyDescent="0.15">
      <c r="A83" s="17">
        <v>1997</v>
      </c>
      <c r="B83" s="17">
        <v>4</v>
      </c>
      <c r="C83" s="21"/>
      <c r="D83" s="19"/>
      <c r="E83" s="21">
        <v>4.6960985978875399E-3</v>
      </c>
      <c r="F83" s="19"/>
      <c r="G83" s="21">
        <v>1.3446803182188701E-5</v>
      </c>
      <c r="H83" s="19"/>
      <c r="I83" s="21">
        <v>5.4540778733737599E-5</v>
      </c>
      <c r="J83" s="19"/>
      <c r="K83" s="21">
        <v>1.4634204031709001E-3</v>
      </c>
      <c r="L83" s="19"/>
      <c r="M83" s="21">
        <v>1.5565682516745301E-3</v>
      </c>
      <c r="N83" s="19"/>
      <c r="O83" s="21">
        <v>-1.4549300892389701E-4</v>
      </c>
      <c r="P83" s="19"/>
      <c r="Q83" s="21">
        <v>-1.0642890212856401E-3</v>
      </c>
      <c r="R83" s="19"/>
      <c r="S83" s="21">
        <v>-1.4435563651578201E-4</v>
      </c>
      <c r="T83" s="19"/>
      <c r="U83" s="21">
        <v>-3.2217859432813798E-4</v>
      </c>
      <c r="V83" s="19"/>
      <c r="W83" s="21">
        <v>2.1775256355037798E-3</v>
      </c>
      <c r="X83" s="19"/>
      <c r="Y83" s="21">
        <v>4.9031473699105395E-4</v>
      </c>
      <c r="Z83" s="19"/>
      <c r="AA83" s="21">
        <v>4.5564786564262198E-4</v>
      </c>
      <c r="AB83" s="19"/>
      <c r="AC83" s="21">
        <v>3.3953313518154699E-4</v>
      </c>
      <c r="AD83" s="19"/>
      <c r="AE83" s="21">
        <v>1.90176973251671E-3</v>
      </c>
      <c r="AF83" s="19"/>
      <c r="AG83" s="21">
        <v>-1.74479262964226E-3</v>
      </c>
      <c r="AH83" s="19"/>
      <c r="AI83" s="21">
        <v>-2.8786661364557501E-3</v>
      </c>
      <c r="AJ83" s="19"/>
      <c r="AK83" s="21">
        <v>4.7386303750001502E-4</v>
      </c>
      <c r="AL83" s="19"/>
      <c r="AM83" s="21">
        <v>1.06195181438344E-3</v>
      </c>
      <c r="AN83" s="19"/>
      <c r="AO83" s="21">
        <v>-6.1237775192838004E-5</v>
      </c>
      <c r="AP83" s="19"/>
      <c r="AQ83" s="21">
        <v>1.9715832309272899E-4</v>
      </c>
      <c r="AR83" s="19"/>
      <c r="AS83" s="21">
        <v>2.3745446925466801E-4</v>
      </c>
      <c r="AT83" s="19"/>
      <c r="AU83" s="21">
        <v>-5.47793519990387E-5</v>
      </c>
      <c r="AV83" s="19"/>
      <c r="AW83" s="21">
        <v>-3.89004085807702E-5</v>
      </c>
      <c r="AX83" s="19"/>
      <c r="AY83" s="21">
        <v>1.29922988025809E-6</v>
      </c>
      <c r="AZ83" s="19"/>
      <c r="BA83" s="21">
        <v>-1.17902282606583E-4</v>
      </c>
      <c r="BB83" s="19"/>
      <c r="BC83" s="21">
        <v>6.9515517651112704E-4</v>
      </c>
      <c r="BD83" s="19"/>
      <c r="BE83" s="21">
        <v>-8.3478465027649301E-4</v>
      </c>
      <c r="BF83" s="19"/>
      <c r="BG83" s="21"/>
      <c r="BH83" s="19"/>
    </row>
    <row r="84" spans="1:60" x14ac:dyDescent="0.15">
      <c r="A84" s="17">
        <v>1998</v>
      </c>
      <c r="B84" s="17">
        <v>1</v>
      </c>
      <c r="C84" s="21"/>
      <c r="D84" s="19"/>
      <c r="E84" s="21">
        <v>7.4055438526467203E-3</v>
      </c>
      <c r="F84" s="19"/>
      <c r="G84" s="21">
        <v>7.8838323879488001E-5</v>
      </c>
      <c r="H84" s="19"/>
      <c r="I84" s="21">
        <v>3.9862724528653801E-5</v>
      </c>
      <c r="J84" s="19"/>
      <c r="K84" s="21">
        <v>1.5554101590433501E-5</v>
      </c>
      <c r="L84" s="19"/>
      <c r="M84" s="21">
        <v>1.1575155984902899E-3</v>
      </c>
      <c r="N84" s="19"/>
      <c r="O84" s="21">
        <v>-1.1332641166863699E-3</v>
      </c>
      <c r="P84" s="19"/>
      <c r="Q84" s="21">
        <v>8.55456767230215E-5</v>
      </c>
      <c r="R84" s="19"/>
      <c r="S84" s="21">
        <v>-1.07458063667064E-4</v>
      </c>
      <c r="T84" s="19"/>
      <c r="U84" s="21">
        <v>6.5312625495044104E-4</v>
      </c>
      <c r="V84" s="19"/>
      <c r="W84" s="21">
        <v>-1.39250897757779E-3</v>
      </c>
      <c r="X84" s="19"/>
      <c r="Y84" s="21">
        <v>-8.4314929341553196E-5</v>
      </c>
      <c r="Z84" s="19"/>
      <c r="AA84" s="21">
        <v>1.7381731460512199E-3</v>
      </c>
      <c r="AB84" s="19"/>
      <c r="AC84" s="21">
        <v>-2.7731678245830599E-4</v>
      </c>
      <c r="AD84" s="19"/>
      <c r="AE84" s="21">
        <v>1.13241754614674E-3</v>
      </c>
      <c r="AF84" s="19"/>
      <c r="AG84" s="21">
        <v>2.9915121264253602E-3</v>
      </c>
      <c r="AH84" s="19"/>
      <c r="AI84" s="21">
        <v>1.67864790749938E-3</v>
      </c>
      <c r="AJ84" s="19"/>
      <c r="AK84" s="21">
        <v>4.4441919918226502E-4</v>
      </c>
      <c r="AL84" s="19"/>
      <c r="AM84" s="21">
        <v>1.3626096448824E-3</v>
      </c>
      <c r="AN84" s="19"/>
      <c r="AO84" s="21">
        <v>-2.7039723489046902E-4</v>
      </c>
      <c r="AP84" s="19"/>
      <c r="AQ84" s="21">
        <v>-2.9624350006622401E-6</v>
      </c>
      <c r="AR84" s="19"/>
      <c r="AS84" s="21">
        <v>1.24773619708474E-3</v>
      </c>
      <c r="AT84" s="19"/>
      <c r="AU84" s="21">
        <v>1.2726065343447501E-4</v>
      </c>
      <c r="AV84" s="19"/>
      <c r="AW84" s="21">
        <v>1.59102125093348E-6</v>
      </c>
      <c r="AX84" s="19"/>
      <c r="AY84" s="21">
        <v>-5.1797886518156203E-6</v>
      </c>
      <c r="AZ84" s="19"/>
      <c r="BA84" s="21">
        <v>-6.7309703659408496E-4</v>
      </c>
      <c r="BB84" s="19"/>
      <c r="BC84" s="21">
        <v>5.2259087675619301E-4</v>
      </c>
      <c r="BD84" s="19"/>
      <c r="BE84" s="21">
        <v>-1.17387268171398E-3</v>
      </c>
      <c r="BF84" s="19"/>
      <c r="BG84" s="21"/>
      <c r="BH84" s="19"/>
    </row>
    <row r="85" spans="1:60" x14ac:dyDescent="0.15">
      <c r="A85" s="17">
        <v>1998</v>
      </c>
      <c r="B85" s="17">
        <v>2</v>
      </c>
      <c r="C85" s="21"/>
      <c r="D85" s="19"/>
      <c r="E85" s="21">
        <v>9.9658121598851998E-3</v>
      </c>
      <c r="F85" s="19"/>
      <c r="G85" s="21">
        <v>5.9822451048878E-5</v>
      </c>
      <c r="H85" s="19"/>
      <c r="I85" s="21">
        <v>-1.6180399607515498E-5</v>
      </c>
      <c r="J85" s="19"/>
      <c r="K85" s="21">
        <v>2.02917184640982E-3</v>
      </c>
      <c r="L85" s="19"/>
      <c r="M85" s="21">
        <v>6.6630661327607703E-4</v>
      </c>
      <c r="N85" s="19"/>
      <c r="O85" s="21">
        <v>1.3556504883494101E-3</v>
      </c>
      <c r="P85" s="19"/>
      <c r="Q85" s="21">
        <v>-4.08965161182472E-4</v>
      </c>
      <c r="R85" s="19"/>
      <c r="S85" s="21">
        <v>2.78440017557532E-5</v>
      </c>
      <c r="T85" s="19"/>
      <c r="U85" s="21">
        <v>6.6843599771952797E-4</v>
      </c>
      <c r="V85" s="19"/>
      <c r="W85" s="21">
        <v>1.4221892275174701E-3</v>
      </c>
      <c r="X85" s="19"/>
      <c r="Y85" s="21">
        <v>4.6489803988866197E-4</v>
      </c>
      <c r="Z85" s="19"/>
      <c r="AA85" s="21">
        <v>1.6230462831576999E-4</v>
      </c>
      <c r="AB85" s="19"/>
      <c r="AC85" s="21">
        <v>1.1543601542229601E-4</v>
      </c>
      <c r="AD85" s="19"/>
      <c r="AE85" s="21">
        <v>1.14160146422976E-3</v>
      </c>
      <c r="AF85" s="19"/>
      <c r="AG85" s="21">
        <v>2.8448294482670399E-3</v>
      </c>
      <c r="AH85" s="19"/>
      <c r="AI85" s="21">
        <v>1.9556793479187E-3</v>
      </c>
      <c r="AJ85" s="19"/>
      <c r="AK85" s="21">
        <v>3.1488248390961398E-4</v>
      </c>
      <c r="AL85" s="19"/>
      <c r="AM85" s="21">
        <v>6.9777185986400099E-4</v>
      </c>
      <c r="AN85" s="19"/>
      <c r="AO85" s="21">
        <v>-3.8599130439671103E-5</v>
      </c>
      <c r="AP85" s="19"/>
      <c r="AQ85" s="21">
        <v>1.14231408536315E-4</v>
      </c>
      <c r="AR85" s="19"/>
      <c r="AS85" s="21">
        <v>1.1688343735024899E-3</v>
      </c>
      <c r="AT85" s="19"/>
      <c r="AU85" s="21">
        <v>8.5217678124025799E-5</v>
      </c>
      <c r="AV85" s="19"/>
      <c r="AW85" s="21">
        <v>-7.0272203075911306E-5</v>
      </c>
      <c r="AX85" s="19"/>
      <c r="AY85" s="21">
        <v>1.6549065385177301E-5</v>
      </c>
      <c r="AZ85" s="19"/>
      <c r="BA85" s="21">
        <v>6.7103538611780798E-5</v>
      </c>
      <c r="BB85" s="19"/>
      <c r="BC85" s="21">
        <v>6.5488578311623605E-4</v>
      </c>
      <c r="BD85" s="19"/>
      <c r="BE85" s="21">
        <v>-5.7769155941987096E-4</v>
      </c>
      <c r="BF85" s="19"/>
      <c r="BG85" s="21"/>
      <c r="BH85" s="19"/>
    </row>
    <row r="86" spans="1:60" x14ac:dyDescent="0.15">
      <c r="A86" s="17">
        <v>1998</v>
      </c>
      <c r="B86" s="17">
        <v>3</v>
      </c>
      <c r="C86" s="21"/>
      <c r="D86" s="19"/>
      <c r="E86" s="21">
        <v>-5.5179479932461299E-4</v>
      </c>
      <c r="F86" s="19"/>
      <c r="G86" s="21">
        <v>5.6360735348021599E-5</v>
      </c>
      <c r="H86" s="19"/>
      <c r="I86" s="21">
        <v>1.5695976702078201E-5</v>
      </c>
      <c r="J86" s="19"/>
      <c r="K86" s="21">
        <v>-9.0484528204445606E-5</v>
      </c>
      <c r="L86" s="19"/>
      <c r="M86" s="21">
        <v>-5.3501666781730702E-4</v>
      </c>
      <c r="N86" s="19"/>
      <c r="O86" s="21">
        <v>4.6104608254740099E-4</v>
      </c>
      <c r="P86" s="19"/>
      <c r="Q86" s="21">
        <v>8.4326332321971094E-5</v>
      </c>
      <c r="R86" s="19"/>
      <c r="S86" s="21">
        <v>7.9552586322549594E-5</v>
      </c>
      <c r="T86" s="19"/>
      <c r="U86" s="21">
        <v>1.2794072822529699E-3</v>
      </c>
      <c r="V86" s="19"/>
      <c r="W86" s="21">
        <v>-7.8628523424806795E-4</v>
      </c>
      <c r="X86" s="19"/>
      <c r="Y86" s="21">
        <v>1.75037907459389E-4</v>
      </c>
      <c r="Z86" s="19"/>
      <c r="AA86" s="21">
        <v>-1.3752602384792499E-3</v>
      </c>
      <c r="AB86" s="19"/>
      <c r="AC86" s="21">
        <v>6.3019239545681804E-6</v>
      </c>
      <c r="AD86" s="19"/>
      <c r="AE86" s="21">
        <v>6.5197259393488599E-4</v>
      </c>
      <c r="AF86" s="19"/>
      <c r="AG86" s="21">
        <v>-1.69188372905965E-3</v>
      </c>
      <c r="AH86" s="19"/>
      <c r="AI86" s="21">
        <v>-1.9951144780565302E-3</v>
      </c>
      <c r="AJ86" s="19"/>
      <c r="AK86" s="21">
        <v>1.8275657964884101E-4</v>
      </c>
      <c r="AL86" s="19"/>
      <c r="AM86" s="21">
        <v>2.7757180775739803E-4</v>
      </c>
      <c r="AN86" s="19"/>
      <c r="AO86" s="21">
        <v>1.6306065136491199E-4</v>
      </c>
      <c r="AP86" s="19"/>
      <c r="AQ86" s="21">
        <v>4.4201189364628102E-4</v>
      </c>
      <c r="AR86" s="19"/>
      <c r="AS86" s="21">
        <v>2.45491532534114E-4</v>
      </c>
      <c r="AT86" s="19"/>
      <c r="AU86" s="21">
        <v>6.3197225299337805E-5</v>
      </c>
      <c r="AV86" s="19"/>
      <c r="AW86" s="21">
        <v>-4.3144835175983498E-5</v>
      </c>
      <c r="AX86" s="19"/>
      <c r="AY86" s="21">
        <v>1.59356691728631E-5</v>
      </c>
      <c r="AZ86" s="19"/>
      <c r="BA86" s="21">
        <v>1.8856556489211E-4</v>
      </c>
      <c r="BB86" s="19"/>
      <c r="BC86" s="21">
        <v>7.3409171620513502E-6</v>
      </c>
      <c r="BD86" s="19"/>
      <c r="BE86" s="21">
        <v>1.6754835540442201E-4</v>
      </c>
      <c r="BF86" s="19"/>
      <c r="BG86" s="21"/>
      <c r="BH86" s="19"/>
    </row>
    <row r="87" spans="1:60" x14ac:dyDescent="0.15">
      <c r="A87" s="17">
        <v>1998</v>
      </c>
      <c r="B87" s="17">
        <v>4</v>
      </c>
      <c r="C87" s="21"/>
      <c r="D87" s="19"/>
      <c r="E87" s="21">
        <v>-6.5478934738886097E-3</v>
      </c>
      <c r="F87" s="19"/>
      <c r="G87" s="21">
        <v>5.0310494116286798E-5</v>
      </c>
      <c r="H87" s="19"/>
      <c r="I87" s="21">
        <v>-6.22435508724946E-5</v>
      </c>
      <c r="J87" s="19"/>
      <c r="K87" s="21">
        <v>-3.0161270490118401E-3</v>
      </c>
      <c r="L87" s="19"/>
      <c r="M87" s="21">
        <v>-7.9981797416027304E-4</v>
      </c>
      <c r="N87" s="19"/>
      <c r="O87" s="21">
        <v>-2.2074660139092699E-3</v>
      </c>
      <c r="P87" s="19"/>
      <c r="Q87" s="21">
        <v>3.4723545435104501E-4</v>
      </c>
      <c r="R87" s="19"/>
      <c r="S87" s="21">
        <v>1.9424603894283401E-4</v>
      </c>
      <c r="T87" s="19"/>
      <c r="U87" s="21">
        <v>-2.33515798929229E-3</v>
      </c>
      <c r="V87" s="19"/>
      <c r="W87" s="21">
        <v>1.4563433958713601E-4</v>
      </c>
      <c r="X87" s="19"/>
      <c r="Y87" s="21">
        <v>1.99825011609454E-4</v>
      </c>
      <c r="Z87" s="19"/>
      <c r="AA87" s="21">
        <v>-1.77031281415003E-3</v>
      </c>
      <c r="AB87" s="19"/>
      <c r="AC87" s="21">
        <v>-1.27493214942385E-4</v>
      </c>
      <c r="AD87" s="19"/>
      <c r="AE87" s="21">
        <v>5.4274541921476595E-4</v>
      </c>
      <c r="AF87" s="19"/>
      <c r="AG87" s="21">
        <v>-1.6042600210590999E-3</v>
      </c>
      <c r="AH87" s="19"/>
      <c r="AI87" s="21">
        <v>-1.17733363532691E-3</v>
      </c>
      <c r="AJ87" s="19"/>
      <c r="AK87" s="21">
        <v>4.9003278033331199E-5</v>
      </c>
      <c r="AL87" s="19"/>
      <c r="AM87" s="21">
        <v>1.12163672176427E-3</v>
      </c>
      <c r="AN87" s="19"/>
      <c r="AO87" s="21">
        <v>-1.34502721970554E-4</v>
      </c>
      <c r="AP87" s="19"/>
      <c r="AQ87" s="21">
        <v>1.3239770878118E-5</v>
      </c>
      <c r="AR87" s="19"/>
      <c r="AS87" s="21">
        <v>2.35904008828127E-4</v>
      </c>
      <c r="AT87" s="19"/>
      <c r="AU87" s="21">
        <v>3.1545018121055299E-5</v>
      </c>
      <c r="AV87" s="19"/>
      <c r="AW87" s="21">
        <v>-2.29878443486838E-4</v>
      </c>
      <c r="AX87" s="19"/>
      <c r="AY87" s="21">
        <v>1.07036115265907E-5</v>
      </c>
      <c r="AZ87" s="19"/>
      <c r="BA87" s="21">
        <v>1.17543901235935E-3</v>
      </c>
      <c r="BB87" s="19"/>
      <c r="BC87" s="21">
        <v>3.1445648778588001E-4</v>
      </c>
      <c r="BD87" s="19"/>
      <c r="BE87" s="21">
        <v>7.7716470424147005E-4</v>
      </c>
      <c r="BF87" s="19"/>
      <c r="BG87" s="21"/>
      <c r="BH87" s="19"/>
    </row>
    <row r="88" spans="1:60" x14ac:dyDescent="0.15">
      <c r="A88" s="17">
        <v>1999</v>
      </c>
      <c r="B88" s="17">
        <v>1</v>
      </c>
      <c r="C88" s="21"/>
      <c r="D88" s="19"/>
      <c r="E88" s="21">
        <v>3.9145919076732502E-3</v>
      </c>
      <c r="F88" s="19"/>
      <c r="G88" s="21">
        <v>4.3565063238458097E-5</v>
      </c>
      <c r="H88" s="19"/>
      <c r="I88" s="21">
        <v>-7.5046967146271704E-6</v>
      </c>
      <c r="J88" s="19"/>
      <c r="K88" s="21">
        <v>2.6638431516792598E-3</v>
      </c>
      <c r="L88" s="19"/>
      <c r="M88" s="21">
        <v>-8.1010480285692501E-4</v>
      </c>
      <c r="N88" s="19"/>
      <c r="O88" s="21">
        <v>3.46962067649853E-3</v>
      </c>
      <c r="P88" s="19"/>
      <c r="Q88" s="21">
        <v>-2.5394451618581299E-4</v>
      </c>
      <c r="R88" s="19"/>
      <c r="S88" s="21">
        <v>-5.0769462662808999E-5</v>
      </c>
      <c r="T88" s="19"/>
      <c r="U88" s="21">
        <v>-3.4906310027153401E-4</v>
      </c>
      <c r="V88" s="19"/>
      <c r="W88" s="21">
        <v>2.5156863069330502E-3</v>
      </c>
      <c r="X88" s="19"/>
      <c r="Y88" s="21">
        <v>1.1339774263961599E-4</v>
      </c>
      <c r="Z88" s="19"/>
      <c r="AA88" s="21">
        <v>-2.8405716176188702E-3</v>
      </c>
      <c r="AB88" s="19"/>
      <c r="AC88" s="21">
        <v>-3.4184147237053901E-4</v>
      </c>
      <c r="AD88" s="19"/>
      <c r="AE88" s="21">
        <v>-2.9331950769998302E-4</v>
      </c>
      <c r="AF88" s="19"/>
      <c r="AG88" s="21">
        <v>1.8899288899898101E-3</v>
      </c>
      <c r="AH88" s="19"/>
      <c r="AI88" s="21">
        <v>1.8888279358475E-3</v>
      </c>
      <c r="AJ88" s="19"/>
      <c r="AK88" s="21">
        <v>-9.2594315908353203E-5</v>
      </c>
      <c r="AL88" s="19"/>
      <c r="AM88" s="21">
        <v>9.5552738104419301E-4</v>
      </c>
      <c r="AN88" s="19"/>
      <c r="AO88" s="21">
        <v>6.2181280698631907E-5</v>
      </c>
      <c r="AP88" s="19"/>
      <c r="AQ88" s="21">
        <v>1.9338327181442E-4</v>
      </c>
      <c r="AR88" s="19"/>
      <c r="AS88" s="21">
        <v>-9.7114160583797594E-5</v>
      </c>
      <c r="AT88" s="19"/>
      <c r="AU88" s="21">
        <v>4.5852934936096201E-5</v>
      </c>
      <c r="AV88" s="19"/>
      <c r="AW88" s="21">
        <v>-2.37760263107413E-4</v>
      </c>
      <c r="AX88" s="19"/>
      <c r="AY88" s="21">
        <v>9.9091383932428507E-6</v>
      </c>
      <c r="AZ88" s="19"/>
      <c r="BA88" s="21">
        <v>2.1213757878586199E-3</v>
      </c>
      <c r="BB88" s="19"/>
      <c r="BC88" s="21">
        <v>4.3101858245504098E-4</v>
      </c>
      <c r="BD88" s="19"/>
      <c r="BE88" s="21">
        <v>1.7045516462013E-3</v>
      </c>
      <c r="BF88" s="19"/>
      <c r="BG88" s="21"/>
      <c r="BH88" s="19"/>
    </row>
    <row r="89" spans="1:60" x14ac:dyDescent="0.15">
      <c r="A89" s="17">
        <v>1999</v>
      </c>
      <c r="B89" s="17">
        <v>2</v>
      </c>
      <c r="C89" s="21"/>
      <c r="D89" s="19"/>
      <c r="E89" s="21">
        <v>3.44069138652122E-3</v>
      </c>
      <c r="F89" s="19"/>
      <c r="G89" s="21">
        <v>1.00002770954984E-4</v>
      </c>
      <c r="H89" s="19"/>
      <c r="I89" s="21">
        <v>9.0205095349927899E-6</v>
      </c>
      <c r="J89" s="19"/>
      <c r="K89" s="21">
        <v>-1.8324996393518801E-3</v>
      </c>
      <c r="L89" s="19"/>
      <c r="M89" s="21">
        <v>-2.8643369972728599E-4</v>
      </c>
      <c r="N89" s="19"/>
      <c r="O89" s="21">
        <v>-1.5452034021919199E-3</v>
      </c>
      <c r="P89" s="19"/>
      <c r="Q89" s="21">
        <v>8.0543856606548703E-4</v>
      </c>
      <c r="R89" s="19"/>
      <c r="S89" s="21">
        <v>-6.2691613885075098E-5</v>
      </c>
      <c r="T89" s="19"/>
      <c r="U89" s="21">
        <v>-2.3904257618627501E-4</v>
      </c>
      <c r="V89" s="19"/>
      <c r="W89" s="21">
        <v>7.3259528442041501E-4</v>
      </c>
      <c r="X89" s="19"/>
      <c r="Y89" s="21">
        <v>9.5699706701922005E-5</v>
      </c>
      <c r="Z89" s="19"/>
      <c r="AA89" s="21">
        <v>-7.7749731076747202E-4</v>
      </c>
      <c r="AB89" s="19"/>
      <c r="AC89" s="21">
        <v>3.8390408204218803E-5</v>
      </c>
      <c r="AD89" s="19"/>
      <c r="AE89" s="21">
        <v>9.8802791383155301E-4</v>
      </c>
      <c r="AF89" s="19"/>
      <c r="AG89" s="21">
        <v>2.4719300671114499E-3</v>
      </c>
      <c r="AH89" s="19"/>
      <c r="AI89" s="21">
        <v>2.3809313495589202E-3</v>
      </c>
      <c r="AJ89" s="19"/>
      <c r="AK89" s="21">
        <v>1.22153661685192E-4</v>
      </c>
      <c r="AL89" s="19"/>
      <c r="AM89" s="21">
        <v>-6.9857981182916401E-5</v>
      </c>
      <c r="AN89" s="19"/>
      <c r="AO89" s="21">
        <v>3.5158455740828403E-4</v>
      </c>
      <c r="AP89" s="19"/>
      <c r="AQ89" s="21">
        <v>1.1736566267311601E-4</v>
      </c>
      <c r="AR89" s="19"/>
      <c r="AS89" s="21">
        <v>7.1383338795106101E-4</v>
      </c>
      <c r="AT89" s="19"/>
      <c r="AU89" s="21">
        <v>8.9274569506773201E-5</v>
      </c>
      <c r="AV89" s="19"/>
      <c r="AW89" s="21">
        <v>-6.1566928753035999E-5</v>
      </c>
      <c r="AX89" s="19"/>
      <c r="AY89" s="21">
        <v>2.0143516220260999E-5</v>
      </c>
      <c r="AZ89" s="19"/>
      <c r="BA89" s="21">
        <v>1.86748798534235E-3</v>
      </c>
      <c r="BB89" s="19"/>
      <c r="BC89" s="21">
        <v>6.1979221457043605E-4</v>
      </c>
      <c r="BD89" s="19"/>
      <c r="BE89" s="21">
        <v>1.18341622251643E-3</v>
      </c>
      <c r="BF89" s="19"/>
      <c r="BG89" s="21"/>
      <c r="BH89" s="19"/>
    </row>
    <row r="90" spans="1:60" x14ac:dyDescent="0.15">
      <c r="A90" s="17">
        <v>1999</v>
      </c>
      <c r="B90" s="17">
        <v>3</v>
      </c>
      <c r="C90" s="21"/>
      <c r="D90" s="19"/>
      <c r="E90" s="21">
        <v>5.6066982321559301E-3</v>
      </c>
      <c r="F90" s="19"/>
      <c r="G90" s="21">
        <v>1.2989316239126399E-4</v>
      </c>
      <c r="H90" s="19"/>
      <c r="I90" s="21">
        <v>6.8740801077725998E-6</v>
      </c>
      <c r="J90" s="19"/>
      <c r="K90" s="21">
        <v>2.6898578616974499E-3</v>
      </c>
      <c r="L90" s="19"/>
      <c r="M90" s="21">
        <v>3.0838840095875502E-3</v>
      </c>
      <c r="N90" s="19"/>
      <c r="O90" s="21">
        <v>-3.5878814581443601E-4</v>
      </c>
      <c r="P90" s="19"/>
      <c r="Q90" s="21">
        <v>1.5342705258910701E-4</v>
      </c>
      <c r="R90" s="19"/>
      <c r="S90" s="21">
        <v>-1.1075567851187E-4</v>
      </c>
      <c r="T90" s="19"/>
      <c r="U90" s="21">
        <v>-3.4163981656665303E-4</v>
      </c>
      <c r="V90" s="19"/>
      <c r="W90" s="21">
        <v>1.8839741366107399E-3</v>
      </c>
      <c r="X90" s="19"/>
      <c r="Y90" s="21">
        <v>1.9732552609248099E-5</v>
      </c>
      <c r="Z90" s="19"/>
      <c r="AA90" s="21">
        <v>4.9005429035899597E-5</v>
      </c>
      <c r="AB90" s="19"/>
      <c r="AC90" s="21">
        <v>4.81631405871817E-5</v>
      </c>
      <c r="AD90" s="19"/>
      <c r="AE90" s="21">
        <v>1.312727669296E-3</v>
      </c>
      <c r="AF90" s="19"/>
      <c r="AG90" s="21">
        <v>-4.8064937379916798E-4</v>
      </c>
      <c r="AH90" s="19"/>
      <c r="AI90" s="21">
        <v>-9.8479065594920005E-4</v>
      </c>
      <c r="AJ90" s="19"/>
      <c r="AK90" s="21">
        <v>3.23564756417796E-4</v>
      </c>
      <c r="AL90" s="19"/>
      <c r="AM90" s="21">
        <v>1.5135519867447901E-4</v>
      </c>
      <c r="AN90" s="19"/>
      <c r="AO90" s="21">
        <v>1.8121141167893901E-4</v>
      </c>
      <c r="AP90" s="19"/>
      <c r="AQ90" s="21">
        <v>-1.39296772698151E-4</v>
      </c>
      <c r="AR90" s="19"/>
      <c r="AS90" s="21">
        <v>4.2101721990636597E-5</v>
      </c>
      <c r="AT90" s="19"/>
      <c r="AU90" s="21">
        <v>8.7938969824332506E-6</v>
      </c>
      <c r="AV90" s="19"/>
      <c r="AW90" s="21">
        <v>-2.9031531541595499E-5</v>
      </c>
      <c r="AX90" s="19"/>
      <c r="AY90" s="21">
        <v>1.5789180877407599E-5</v>
      </c>
      <c r="AZ90" s="19"/>
      <c r="BA90" s="21">
        <v>1.5687245486027399E-3</v>
      </c>
      <c r="BB90" s="19"/>
      <c r="BC90" s="21">
        <v>6.7448381047084996E-4</v>
      </c>
      <c r="BD90" s="19"/>
      <c r="BE90" s="21">
        <v>8.3697592562000198E-4</v>
      </c>
      <c r="BF90" s="19"/>
      <c r="BG90" s="21"/>
      <c r="BH90" s="19"/>
    </row>
    <row r="91" spans="1:60" x14ac:dyDescent="0.15">
      <c r="A91" s="17">
        <v>1999</v>
      </c>
      <c r="B91" s="17">
        <v>4</v>
      </c>
      <c r="C91" s="21"/>
      <c r="D91" s="19"/>
      <c r="E91" s="21">
        <v>2.1237452117507601E-2</v>
      </c>
      <c r="F91" s="19"/>
      <c r="G91" s="21">
        <v>1.44227799103253E-4</v>
      </c>
      <c r="H91" s="19"/>
      <c r="I91" s="21">
        <v>-3.2073116941730899E-5</v>
      </c>
      <c r="J91" s="19"/>
      <c r="K91" s="21">
        <v>5.9909159019580303E-3</v>
      </c>
      <c r="L91" s="19"/>
      <c r="M91" s="21">
        <v>3.42544889557063E-3</v>
      </c>
      <c r="N91" s="19"/>
      <c r="O91" s="21">
        <v>2.4856064951916299E-3</v>
      </c>
      <c r="P91" s="19"/>
      <c r="Q91" s="21">
        <v>5.9182179908677599E-4</v>
      </c>
      <c r="R91" s="19"/>
      <c r="S91" s="21">
        <v>-3.9819284272779401E-5</v>
      </c>
      <c r="T91" s="19"/>
      <c r="U91" s="21">
        <v>6.6180099637863101E-4</v>
      </c>
      <c r="V91" s="19"/>
      <c r="W91" s="21">
        <v>3.2898410588952801E-3</v>
      </c>
      <c r="X91" s="19"/>
      <c r="Y91" s="21">
        <v>5.7299823381034101E-4</v>
      </c>
      <c r="Z91" s="19"/>
      <c r="AA91" s="21">
        <v>-2.1799296542817699E-4</v>
      </c>
      <c r="AB91" s="19"/>
      <c r="AC91" s="21">
        <v>2.1911915614506301E-4</v>
      </c>
      <c r="AD91" s="19"/>
      <c r="AE91" s="21">
        <v>1.5493741211833399E-3</v>
      </c>
      <c r="AF91" s="19"/>
      <c r="AG91" s="21">
        <v>8.6308521639587802E-3</v>
      </c>
      <c r="AH91" s="19"/>
      <c r="AI91" s="21">
        <v>7.5732947172145798E-3</v>
      </c>
      <c r="AJ91" s="19"/>
      <c r="AK91" s="21">
        <v>5.2157895431782005E-4</v>
      </c>
      <c r="AL91" s="19"/>
      <c r="AM91" s="21">
        <v>-4.5839943721145401E-4</v>
      </c>
      <c r="AN91" s="19"/>
      <c r="AO91" s="21">
        <v>4.3019839194613502E-4</v>
      </c>
      <c r="AP91" s="19"/>
      <c r="AQ91" s="21">
        <v>-2.7696208506517699E-5</v>
      </c>
      <c r="AR91" s="19"/>
      <c r="AS91" s="21">
        <v>2.7545323531133801E-4</v>
      </c>
      <c r="AT91" s="19"/>
      <c r="AU91" s="21">
        <v>-1.7818884760903899E-5</v>
      </c>
      <c r="AV91" s="19"/>
      <c r="AW91" s="21">
        <v>-2.3913927103412899E-5</v>
      </c>
      <c r="AX91" s="19"/>
      <c r="AY91" s="21">
        <v>3.6208157118380701E-6</v>
      </c>
      <c r="AZ91" s="19"/>
      <c r="BA91" s="21">
        <v>2.3736776877766401E-3</v>
      </c>
      <c r="BB91" s="19"/>
      <c r="BC91" s="21">
        <v>1.86176380313051E-3</v>
      </c>
      <c r="BD91" s="19"/>
      <c r="BE91" s="21">
        <v>4.2563486393448502E-4</v>
      </c>
      <c r="BF91" s="19"/>
      <c r="BG91" s="21"/>
      <c r="BH91" s="19"/>
    </row>
    <row r="92" spans="1:60" x14ac:dyDescent="0.15">
      <c r="A92" s="17">
        <v>2000</v>
      </c>
      <c r="B92" s="17">
        <v>1</v>
      </c>
      <c r="C92" s="21"/>
      <c r="D92" s="19"/>
      <c r="E92" s="21">
        <v>3.7196824809412801E-3</v>
      </c>
      <c r="F92" s="19"/>
      <c r="G92" s="21">
        <v>8.4327648622880606E-5</v>
      </c>
      <c r="H92" s="19"/>
      <c r="I92" s="21">
        <v>4.19725245298709E-7</v>
      </c>
      <c r="J92" s="19"/>
      <c r="K92" s="21">
        <v>-3.42726441340109E-3</v>
      </c>
      <c r="L92" s="19"/>
      <c r="M92" s="21">
        <v>-1.20132531149824E-3</v>
      </c>
      <c r="N92" s="19"/>
      <c r="O92" s="21">
        <v>-2.1500450129455602E-3</v>
      </c>
      <c r="P92" s="19"/>
      <c r="Q92" s="21">
        <v>-6.9146068489889701E-4</v>
      </c>
      <c r="R92" s="19"/>
      <c r="S92" s="21">
        <v>-6.2941315199586598E-5</v>
      </c>
      <c r="T92" s="19"/>
      <c r="U92" s="21">
        <v>-1.8697407702298401E-4</v>
      </c>
      <c r="V92" s="19"/>
      <c r="W92" s="21">
        <v>2.33071549862156E-4</v>
      </c>
      <c r="X92" s="19"/>
      <c r="Y92" s="21">
        <v>-1.07447343874119E-4</v>
      </c>
      <c r="Z92" s="19"/>
      <c r="AA92" s="21">
        <v>1.8395743737619401E-3</v>
      </c>
      <c r="AB92" s="19"/>
      <c r="AC92" s="21">
        <v>-6.2546583211288705E-5</v>
      </c>
      <c r="AD92" s="19"/>
      <c r="AE92" s="21">
        <v>1.5867187355629901E-3</v>
      </c>
      <c r="AF92" s="19"/>
      <c r="AG92" s="21">
        <v>4.8105645488198097E-3</v>
      </c>
      <c r="AH92" s="19"/>
      <c r="AI92" s="21">
        <v>3.5214484980548E-3</v>
      </c>
      <c r="AJ92" s="19"/>
      <c r="AK92" s="21">
        <v>7.17648317762849E-4</v>
      </c>
      <c r="AL92" s="19"/>
      <c r="AM92" s="21">
        <v>-5.4493633059717799E-4</v>
      </c>
      <c r="AN92" s="19"/>
      <c r="AO92" s="21">
        <v>1.97452316123004E-4</v>
      </c>
      <c r="AP92" s="19"/>
      <c r="AQ92" s="21">
        <v>-3.2388500207461402E-4</v>
      </c>
      <c r="AR92" s="19"/>
      <c r="AS92" s="21">
        <v>5.51209493641404E-4</v>
      </c>
      <c r="AT92" s="19"/>
      <c r="AU92" s="21">
        <v>-6.5483675225810306E-5</v>
      </c>
      <c r="AV92" s="19"/>
      <c r="AW92" s="21">
        <v>4.2205139883420602E-5</v>
      </c>
      <c r="AX92" s="19"/>
      <c r="AY92" s="21">
        <v>-7.3732161094033898E-7</v>
      </c>
      <c r="AZ92" s="19"/>
      <c r="BA92" s="21">
        <v>7.4233607220283802E-4</v>
      </c>
      <c r="BB92" s="19"/>
      <c r="BC92" s="21">
        <v>6.7387175171158202E-4</v>
      </c>
      <c r="BD92" s="19"/>
      <c r="BE92" s="21">
        <v>1.7955214347459899E-4</v>
      </c>
      <c r="BF92" s="19"/>
      <c r="BG92" s="21"/>
      <c r="BH92" s="19"/>
    </row>
    <row r="93" spans="1:60" x14ac:dyDescent="0.15">
      <c r="A93" s="17">
        <v>2000</v>
      </c>
      <c r="B93" s="17">
        <v>2</v>
      </c>
      <c r="C93" s="21"/>
      <c r="D93" s="19"/>
      <c r="E93" s="21">
        <v>1.4261458710479399E-3</v>
      </c>
      <c r="F93" s="19"/>
      <c r="G93" s="21">
        <v>6.2094574019493402E-5</v>
      </c>
      <c r="H93" s="19"/>
      <c r="I93" s="21">
        <v>-3.7836209653486502E-5</v>
      </c>
      <c r="J93" s="19"/>
      <c r="K93" s="21">
        <v>-1.34259381890434E-3</v>
      </c>
      <c r="L93" s="19"/>
      <c r="M93" s="21">
        <v>-5.7910334877450296E-4</v>
      </c>
      <c r="N93" s="19"/>
      <c r="O93" s="21">
        <v>-7.4996022836029599E-4</v>
      </c>
      <c r="P93" s="19"/>
      <c r="Q93" s="21">
        <v>3.50648258760552E-4</v>
      </c>
      <c r="R93" s="19"/>
      <c r="S93" s="21">
        <v>-4.06628524595828E-5</v>
      </c>
      <c r="T93" s="19"/>
      <c r="U93" s="21">
        <v>-7.4475204073472202E-4</v>
      </c>
      <c r="V93" s="19"/>
      <c r="W93" s="21">
        <v>1.2382359888648299E-3</v>
      </c>
      <c r="X93" s="19"/>
      <c r="Y93" s="21">
        <v>3.5265758769909602E-4</v>
      </c>
      <c r="Z93" s="19"/>
      <c r="AA93" s="21">
        <v>1.7516226310753801E-4</v>
      </c>
      <c r="AB93" s="19"/>
      <c r="AC93" s="21">
        <v>6.8598315173710003E-4</v>
      </c>
      <c r="AD93" s="19"/>
      <c r="AE93" s="21">
        <v>2.2156916465412499E-3</v>
      </c>
      <c r="AF93" s="19"/>
      <c r="AG93" s="21">
        <v>-2.1152572380611599E-3</v>
      </c>
      <c r="AH93" s="19"/>
      <c r="AI93" s="21">
        <v>-3.3754911696480599E-3</v>
      </c>
      <c r="AJ93" s="19"/>
      <c r="AK93" s="21">
        <v>6.2982722857553698E-4</v>
      </c>
      <c r="AL93" s="19"/>
      <c r="AM93" s="21">
        <v>-3.9624707978249801E-4</v>
      </c>
      <c r="AN93" s="19"/>
      <c r="AO93" s="21">
        <v>4.2083712236310199E-4</v>
      </c>
      <c r="AP93" s="19"/>
      <c r="AQ93" s="21">
        <v>-2.9453834364686E-4</v>
      </c>
      <c r="AR93" s="19"/>
      <c r="AS93" s="21">
        <v>9.5473245743019595E-4</v>
      </c>
      <c r="AT93" s="19"/>
      <c r="AU93" s="21">
        <v>1.2363896752391499E-4</v>
      </c>
      <c r="AV93" s="19"/>
      <c r="AW93" s="21">
        <v>1.95930889870272E-5</v>
      </c>
      <c r="AX93" s="19"/>
      <c r="AY93" s="21">
        <v>8.4062993489034505E-6</v>
      </c>
      <c r="AZ93" s="19"/>
      <c r="BA93" s="21">
        <v>3.5005139464933203E-4</v>
      </c>
      <c r="BB93" s="19"/>
      <c r="BC93" s="21">
        <v>4.0968930333672599E-4</v>
      </c>
      <c r="BD93" s="19"/>
      <c r="BE93" s="21">
        <v>-6.0251836371515498E-5</v>
      </c>
      <c r="BF93" s="19"/>
      <c r="BG93" s="21"/>
      <c r="BH93" s="19"/>
    </row>
    <row r="94" spans="1:60" x14ac:dyDescent="0.15">
      <c r="A94" s="17">
        <v>2000</v>
      </c>
      <c r="B94" s="17">
        <v>3</v>
      </c>
      <c r="C94" s="21"/>
      <c r="D94" s="19"/>
      <c r="E94" s="21">
        <v>6.3720081279577297E-3</v>
      </c>
      <c r="F94" s="19"/>
      <c r="G94" s="21">
        <v>-4.4531654887867498E-5</v>
      </c>
      <c r="H94" s="19"/>
      <c r="I94" s="21">
        <v>-5.0782064362694496E-6</v>
      </c>
      <c r="J94" s="19"/>
      <c r="K94" s="21">
        <v>2.0938201908052502E-3</v>
      </c>
      <c r="L94" s="19"/>
      <c r="M94" s="21">
        <v>7.5071304026001501E-4</v>
      </c>
      <c r="N94" s="19"/>
      <c r="O94" s="21">
        <v>1.32736116476475E-3</v>
      </c>
      <c r="P94" s="19"/>
      <c r="Q94" s="21">
        <v>-1.47909959327479E-3</v>
      </c>
      <c r="R94" s="19"/>
      <c r="S94" s="21">
        <v>2.7715992104528801E-5</v>
      </c>
      <c r="T94" s="19"/>
      <c r="U94" s="21">
        <v>3.3262843383113097E-5</v>
      </c>
      <c r="V94" s="19"/>
      <c r="W94" s="21">
        <v>2.0122558238688201E-3</v>
      </c>
      <c r="X94" s="19"/>
      <c r="Y94" s="21">
        <v>4.5783737120850702E-4</v>
      </c>
      <c r="Z94" s="19"/>
      <c r="AA94" s="21">
        <v>3.9597885058570301E-4</v>
      </c>
      <c r="AB94" s="19"/>
      <c r="AC94" s="21">
        <v>-2.1995301291172399E-4</v>
      </c>
      <c r="AD94" s="19"/>
      <c r="AE94" s="21">
        <v>6.4629607965602004E-4</v>
      </c>
      <c r="AF94" s="19"/>
      <c r="AG94" s="21">
        <v>1.71345890392224E-3</v>
      </c>
      <c r="AH94" s="19"/>
      <c r="AI94" s="21">
        <v>6.1564654967809901E-4</v>
      </c>
      <c r="AJ94" s="19"/>
      <c r="AK94" s="21">
        <v>5.3999016524585895E-4</v>
      </c>
      <c r="AL94" s="19"/>
      <c r="AM94" s="21">
        <v>2.5121504986852901E-4</v>
      </c>
      <c r="AN94" s="19"/>
      <c r="AO94" s="21">
        <v>2.6857524358171698E-4</v>
      </c>
      <c r="AP94" s="19"/>
      <c r="AQ94" s="21">
        <v>-9.1946748026083393E-5</v>
      </c>
      <c r="AR94" s="19"/>
      <c r="AS94" s="21">
        <v>8.0574876850779604E-4</v>
      </c>
      <c r="AT94" s="19"/>
      <c r="AU94" s="21">
        <v>-5.6687787715296699E-5</v>
      </c>
      <c r="AV94" s="19"/>
      <c r="AW94" s="21">
        <v>4.0971940928961602E-5</v>
      </c>
      <c r="AX94" s="19"/>
      <c r="AY94" s="21">
        <v>1.1881220255737901E-5</v>
      </c>
      <c r="AZ94" s="19"/>
      <c r="BA94" s="21">
        <v>2.4403825920311101E-4</v>
      </c>
      <c r="BB94" s="19"/>
      <c r="BC94" s="21">
        <v>4.22234813649865E-4</v>
      </c>
      <c r="BD94" s="19"/>
      <c r="BE94" s="21">
        <v>-1.7764428071823099E-4</v>
      </c>
      <c r="BF94" s="19"/>
      <c r="BG94" s="21"/>
      <c r="BH94" s="19"/>
    </row>
    <row r="95" spans="1:60" x14ac:dyDescent="0.15">
      <c r="A95" s="17">
        <v>2000</v>
      </c>
      <c r="B95" s="17">
        <v>4</v>
      </c>
      <c r="C95" s="21"/>
      <c r="D95" s="19"/>
      <c r="E95" s="21">
        <v>1.39835913339444E-2</v>
      </c>
      <c r="F95" s="19"/>
      <c r="G95" s="21">
        <v>-2.1221524260052799E-4</v>
      </c>
      <c r="H95" s="19"/>
      <c r="I95" s="21">
        <v>3.1287230121739901E-5</v>
      </c>
      <c r="J95" s="19"/>
      <c r="K95" s="21">
        <v>7.2194493694371399E-3</v>
      </c>
      <c r="L95" s="19"/>
      <c r="M95" s="21">
        <v>1.2996729681960799E-3</v>
      </c>
      <c r="N95" s="19"/>
      <c r="O95" s="21">
        <v>5.9261571079210996E-3</v>
      </c>
      <c r="P95" s="19"/>
      <c r="Q95" s="21">
        <v>1.77324163248694E-3</v>
      </c>
      <c r="R95" s="19"/>
      <c r="S95" s="21">
        <v>-3.2712636022438703E-5</v>
      </c>
      <c r="T95" s="19"/>
      <c r="U95" s="21">
        <v>1.5714570014497899E-4</v>
      </c>
      <c r="V95" s="19"/>
      <c r="W95" s="21">
        <v>1.2971663363887901E-3</v>
      </c>
      <c r="X95" s="19"/>
      <c r="Y95" s="21">
        <v>4.9839215476530296E-4</v>
      </c>
      <c r="Z95" s="19"/>
      <c r="AA95" s="21">
        <v>-2.1466020942808399E-4</v>
      </c>
      <c r="AB95" s="19"/>
      <c r="AC95" s="21">
        <v>-2.1229457386566299E-4</v>
      </c>
      <c r="AD95" s="19"/>
      <c r="AE95" s="21">
        <v>5.89642888703958E-4</v>
      </c>
      <c r="AF95" s="19"/>
      <c r="AG95" s="21">
        <v>3.1393231825141399E-4</v>
      </c>
      <c r="AH95" s="19"/>
      <c r="AI95" s="21">
        <v>-2.7567292127706502E-4</v>
      </c>
      <c r="AJ95" s="19"/>
      <c r="AK95" s="21">
        <v>4.46158245432744E-4</v>
      </c>
      <c r="AL95" s="19"/>
      <c r="AM95" s="21">
        <v>1.7879114856567599E-3</v>
      </c>
      <c r="AN95" s="19"/>
      <c r="AO95" s="21">
        <v>4.7047907466692699E-4</v>
      </c>
      <c r="AP95" s="19"/>
      <c r="AQ95" s="21">
        <v>-5.4281298673655297E-5</v>
      </c>
      <c r="AR95" s="19"/>
      <c r="AS95" s="21">
        <v>7.7096307260519903E-4</v>
      </c>
      <c r="AT95" s="19"/>
      <c r="AU95" s="21">
        <v>1.50567320474299E-4</v>
      </c>
      <c r="AV95" s="19"/>
      <c r="AW95" s="21">
        <v>-1.48971118137112E-5</v>
      </c>
      <c r="AX95" s="19"/>
      <c r="AY95" s="21">
        <v>1.6210159100146901E-5</v>
      </c>
      <c r="AZ95" s="19"/>
      <c r="BA95" s="21">
        <v>3.59728600118733E-4</v>
      </c>
      <c r="BB95" s="19"/>
      <c r="BC95" s="21">
        <v>6.3327816098715604E-4</v>
      </c>
      <c r="BD95" s="19"/>
      <c r="BE95" s="21">
        <v>-2.7253711649375398E-4</v>
      </c>
      <c r="BF95" s="19"/>
      <c r="BG95" s="21"/>
      <c r="BH95" s="19"/>
    </row>
    <row r="96" spans="1:60" x14ac:dyDescent="0.15">
      <c r="A96" s="17">
        <v>2001</v>
      </c>
      <c r="B96" s="17">
        <v>1</v>
      </c>
      <c r="C96" s="21"/>
      <c r="D96" s="19"/>
      <c r="E96" s="21">
        <v>1.4092679603366399E-3</v>
      </c>
      <c r="F96" s="19"/>
      <c r="G96" s="21">
        <v>-4.4112499784165402E-4</v>
      </c>
      <c r="H96" s="19"/>
      <c r="I96" s="21">
        <v>-1.13916401055219E-5</v>
      </c>
      <c r="J96" s="19"/>
      <c r="K96" s="21">
        <v>3.30697115359883E-3</v>
      </c>
      <c r="L96" s="19"/>
      <c r="M96" s="21">
        <v>2.4422888187299501E-3</v>
      </c>
      <c r="N96" s="19"/>
      <c r="O96" s="21">
        <v>8.47248210945992E-4</v>
      </c>
      <c r="P96" s="19"/>
      <c r="Q96" s="21">
        <v>3.1354624238403298E-4</v>
      </c>
      <c r="R96" s="19"/>
      <c r="S96" s="21">
        <v>4.2776596312044101E-5</v>
      </c>
      <c r="T96" s="19"/>
      <c r="U96" s="21">
        <v>-4.6178831755808598E-4</v>
      </c>
      <c r="V96" s="19"/>
      <c r="W96" s="21">
        <v>5.2181779873379302E-4</v>
      </c>
      <c r="X96" s="19"/>
      <c r="Y96" s="21">
        <v>8.9965770320006903E-4</v>
      </c>
      <c r="Z96" s="19"/>
      <c r="AA96" s="21">
        <v>-3.12050349484892E-4</v>
      </c>
      <c r="AB96" s="19"/>
      <c r="AC96" s="21">
        <v>9.2781943433351498E-4</v>
      </c>
      <c r="AD96" s="19"/>
      <c r="AE96" s="21">
        <v>6.7667384670005504E-4</v>
      </c>
      <c r="AF96" s="19"/>
      <c r="AG96" s="21">
        <v>-8.47167094940161E-3</v>
      </c>
      <c r="AH96" s="19"/>
      <c r="AI96" s="21">
        <v>-8.5591778435146308E-3</v>
      </c>
      <c r="AJ96" s="19"/>
      <c r="AK96" s="21">
        <v>3.50055502314898E-4</v>
      </c>
      <c r="AL96" s="19"/>
      <c r="AM96" s="21">
        <v>2.914700996025E-3</v>
      </c>
      <c r="AN96" s="19"/>
      <c r="AO96" s="21">
        <v>8.1912368648048796E-4</v>
      </c>
      <c r="AP96" s="19"/>
      <c r="AQ96" s="21">
        <v>-1.5590343776387801E-4</v>
      </c>
      <c r="AR96" s="19"/>
      <c r="AS96" s="21">
        <v>1.66842367535092E-3</v>
      </c>
      <c r="AT96" s="19"/>
      <c r="AU96" s="21">
        <v>2.3170315714275699E-4</v>
      </c>
      <c r="AV96" s="19"/>
      <c r="AW96" s="21">
        <v>6.7511123963433402E-5</v>
      </c>
      <c r="AX96" s="19"/>
      <c r="AY96" s="21">
        <v>2.0806201705287801E-5</v>
      </c>
      <c r="AZ96" s="19"/>
      <c r="BA96" s="21">
        <v>-1.02819646125234E-3</v>
      </c>
      <c r="BB96" s="19"/>
      <c r="BC96" s="21">
        <v>-6.0211569120787595E-4</v>
      </c>
      <c r="BD96" s="19"/>
      <c r="BE96" s="21">
        <v>-4.29194074044599E-4</v>
      </c>
      <c r="BF96" s="19"/>
      <c r="BG96" s="21"/>
      <c r="BH96" s="19"/>
    </row>
    <row r="97" spans="1:60" x14ac:dyDescent="0.15">
      <c r="A97" s="17">
        <v>2001</v>
      </c>
      <c r="B97" s="17">
        <v>2</v>
      </c>
      <c r="C97" s="21"/>
      <c r="D97" s="19"/>
      <c r="E97" s="21">
        <v>5.1757637779567302E-3</v>
      </c>
      <c r="F97" s="19"/>
      <c r="G97" s="21">
        <v>-2.0665119625908599E-4</v>
      </c>
      <c r="H97" s="19"/>
      <c r="I97" s="21">
        <v>-2.14216452237423E-6</v>
      </c>
      <c r="J97" s="19"/>
      <c r="K97" s="21">
        <v>2.2812895977021002E-3</v>
      </c>
      <c r="L97" s="19"/>
      <c r="M97" s="21">
        <v>1.6346891867865701E-3</v>
      </c>
      <c r="N97" s="19"/>
      <c r="O97" s="21">
        <v>6.2051611768809895E-4</v>
      </c>
      <c r="P97" s="19"/>
      <c r="Q97" s="21">
        <v>1.3104656426167599E-4</v>
      </c>
      <c r="R97" s="19"/>
      <c r="S97" s="21">
        <v>5.4692530246032497E-5</v>
      </c>
      <c r="T97" s="19"/>
      <c r="U97" s="21">
        <v>1.31550378800734E-4</v>
      </c>
      <c r="V97" s="19"/>
      <c r="W97" s="21">
        <v>1.54697907520611E-3</v>
      </c>
      <c r="X97" s="19"/>
      <c r="Y97" s="21">
        <v>7.6033704451774901E-4</v>
      </c>
      <c r="Z97" s="19"/>
      <c r="AA97" s="21">
        <v>-9.3626925836067806E-5</v>
      </c>
      <c r="AB97" s="19"/>
      <c r="AC97" s="21">
        <v>-4.7258458606540401E-4</v>
      </c>
      <c r="AD97" s="19"/>
      <c r="AE97" s="21">
        <v>4.1304686947807702E-4</v>
      </c>
      <c r="AF97" s="19"/>
      <c r="AG97" s="21">
        <v>-3.11488244391032E-4</v>
      </c>
      <c r="AH97" s="19"/>
      <c r="AI97" s="21">
        <v>-1.12460943009428E-4</v>
      </c>
      <c r="AJ97" s="19"/>
      <c r="AK97" s="21">
        <v>6.3597635270409907E-5</v>
      </c>
      <c r="AL97" s="19"/>
      <c r="AM97" s="21">
        <v>2.2005285821979901E-3</v>
      </c>
      <c r="AN97" s="19"/>
      <c r="AO97" s="21">
        <v>-4.6265366960750599E-4</v>
      </c>
      <c r="AP97" s="19"/>
      <c r="AQ97" s="21">
        <v>3.35277004751995E-4</v>
      </c>
      <c r="AR97" s="19"/>
      <c r="AS97" s="21">
        <v>-2.8165846280124698E-4</v>
      </c>
      <c r="AT97" s="19"/>
      <c r="AU97" s="21">
        <v>-1.88348497066327E-4</v>
      </c>
      <c r="AV97" s="19"/>
      <c r="AW97" s="21">
        <v>1.0514469904317399E-4</v>
      </c>
      <c r="AX97" s="19"/>
      <c r="AY97" s="21">
        <v>1.7146275225852201E-5</v>
      </c>
      <c r="AZ97" s="19"/>
      <c r="BA97" s="21">
        <v>-5.5776493898030202E-4</v>
      </c>
      <c r="BB97" s="19"/>
      <c r="BC97" s="21">
        <v>-1.3440703210170101E-4</v>
      </c>
      <c r="BD97" s="19"/>
      <c r="BE97" s="21">
        <v>-4.27449093267885E-4</v>
      </c>
      <c r="BF97" s="19"/>
      <c r="BG97" s="21"/>
      <c r="BH97" s="19"/>
    </row>
    <row r="98" spans="1:60" x14ac:dyDescent="0.15">
      <c r="A98" s="17">
        <v>2001</v>
      </c>
      <c r="B98" s="17">
        <v>3</v>
      </c>
      <c r="C98" s="21"/>
      <c r="D98" s="19"/>
      <c r="E98" s="21">
        <v>-5.74045538434394E-5</v>
      </c>
      <c r="F98" s="19"/>
      <c r="G98" s="21">
        <v>-7.4407373098717605E-5</v>
      </c>
      <c r="H98" s="19"/>
      <c r="I98" s="21">
        <v>7.3673661265934297E-6</v>
      </c>
      <c r="J98" s="19"/>
      <c r="K98" s="21">
        <v>-1.5208102682947599E-3</v>
      </c>
      <c r="L98" s="19"/>
      <c r="M98" s="21">
        <v>2.7041554627922702E-4</v>
      </c>
      <c r="N98" s="19"/>
      <c r="O98" s="21">
        <v>-1.8032378575540201E-3</v>
      </c>
      <c r="P98" s="19"/>
      <c r="Q98" s="21">
        <v>-4.6111021396736703E-4</v>
      </c>
      <c r="R98" s="19"/>
      <c r="S98" s="21">
        <v>-2.7846462305861999E-6</v>
      </c>
      <c r="T98" s="19"/>
      <c r="U98" s="21">
        <v>4.2604246441139E-4</v>
      </c>
      <c r="V98" s="19"/>
      <c r="W98" s="21">
        <v>4.51591705567461E-4</v>
      </c>
      <c r="X98" s="19"/>
      <c r="Y98" s="21">
        <v>3.7489904104981003E-4</v>
      </c>
      <c r="Z98" s="19"/>
      <c r="AA98" s="21">
        <v>4.7366006970318299E-4</v>
      </c>
      <c r="AB98" s="19"/>
      <c r="AC98" s="21">
        <v>1.5261582865828399E-4</v>
      </c>
      <c r="AD98" s="19"/>
      <c r="AE98" s="21">
        <v>3.1184423881608402E-4</v>
      </c>
      <c r="AF98" s="19"/>
      <c r="AG98" s="21">
        <v>-6.1114953712677899E-4</v>
      </c>
      <c r="AH98" s="19"/>
      <c r="AI98" s="21">
        <v>-1.94627919187874E-5</v>
      </c>
      <c r="AJ98" s="19"/>
      <c r="AK98" s="21">
        <v>-2.0967853542935101E-4</v>
      </c>
      <c r="AL98" s="19"/>
      <c r="AM98" s="21">
        <v>-6.2008049020882998E-4</v>
      </c>
      <c r="AN98" s="19"/>
      <c r="AO98" s="21">
        <v>2.9241757229781098E-4</v>
      </c>
      <c r="AP98" s="19"/>
      <c r="AQ98" s="21">
        <v>3.38123907626534E-4</v>
      </c>
      <c r="AR98" s="19"/>
      <c r="AS98" s="21">
        <v>6.0421161469643102E-4</v>
      </c>
      <c r="AT98" s="19"/>
      <c r="AU98" s="21">
        <v>1.06286247571257E-4</v>
      </c>
      <c r="AV98" s="19"/>
      <c r="AW98" s="21">
        <v>1.10050578803709E-4</v>
      </c>
      <c r="AX98" s="19"/>
      <c r="AY98" s="21">
        <v>1.27741998156289E-5</v>
      </c>
      <c r="AZ98" s="19"/>
      <c r="BA98" s="21">
        <v>-5.70229074571483E-4</v>
      </c>
      <c r="BB98" s="19"/>
      <c r="BC98" s="21">
        <v>-1.9601189911312399E-4</v>
      </c>
      <c r="BD98" s="19"/>
      <c r="BE98" s="21">
        <v>-3.8383151026235202E-4</v>
      </c>
      <c r="BF98" s="19"/>
      <c r="BG98" s="21"/>
      <c r="BH98" s="19"/>
    </row>
    <row r="99" spans="1:60" x14ac:dyDescent="0.15">
      <c r="A99" s="17">
        <v>2001</v>
      </c>
      <c r="B99" s="17">
        <v>4</v>
      </c>
      <c r="C99" s="21"/>
      <c r="D99" s="19"/>
      <c r="E99" s="21">
        <v>-9.0678708865052501E-5</v>
      </c>
      <c r="F99" s="19"/>
      <c r="G99" s="21">
        <v>1.0320431698074499E-4</v>
      </c>
      <c r="H99" s="19"/>
      <c r="I99" s="21">
        <v>1.68367021313305E-5</v>
      </c>
      <c r="J99" s="19"/>
      <c r="K99" s="21">
        <v>2.6341861966998299E-4</v>
      </c>
      <c r="L99" s="19"/>
      <c r="M99" s="21">
        <v>8.2057519695220404E-4</v>
      </c>
      <c r="N99" s="19"/>
      <c r="O99" s="21">
        <v>-5.7699014187008002E-4</v>
      </c>
      <c r="P99" s="19"/>
      <c r="Q99" s="21">
        <v>-1.83080412758755E-3</v>
      </c>
      <c r="R99" s="19"/>
      <c r="S99" s="21">
        <v>4.77083321954146E-5</v>
      </c>
      <c r="T99" s="19"/>
      <c r="U99" s="21">
        <v>-1.8337642000746499E-4</v>
      </c>
      <c r="V99" s="19"/>
      <c r="W99" s="21">
        <v>5.6261588643748204E-4</v>
      </c>
      <c r="X99" s="19"/>
      <c r="Y99" s="21">
        <v>7.2956799267543098E-5</v>
      </c>
      <c r="Z99" s="19"/>
      <c r="AA99" s="21">
        <v>3.4185024933411102E-4</v>
      </c>
      <c r="AB99" s="19"/>
      <c r="AC99" s="21">
        <v>-2.1156657328341599E-4</v>
      </c>
      <c r="AD99" s="19"/>
      <c r="AE99" s="21">
        <v>4.1865858885022802E-5</v>
      </c>
      <c r="AF99" s="19"/>
      <c r="AG99" s="21">
        <v>1.3847300031783499E-4</v>
      </c>
      <c r="AH99" s="19"/>
      <c r="AI99" s="21">
        <v>5.56388131615154E-4</v>
      </c>
      <c r="AJ99" s="19"/>
      <c r="AK99" s="21">
        <v>-4.7794964402155503E-4</v>
      </c>
      <c r="AL99" s="19"/>
      <c r="AM99" s="21">
        <v>-1.43395007945393E-3</v>
      </c>
      <c r="AN99" s="19"/>
      <c r="AO99" s="21">
        <v>5.9801481433255002E-5</v>
      </c>
      <c r="AP99" s="19"/>
      <c r="AQ99" s="21">
        <v>5.2415702326379999E-4</v>
      </c>
      <c r="AR99" s="19"/>
      <c r="AS99" s="21">
        <v>8.6309197649449103E-4</v>
      </c>
      <c r="AT99" s="19"/>
      <c r="AU99" s="21">
        <v>3.5689008171832E-4</v>
      </c>
      <c r="AV99" s="19"/>
      <c r="AW99" s="21">
        <v>1.9073063511855401E-4</v>
      </c>
      <c r="AX99" s="19"/>
      <c r="AY99" s="21">
        <v>7.7628945932641301E-7</v>
      </c>
      <c r="AZ99" s="19"/>
      <c r="BA99" s="21">
        <v>-2.7272788516995199E-4</v>
      </c>
      <c r="BB99" s="19"/>
      <c r="BC99" s="21">
        <v>-4.0270774913968902E-5</v>
      </c>
      <c r="BD99" s="19"/>
      <c r="BE99" s="21">
        <v>-2.38337216101553E-4</v>
      </c>
      <c r="BF99" s="19"/>
      <c r="BG99" s="21"/>
      <c r="BH99" s="19"/>
    </row>
    <row r="100" spans="1:60" x14ac:dyDescent="0.15">
      <c r="A100" s="17">
        <v>2002</v>
      </c>
      <c r="B100" s="17">
        <v>1</v>
      </c>
      <c r="C100" s="21"/>
      <c r="D100" s="19"/>
      <c r="E100" s="21">
        <v>-3.5925118502688698E-4</v>
      </c>
      <c r="F100" s="19"/>
      <c r="G100" s="21">
        <v>3.47348246532915E-4</v>
      </c>
      <c r="H100" s="19"/>
      <c r="I100" s="21">
        <v>8.9716014494472201E-7</v>
      </c>
      <c r="J100" s="19"/>
      <c r="K100" s="21">
        <v>1.4173286209355699E-3</v>
      </c>
      <c r="L100" s="19"/>
      <c r="M100" s="21">
        <v>2.59016142192014E-3</v>
      </c>
      <c r="N100" s="19"/>
      <c r="O100" s="21">
        <v>-1.1379414204485401E-3</v>
      </c>
      <c r="P100" s="19"/>
      <c r="Q100" s="21">
        <v>-1.84220362171197E-3</v>
      </c>
      <c r="R100" s="19"/>
      <c r="S100" s="21">
        <v>7.8877233681620302E-5</v>
      </c>
      <c r="T100" s="19"/>
      <c r="U100" s="21">
        <v>1.17492598677263E-3</v>
      </c>
      <c r="V100" s="19"/>
      <c r="W100" s="21">
        <v>1.38790231381529E-3</v>
      </c>
      <c r="X100" s="19"/>
      <c r="Y100" s="21">
        <v>-3.2767117366493999E-4</v>
      </c>
      <c r="Z100" s="19"/>
      <c r="AA100" s="21">
        <v>-6.3154957888620202E-4</v>
      </c>
      <c r="AB100" s="19"/>
      <c r="AC100" s="21">
        <v>-3.66913283416293E-4</v>
      </c>
      <c r="AD100" s="19"/>
      <c r="AE100" s="21">
        <v>6.8642817637635904E-4</v>
      </c>
      <c r="AF100" s="19"/>
      <c r="AG100" s="21">
        <v>-1.8419661547438701E-3</v>
      </c>
      <c r="AH100" s="19"/>
      <c r="AI100" s="21">
        <v>-1.47015117154341E-3</v>
      </c>
      <c r="AJ100" s="19"/>
      <c r="AK100" s="21">
        <v>-7.4183255911841096E-4</v>
      </c>
      <c r="AL100" s="19"/>
      <c r="AM100" s="21">
        <v>-2.1728703189617502E-3</v>
      </c>
      <c r="AN100" s="19"/>
      <c r="AO100" s="21">
        <v>3.2415664422541897E-4</v>
      </c>
      <c r="AP100" s="19"/>
      <c r="AQ100" s="21">
        <v>6.5782697515976102E-4</v>
      </c>
      <c r="AR100" s="19"/>
      <c r="AS100" s="21">
        <v>3.2770802098279798E-4</v>
      </c>
      <c r="AT100" s="19"/>
      <c r="AU100" s="21">
        <v>-1.81151483213775E-5</v>
      </c>
      <c r="AV100" s="19"/>
      <c r="AW100" s="21">
        <v>1.26855820790901E-4</v>
      </c>
      <c r="AX100" s="19"/>
      <c r="AY100" s="21">
        <v>-4.6982584535911497E-6</v>
      </c>
      <c r="AZ100" s="19"/>
      <c r="BA100" s="21">
        <v>-4.0686185901600601E-4</v>
      </c>
      <c r="BB100" s="19"/>
      <c r="BC100" s="21">
        <v>-8.01877188137347E-5</v>
      </c>
      <c r="BD100" s="19"/>
      <c r="BE100" s="21">
        <v>-3.1998696494691401E-4</v>
      </c>
      <c r="BF100" s="19"/>
      <c r="BG100" s="21"/>
      <c r="BH100" s="19"/>
    </row>
    <row r="101" spans="1:60" x14ac:dyDescent="0.15">
      <c r="A101" s="17">
        <v>2002</v>
      </c>
      <c r="B101" s="17">
        <v>2</v>
      </c>
      <c r="C101" s="21"/>
      <c r="D101" s="19"/>
      <c r="E101" s="21">
        <v>2.7040256739426999E-3</v>
      </c>
      <c r="F101" s="19"/>
      <c r="G101" s="21">
        <v>9.2145940110939704E-5</v>
      </c>
      <c r="H101" s="19"/>
      <c r="I101" s="21">
        <v>-2.55675889026221E-5</v>
      </c>
      <c r="J101" s="19"/>
      <c r="K101" s="21">
        <v>3.47972054709274E-3</v>
      </c>
      <c r="L101" s="19"/>
      <c r="M101" s="21">
        <v>2.0764137008787899E-3</v>
      </c>
      <c r="N101" s="19"/>
      <c r="O101" s="21">
        <v>1.3972660446703799E-3</v>
      </c>
      <c r="P101" s="19"/>
      <c r="Q101" s="21">
        <v>1.1407570466781099E-4</v>
      </c>
      <c r="R101" s="19"/>
      <c r="S101" s="21">
        <v>-3.1648739588908101E-5</v>
      </c>
      <c r="T101" s="19"/>
      <c r="U101" s="21">
        <v>7.0679831500886602E-4</v>
      </c>
      <c r="V101" s="19"/>
      <c r="W101" s="21">
        <v>1.6622854941267E-3</v>
      </c>
      <c r="X101" s="19"/>
      <c r="Y101" s="21">
        <v>-3.3190863059515602E-4</v>
      </c>
      <c r="Z101" s="19"/>
      <c r="AA101" s="21">
        <v>6.6289806645403496E-4</v>
      </c>
      <c r="AB101" s="19"/>
      <c r="AC101" s="21">
        <v>-4.0959454129306701E-4</v>
      </c>
      <c r="AD101" s="19"/>
      <c r="AE101" s="21">
        <v>-1.3344787249370101E-4</v>
      </c>
      <c r="AF101" s="19"/>
      <c r="AG101" s="21">
        <v>-2.1754973745201299E-3</v>
      </c>
      <c r="AH101" s="19"/>
      <c r="AI101" s="21">
        <v>-2.2923045154906898E-3</v>
      </c>
      <c r="AJ101" s="19"/>
      <c r="AK101" s="21">
        <v>-1.6911221606336199E-4</v>
      </c>
      <c r="AL101" s="19"/>
      <c r="AM101" s="21">
        <v>-2.5308404190351498E-3</v>
      </c>
      <c r="AN101" s="19"/>
      <c r="AO101" s="21">
        <v>-4.4781179104840697E-5</v>
      </c>
      <c r="AP101" s="19"/>
      <c r="AQ101" s="21">
        <v>3.6626431877971702E-4</v>
      </c>
      <c r="AR101" s="19"/>
      <c r="AS101" s="21">
        <v>5.4123856554620295E-4</v>
      </c>
      <c r="AT101" s="19"/>
      <c r="AU101" s="21">
        <v>2.3168490749966199E-4</v>
      </c>
      <c r="AV101" s="19"/>
      <c r="AW101" s="21">
        <v>3.0842193072748902E-4</v>
      </c>
      <c r="AX101" s="19"/>
      <c r="AY101" s="21">
        <v>6.1903917099702199E-6</v>
      </c>
      <c r="AZ101" s="19"/>
      <c r="BA101" s="21">
        <v>-9.1333115410807499E-5</v>
      </c>
      <c r="BB101" s="19"/>
      <c r="BC101" s="21">
        <v>1.96446063385631E-4</v>
      </c>
      <c r="BD101" s="19"/>
      <c r="BE101" s="21">
        <v>-2.9645164196688599E-4</v>
      </c>
      <c r="BF101" s="19"/>
      <c r="BG101" s="21"/>
      <c r="BH101" s="19"/>
    </row>
    <row r="102" spans="1:60" x14ac:dyDescent="0.15">
      <c r="A102" s="17">
        <v>2002</v>
      </c>
      <c r="B102" s="17">
        <v>3</v>
      </c>
      <c r="C102" s="21"/>
      <c r="D102" s="19"/>
      <c r="E102" s="21">
        <v>2.9480273838822699E-3</v>
      </c>
      <c r="F102" s="19"/>
      <c r="G102" s="21">
        <v>-1.10774539331411E-4</v>
      </c>
      <c r="H102" s="19"/>
      <c r="I102" s="21">
        <v>-1.3989954367134201E-5</v>
      </c>
      <c r="J102" s="19"/>
      <c r="K102" s="21">
        <v>2.17919008124278E-3</v>
      </c>
      <c r="L102" s="19"/>
      <c r="M102" s="21">
        <v>1.3264798148799901E-3</v>
      </c>
      <c r="N102" s="19"/>
      <c r="O102" s="21">
        <v>8.2361190672984499E-4</v>
      </c>
      <c r="P102" s="19"/>
      <c r="Q102" s="21">
        <v>-3.5718690431039599E-4</v>
      </c>
      <c r="R102" s="19"/>
      <c r="S102" s="21">
        <v>-1.8707708267906901E-5</v>
      </c>
      <c r="T102" s="19"/>
      <c r="U102" s="21">
        <v>4.09107269684671E-4</v>
      </c>
      <c r="V102" s="19"/>
      <c r="W102" s="21">
        <v>1.21781653322381E-3</v>
      </c>
      <c r="X102" s="19"/>
      <c r="Y102" s="21">
        <v>3.9494344931681799E-4</v>
      </c>
      <c r="Z102" s="19"/>
      <c r="AA102" s="21">
        <v>9.5029752401005997E-4</v>
      </c>
      <c r="AB102" s="19"/>
      <c r="AC102" s="21">
        <v>-4.9736747420987598E-4</v>
      </c>
      <c r="AD102" s="19"/>
      <c r="AE102" s="21">
        <v>2.5293439953496302E-4</v>
      </c>
      <c r="AF102" s="19"/>
      <c r="AG102" s="21">
        <v>-3.26389023662828E-4</v>
      </c>
      <c r="AH102" s="19"/>
      <c r="AI102" s="21">
        <v>-2.1486240158379301E-4</v>
      </c>
      <c r="AJ102" s="19"/>
      <c r="AK102" s="21">
        <v>3.4518616981580799E-4</v>
      </c>
      <c r="AL102" s="19"/>
      <c r="AM102" s="21">
        <v>-1.7811854250759001E-3</v>
      </c>
      <c r="AN102" s="19"/>
      <c r="AO102" s="21">
        <v>2.80997355759175E-4</v>
      </c>
      <c r="AP102" s="19"/>
      <c r="AQ102" s="21">
        <v>2.0357505291191099E-4</v>
      </c>
      <c r="AR102" s="19"/>
      <c r="AS102" s="21">
        <v>4.4245302105241501E-4</v>
      </c>
      <c r="AT102" s="19"/>
      <c r="AU102" s="21">
        <v>-2.58051797301724E-5</v>
      </c>
      <c r="AV102" s="19"/>
      <c r="AW102" s="21">
        <v>1.2901836160229599E-4</v>
      </c>
      <c r="AX102" s="19"/>
      <c r="AY102" s="21">
        <v>1.20992019776513E-5</v>
      </c>
      <c r="AZ102" s="19"/>
      <c r="BA102" s="21">
        <v>-7.2292216349313198E-5</v>
      </c>
      <c r="BB102" s="19"/>
      <c r="BC102" s="21">
        <v>1.71282654334143E-4</v>
      </c>
      <c r="BD102" s="19"/>
      <c r="BE102" s="21">
        <v>-2.5599368475796099E-4</v>
      </c>
      <c r="BF102" s="19"/>
      <c r="BG102" s="21"/>
      <c r="BH102" s="19"/>
    </row>
    <row r="103" spans="1:60" x14ac:dyDescent="0.15">
      <c r="A103" s="17">
        <v>2002</v>
      </c>
      <c r="B103" s="17">
        <v>4</v>
      </c>
      <c r="C103" s="21"/>
      <c r="D103" s="19"/>
      <c r="E103" s="21">
        <v>-5.5452551241733797E-3</v>
      </c>
      <c r="F103" s="19"/>
      <c r="G103" s="21">
        <v>-3.9021984347870802E-4</v>
      </c>
      <c r="H103" s="19"/>
      <c r="I103" s="21">
        <v>-1.59362798565906E-5</v>
      </c>
      <c r="J103" s="19"/>
      <c r="K103" s="21">
        <v>-1.9267364155384601E-3</v>
      </c>
      <c r="L103" s="19"/>
      <c r="M103" s="21">
        <v>-8.4619472070044299E-4</v>
      </c>
      <c r="N103" s="19"/>
      <c r="O103" s="21">
        <v>-1.0667492887052499E-3</v>
      </c>
      <c r="P103" s="19"/>
      <c r="Q103" s="21">
        <v>-1.8507656687435201E-4</v>
      </c>
      <c r="R103" s="19"/>
      <c r="S103" s="21">
        <v>-2.01843981221241E-5</v>
      </c>
      <c r="T103" s="19"/>
      <c r="U103" s="21">
        <v>4.6658981014167797E-4</v>
      </c>
      <c r="V103" s="19"/>
      <c r="W103" s="21">
        <v>3.3281148621270901E-4</v>
      </c>
      <c r="X103" s="19"/>
      <c r="Y103" s="21">
        <v>1.4951214717878899E-4</v>
      </c>
      <c r="Z103" s="19"/>
      <c r="AA103" s="21">
        <v>-3.43872886463748E-4</v>
      </c>
      <c r="AB103" s="19"/>
      <c r="AC103" s="21">
        <v>-4.6333121316354903E-4</v>
      </c>
      <c r="AD103" s="19"/>
      <c r="AE103" s="21">
        <v>-6.3648501631337296E-4</v>
      </c>
      <c r="AF103" s="19"/>
      <c r="AG103" s="21">
        <v>7.9986322097646396E-4</v>
      </c>
      <c r="AH103" s="19"/>
      <c r="AI103" s="21">
        <v>5.91245774006523E-5</v>
      </c>
      <c r="AJ103" s="19"/>
      <c r="AK103" s="21">
        <v>8.6402870427406396E-4</v>
      </c>
      <c r="AL103" s="19"/>
      <c r="AM103" s="21">
        <v>-3.2395446623455101E-3</v>
      </c>
      <c r="AN103" s="19"/>
      <c r="AO103" s="21">
        <v>-4.9806032891305203E-5</v>
      </c>
      <c r="AP103" s="19"/>
      <c r="AQ103" s="21">
        <v>-1.3705059478185601E-4</v>
      </c>
      <c r="AR103" s="19"/>
      <c r="AS103" s="21">
        <v>1.0825630831962E-4</v>
      </c>
      <c r="AT103" s="19"/>
      <c r="AU103" s="21">
        <v>2.4424515109276002E-4</v>
      </c>
      <c r="AV103" s="19"/>
      <c r="AW103" s="21">
        <v>-1.8201500400066899E-4</v>
      </c>
      <c r="AX103" s="19"/>
      <c r="AY103" s="21">
        <v>-5.2120194065161197E-6</v>
      </c>
      <c r="AZ103" s="19"/>
      <c r="BA103" s="21">
        <v>-1.11520830813286E-4</v>
      </c>
      <c r="BB103" s="19"/>
      <c r="BC103" s="21">
        <v>-1.0459922269024499E-5</v>
      </c>
      <c r="BD103" s="19"/>
      <c r="BE103" s="21">
        <v>-1.10112038354035E-4</v>
      </c>
      <c r="BF103" s="19"/>
      <c r="BG103" s="21"/>
      <c r="BH103" s="19"/>
    </row>
    <row r="104" spans="1:60" x14ac:dyDescent="0.15">
      <c r="A104" s="17">
        <v>2003</v>
      </c>
      <c r="B104" s="17">
        <v>1</v>
      </c>
      <c r="C104" s="21"/>
      <c r="D104" s="19"/>
      <c r="E104" s="21">
        <v>-5.10741605977109E-3</v>
      </c>
      <c r="F104" s="19"/>
      <c r="G104" s="21">
        <v>-9.6348986801068404E-4</v>
      </c>
      <c r="H104" s="19"/>
      <c r="I104" s="21">
        <v>-1.51767304220712E-5</v>
      </c>
      <c r="J104" s="19"/>
      <c r="K104" s="21">
        <v>-2.6109323689074999E-3</v>
      </c>
      <c r="L104" s="19"/>
      <c r="M104" s="21">
        <v>2.23110177305087E-4</v>
      </c>
      <c r="N104" s="19"/>
      <c r="O104" s="21">
        <v>-2.8260984429978502E-3</v>
      </c>
      <c r="P104" s="19"/>
      <c r="Q104" s="21">
        <v>-3.2097107423277401E-6</v>
      </c>
      <c r="R104" s="19"/>
      <c r="S104" s="21">
        <v>-1.02863776384395E-4</v>
      </c>
      <c r="T104" s="19"/>
      <c r="U104" s="21">
        <v>1.2354767787896599E-4</v>
      </c>
      <c r="V104" s="19"/>
      <c r="W104" s="21">
        <v>9.937585271138881E-4</v>
      </c>
      <c r="X104" s="19"/>
      <c r="Y104" s="21">
        <v>5.0465461394410302E-4</v>
      </c>
      <c r="Z104" s="19"/>
      <c r="AA104" s="21">
        <v>1.4446232970309801E-4</v>
      </c>
      <c r="AB104" s="19"/>
      <c r="AC104" s="21">
        <v>-5.4700096224547098E-4</v>
      </c>
      <c r="AD104" s="19"/>
      <c r="AE104" s="21">
        <v>-8.7731962564441897E-4</v>
      </c>
      <c r="AF104" s="19"/>
      <c r="AG104" s="21">
        <v>-1.56110421954542E-3</v>
      </c>
      <c r="AH104" s="19"/>
      <c r="AI104" s="21">
        <v>-2.2982991879141202E-3</v>
      </c>
      <c r="AJ104" s="19"/>
      <c r="AK104" s="21">
        <v>1.46852827385127E-3</v>
      </c>
      <c r="AL104" s="19"/>
      <c r="AM104" s="21">
        <v>-1.0082503172141E-4</v>
      </c>
      <c r="AN104" s="19"/>
      <c r="AO104" s="21">
        <v>3.6071680434673399E-4</v>
      </c>
      <c r="AP104" s="19"/>
      <c r="AQ104" s="21">
        <v>1.5785337891553801E-4</v>
      </c>
      <c r="AR104" s="19"/>
      <c r="AS104" s="21">
        <v>-5.3791070586178403E-5</v>
      </c>
      <c r="AT104" s="19"/>
      <c r="AU104" s="21">
        <v>1.24958389213204E-4</v>
      </c>
      <c r="AV104" s="19"/>
      <c r="AW104" s="21">
        <v>-1.24388354794188E-4</v>
      </c>
      <c r="AX104" s="19"/>
      <c r="AY104" s="21">
        <v>-1.02051331640962E-5</v>
      </c>
      <c r="AZ104" s="19"/>
      <c r="BA104" s="21">
        <v>-2.36214365837538E-4</v>
      </c>
      <c r="BB104" s="19"/>
      <c r="BC104" s="21">
        <v>-5.10659179479711E-5</v>
      </c>
      <c r="BD104" s="19"/>
      <c r="BE104" s="21">
        <v>-1.7253749436550999E-4</v>
      </c>
      <c r="BF104" s="19"/>
      <c r="BG104" s="21"/>
      <c r="BH104" s="19"/>
    </row>
    <row r="105" spans="1:60" x14ac:dyDescent="0.15">
      <c r="A105" s="17">
        <v>2003</v>
      </c>
      <c r="B105" s="17">
        <v>2</v>
      </c>
      <c r="C105" s="21"/>
      <c r="D105" s="19"/>
      <c r="E105" s="21">
        <v>-6.9334022022591397E-4</v>
      </c>
      <c r="F105" s="19"/>
      <c r="G105" s="21">
        <v>-2.8281908355327602E-4</v>
      </c>
      <c r="H105" s="19"/>
      <c r="I105" s="21">
        <v>-2.6168017128953499E-5</v>
      </c>
      <c r="J105" s="19"/>
      <c r="K105" s="21">
        <v>-2.48048828848484E-4</v>
      </c>
      <c r="L105" s="19"/>
      <c r="M105" s="21">
        <v>5.8599313515290399E-4</v>
      </c>
      <c r="N105" s="19"/>
      <c r="O105" s="21">
        <v>-8.3983866734554696E-4</v>
      </c>
      <c r="P105" s="19"/>
      <c r="Q105" s="21">
        <v>-5.7366115188664296E-4</v>
      </c>
      <c r="R105" s="19"/>
      <c r="S105" s="21">
        <v>3.5557269169592999E-5</v>
      </c>
      <c r="T105" s="19"/>
      <c r="U105" s="21">
        <v>3.26905540005413E-4</v>
      </c>
      <c r="V105" s="19"/>
      <c r="W105" s="21">
        <v>-6.5329103952487899E-4</v>
      </c>
      <c r="X105" s="19"/>
      <c r="Y105" s="21">
        <v>2.5221850797904703E-4</v>
      </c>
      <c r="Z105" s="19"/>
      <c r="AA105" s="21">
        <v>2.51931292498259E-5</v>
      </c>
      <c r="AB105" s="19"/>
      <c r="AC105" s="21">
        <v>-9.5527419573644603E-4</v>
      </c>
      <c r="AD105" s="19"/>
      <c r="AE105" s="21">
        <v>-8.3530138950849999E-4</v>
      </c>
      <c r="AF105" s="19"/>
      <c r="AG105" s="21">
        <v>3.9786535432800004E-3</v>
      </c>
      <c r="AH105" s="19"/>
      <c r="AI105" s="21">
        <v>2.8424383065340101E-3</v>
      </c>
      <c r="AJ105" s="19"/>
      <c r="AK105" s="21">
        <v>1.0673134003335301E-3</v>
      </c>
      <c r="AL105" s="19"/>
      <c r="AM105" s="21">
        <v>-1.4079784787956299E-3</v>
      </c>
      <c r="AN105" s="19"/>
      <c r="AO105" s="21">
        <v>1.82161173065502E-4</v>
      </c>
      <c r="AP105" s="19"/>
      <c r="AQ105" s="21">
        <v>-2.5268257295458097E-4</v>
      </c>
      <c r="AR105" s="19"/>
      <c r="AS105" s="21">
        <v>3.6991163105214902E-4</v>
      </c>
      <c r="AT105" s="19"/>
      <c r="AU105" s="21">
        <v>-9.6352550864188495E-5</v>
      </c>
      <c r="AV105" s="19"/>
      <c r="AW105" s="21">
        <v>-5.89426180831128E-5</v>
      </c>
      <c r="AX105" s="19"/>
      <c r="AY105" s="21">
        <v>-1.6963386247709301E-6</v>
      </c>
      <c r="AZ105" s="19"/>
      <c r="BA105" s="21">
        <v>-1.29672144800964E-4</v>
      </c>
      <c r="BB105" s="19"/>
      <c r="BC105" s="21">
        <v>3.13727096381588E-5</v>
      </c>
      <c r="BD105" s="19"/>
      <c r="BE105" s="21">
        <v>-1.62846645213829E-4</v>
      </c>
      <c r="BF105" s="19"/>
      <c r="BG105" s="21"/>
      <c r="BH105" s="19"/>
    </row>
    <row r="106" spans="1:60" x14ac:dyDescent="0.15">
      <c r="A106" s="17">
        <v>2003</v>
      </c>
      <c r="B106" s="17">
        <v>3</v>
      </c>
      <c r="C106" s="21"/>
      <c r="D106" s="19"/>
      <c r="E106" s="21">
        <v>8.3863108234882595E-3</v>
      </c>
      <c r="F106" s="19"/>
      <c r="G106" s="21">
        <v>5.2667410564242003E-5</v>
      </c>
      <c r="H106" s="19"/>
      <c r="I106" s="21">
        <v>-1.06267241625189E-5</v>
      </c>
      <c r="J106" s="19"/>
      <c r="K106" s="21">
        <v>2.4083207792558602E-3</v>
      </c>
      <c r="L106" s="19"/>
      <c r="M106" s="21">
        <v>8.2308447679186095E-4</v>
      </c>
      <c r="N106" s="19"/>
      <c r="O106" s="21">
        <v>1.58421460773239E-3</v>
      </c>
      <c r="P106" s="19"/>
      <c r="Q106" s="21">
        <v>-7.3483049425696599E-4</v>
      </c>
      <c r="R106" s="19"/>
      <c r="S106" s="21">
        <v>1.4578502053562301E-4</v>
      </c>
      <c r="T106" s="19"/>
      <c r="U106" s="21">
        <v>-4.9312950555781504E-4</v>
      </c>
      <c r="V106" s="19"/>
      <c r="W106" s="21">
        <v>2.87732640245834E-3</v>
      </c>
      <c r="X106" s="19"/>
      <c r="Y106" s="21">
        <v>1.9374777383240301E-5</v>
      </c>
      <c r="Z106" s="19"/>
      <c r="AA106" s="21">
        <v>-4.2704240636652001E-4</v>
      </c>
      <c r="AB106" s="19"/>
      <c r="AC106" s="21">
        <v>-3.7561798399584999E-4</v>
      </c>
      <c r="AD106" s="19"/>
      <c r="AE106" s="21">
        <v>-1.0006968500116101E-3</v>
      </c>
      <c r="AF106" s="19"/>
      <c r="AG106" s="21">
        <v>5.0457283233177799E-3</v>
      </c>
      <c r="AH106" s="19"/>
      <c r="AI106" s="21">
        <v>3.9711243035064096E-3</v>
      </c>
      <c r="AJ106" s="19"/>
      <c r="AK106" s="21">
        <v>5.7980352119722702E-4</v>
      </c>
      <c r="AL106" s="19"/>
      <c r="AM106" s="21">
        <v>-4.6474148960019802E-4</v>
      </c>
      <c r="AN106" s="19"/>
      <c r="AO106" s="21">
        <v>5.0334451206539895E-4</v>
      </c>
      <c r="AP106" s="19"/>
      <c r="AQ106" s="21">
        <v>2.27773535274432E-4</v>
      </c>
      <c r="AR106" s="19"/>
      <c r="AS106" s="21">
        <v>7.9265186209175195E-4</v>
      </c>
      <c r="AT106" s="19"/>
      <c r="AU106" s="21">
        <v>5.0247167238339098E-5</v>
      </c>
      <c r="AV106" s="19"/>
      <c r="AW106" s="21">
        <v>5.8676251930488202E-5</v>
      </c>
      <c r="AX106" s="19"/>
      <c r="AY106" s="21">
        <v>8.1929841748804896E-6</v>
      </c>
      <c r="AZ106" s="19"/>
      <c r="BA106" s="21">
        <v>5.8301942782734695E-4</v>
      </c>
      <c r="BB106" s="19"/>
      <c r="BC106" s="21">
        <v>7.0305374878033096E-4</v>
      </c>
      <c r="BD106" s="19"/>
      <c r="BE106" s="21">
        <v>-1.18791618598491E-4</v>
      </c>
      <c r="BF106" s="19"/>
      <c r="BG106" s="21"/>
      <c r="BH106" s="19"/>
    </row>
    <row r="107" spans="1:60" x14ac:dyDescent="0.15">
      <c r="A107" s="17">
        <v>2003</v>
      </c>
      <c r="B107" s="17">
        <v>4</v>
      </c>
      <c r="C107" s="21"/>
      <c r="D107" s="19"/>
      <c r="E107" s="21">
        <v>1.0015850131627301E-2</v>
      </c>
      <c r="F107" s="19"/>
      <c r="G107" s="21">
        <v>3.6900759975657603E-4</v>
      </c>
      <c r="H107" s="19"/>
      <c r="I107" s="21">
        <v>1.2976038840775699E-5</v>
      </c>
      <c r="J107" s="19"/>
      <c r="K107" s="21">
        <v>2.02459172968432E-3</v>
      </c>
      <c r="L107" s="19"/>
      <c r="M107" s="21">
        <v>1.6527867703175401E-3</v>
      </c>
      <c r="N107" s="19"/>
      <c r="O107" s="21">
        <v>3.7644021573073798E-4</v>
      </c>
      <c r="P107" s="19"/>
      <c r="Q107" s="21">
        <v>-1.20746606501185E-3</v>
      </c>
      <c r="R107" s="19"/>
      <c r="S107" s="21">
        <v>7.6555611604723004E-5</v>
      </c>
      <c r="T107" s="19"/>
      <c r="U107" s="21">
        <v>1.7001955519628699E-4</v>
      </c>
      <c r="V107" s="19"/>
      <c r="W107" s="21">
        <v>2.5286981335480899E-3</v>
      </c>
      <c r="X107" s="19"/>
      <c r="Y107" s="21">
        <v>-1.3106755904342799E-4</v>
      </c>
      <c r="Z107" s="19"/>
      <c r="AA107" s="21">
        <v>3.7194887466439602E-4</v>
      </c>
      <c r="AB107" s="19"/>
      <c r="AC107" s="21">
        <v>9.6481430453098601E-6</v>
      </c>
      <c r="AD107" s="19"/>
      <c r="AE107" s="21">
        <v>5.2248113063235399E-4</v>
      </c>
      <c r="AF107" s="19"/>
      <c r="AG107" s="21">
        <v>3.5145289642046799E-3</v>
      </c>
      <c r="AH107" s="19"/>
      <c r="AI107" s="21">
        <v>3.0087171137210601E-3</v>
      </c>
      <c r="AJ107" s="19"/>
      <c r="AK107" s="21">
        <v>5.4829710583010997E-5</v>
      </c>
      <c r="AL107" s="19"/>
      <c r="AM107" s="21">
        <v>1.18124759057251E-3</v>
      </c>
      <c r="AN107" s="19"/>
      <c r="AO107" s="21">
        <v>2.5905749177183802E-4</v>
      </c>
      <c r="AP107" s="19"/>
      <c r="AQ107" s="21">
        <v>7.1212386125370303E-6</v>
      </c>
      <c r="AR107" s="19"/>
      <c r="AS107" s="21">
        <v>1.8303413514027199E-4</v>
      </c>
      <c r="AT107" s="19"/>
      <c r="AU107" s="21">
        <v>1.8697378077632399E-4</v>
      </c>
      <c r="AV107" s="19"/>
      <c r="AW107" s="21">
        <v>-1.21234936467273E-5</v>
      </c>
      <c r="AX107" s="19"/>
      <c r="AY107" s="21">
        <v>3.6020039728638402E-6</v>
      </c>
      <c r="AZ107" s="19"/>
      <c r="BA107" s="21">
        <v>8.6356936142967396E-4</v>
      </c>
      <c r="BB107" s="19"/>
      <c r="BC107" s="21">
        <v>8.6648865052320204E-4</v>
      </c>
      <c r="BD107" s="19"/>
      <c r="BE107" s="21">
        <v>1.46848954028435E-6</v>
      </c>
      <c r="BF107" s="19"/>
      <c r="BG107" s="21"/>
      <c r="BH107" s="19"/>
    </row>
    <row r="108" spans="1:60" x14ac:dyDescent="0.15">
      <c r="A108" s="17">
        <v>2004</v>
      </c>
      <c r="B108" s="17">
        <v>1</v>
      </c>
      <c r="C108" s="21"/>
      <c r="D108" s="19"/>
      <c r="E108" s="21">
        <v>4.3028338781807901E-3</v>
      </c>
      <c r="F108" s="19"/>
      <c r="G108" s="21">
        <v>9.1799565995930098E-4</v>
      </c>
      <c r="H108" s="19"/>
      <c r="I108" s="21">
        <v>2.8376880294526899E-5</v>
      </c>
      <c r="J108" s="19"/>
      <c r="K108" s="21">
        <v>-2.8264268154435599E-4</v>
      </c>
      <c r="L108" s="19"/>
      <c r="M108" s="21">
        <v>7.1547464826758199E-4</v>
      </c>
      <c r="N108" s="19"/>
      <c r="O108" s="21">
        <v>-9.9575658043514394E-4</v>
      </c>
      <c r="P108" s="19"/>
      <c r="Q108" s="21">
        <v>-1.2859252055396399E-4</v>
      </c>
      <c r="R108" s="19"/>
      <c r="S108" s="21">
        <v>8.8536142039310199E-5</v>
      </c>
      <c r="T108" s="19"/>
      <c r="U108" s="21">
        <v>-2.9371941910276601E-4</v>
      </c>
      <c r="V108" s="19"/>
      <c r="W108" s="21">
        <v>2.53720675518219E-3</v>
      </c>
      <c r="X108" s="19"/>
      <c r="Y108" s="21">
        <v>1.9506211956554499E-4</v>
      </c>
      <c r="Z108" s="19"/>
      <c r="AA108" s="21">
        <v>5.2213735407754505E-4</v>
      </c>
      <c r="AB108" s="19"/>
      <c r="AC108" s="21">
        <v>-3.7186070606221998E-4</v>
      </c>
      <c r="AD108" s="19"/>
      <c r="AE108" s="21">
        <v>6.86831965729406E-4</v>
      </c>
      <c r="AF108" s="19"/>
      <c r="AG108" s="21">
        <v>6.4545410837693306E-5</v>
      </c>
      <c r="AH108" s="19"/>
      <c r="AI108" s="21">
        <v>3.4672795086256801E-4</v>
      </c>
      <c r="AJ108" s="19"/>
      <c r="AK108" s="21">
        <v>-4.7220782856905401E-4</v>
      </c>
      <c r="AL108" s="19"/>
      <c r="AM108" s="21">
        <v>5.2040050320944001E-4</v>
      </c>
      <c r="AN108" s="19"/>
      <c r="AO108" s="21">
        <v>-1.4416074281077001E-4</v>
      </c>
      <c r="AP108" s="19"/>
      <c r="AQ108" s="21">
        <v>-6.5732021691850302E-5</v>
      </c>
      <c r="AR108" s="19"/>
      <c r="AS108" s="21">
        <v>-1.7793196277873799E-4</v>
      </c>
      <c r="AT108" s="19"/>
      <c r="AU108" s="21">
        <v>-6.6290555736392306E-5</v>
      </c>
      <c r="AV108" s="19"/>
      <c r="AW108" s="21">
        <v>1.8718597105620201E-4</v>
      </c>
      <c r="AX108" s="19"/>
      <c r="AY108" s="21">
        <v>6.9070202166142697E-6</v>
      </c>
      <c r="AZ108" s="19"/>
      <c r="BA108" s="21">
        <v>9.7099013433455804E-4</v>
      </c>
      <c r="BB108" s="19"/>
      <c r="BC108" s="21">
        <v>9.2230557554808803E-4</v>
      </c>
      <c r="BD108" s="19"/>
      <c r="BE108" s="21">
        <v>4.8897224177620399E-5</v>
      </c>
      <c r="BF108" s="19"/>
      <c r="BG108" s="21"/>
      <c r="BH108" s="19"/>
    </row>
    <row r="109" spans="1:60" x14ac:dyDescent="0.15">
      <c r="A109" s="17">
        <v>2004</v>
      </c>
      <c r="B109" s="17">
        <v>2</v>
      </c>
      <c r="C109" s="21"/>
      <c r="D109" s="19"/>
      <c r="E109" s="21">
        <v>5.5955775440796303E-3</v>
      </c>
      <c r="F109" s="19"/>
      <c r="G109" s="21">
        <v>3.89686964673349E-4</v>
      </c>
      <c r="H109" s="19"/>
      <c r="I109" s="21">
        <v>1.6987316532435901E-5</v>
      </c>
      <c r="J109" s="19"/>
      <c r="K109" s="21">
        <v>1.06948529697695E-3</v>
      </c>
      <c r="L109" s="19"/>
      <c r="M109" s="21">
        <v>7.7914569550034099E-4</v>
      </c>
      <c r="N109" s="19"/>
      <c r="O109" s="21">
        <v>2.90556336734758E-4</v>
      </c>
      <c r="P109" s="19"/>
      <c r="Q109" s="21">
        <v>-3.8439271918414399E-4</v>
      </c>
      <c r="R109" s="19"/>
      <c r="S109" s="21">
        <v>1.2608709784088501E-4</v>
      </c>
      <c r="T109" s="19"/>
      <c r="U109" s="21">
        <v>-7.7207824413856303E-4</v>
      </c>
      <c r="V109" s="19"/>
      <c r="W109" s="21">
        <v>2.5280195960625399E-3</v>
      </c>
      <c r="X109" s="19"/>
      <c r="Y109" s="21">
        <v>-4.0057422588120898E-4</v>
      </c>
      <c r="Z109" s="19"/>
      <c r="AA109" s="21">
        <v>5.2376784807839599E-4</v>
      </c>
      <c r="AB109" s="19"/>
      <c r="AC109" s="21">
        <v>-8.8335803614041298E-7</v>
      </c>
      <c r="AD109" s="19"/>
      <c r="AE109" s="21">
        <v>2.2199733501274599E-4</v>
      </c>
      <c r="AF109" s="19"/>
      <c r="AG109" s="21">
        <v>-9.1753769293358904E-4</v>
      </c>
      <c r="AH109" s="19"/>
      <c r="AI109" s="21">
        <v>-6.68783521623074E-4</v>
      </c>
      <c r="AJ109" s="19"/>
      <c r="AK109" s="21">
        <v>-2.25449322941791E-4</v>
      </c>
      <c r="AL109" s="19"/>
      <c r="AM109" s="21">
        <v>3.4986416657551599E-4</v>
      </c>
      <c r="AN109" s="19"/>
      <c r="AO109" s="21">
        <v>6.4037260155356396E-4</v>
      </c>
      <c r="AP109" s="19"/>
      <c r="AQ109" s="21">
        <v>9.4218119716963798E-4</v>
      </c>
      <c r="AR109" s="19"/>
      <c r="AS109" s="21">
        <v>8.6016166973118199E-4</v>
      </c>
      <c r="AT109" s="19"/>
      <c r="AU109" s="21">
        <v>4.5294540887075902E-5</v>
      </c>
      <c r="AV109" s="19"/>
      <c r="AW109" s="21">
        <v>4.51529170707371E-6</v>
      </c>
      <c r="AX109" s="19"/>
      <c r="AY109" s="21">
        <v>1.5945817509271199E-5</v>
      </c>
      <c r="AZ109" s="19"/>
      <c r="BA109" s="21">
        <v>3.7585595623311198E-4</v>
      </c>
      <c r="BB109" s="19"/>
      <c r="BC109" s="21">
        <v>3.9802048494085501E-4</v>
      </c>
      <c r="BD109" s="19"/>
      <c r="BE109" s="21">
        <v>-2.16116311959265E-5</v>
      </c>
      <c r="BF109" s="19"/>
      <c r="BG109" s="21"/>
      <c r="BH109" s="19"/>
    </row>
    <row r="110" spans="1:60" x14ac:dyDescent="0.15">
      <c r="A110" s="17">
        <v>2004</v>
      </c>
      <c r="B110" s="17">
        <v>3</v>
      </c>
      <c r="C110" s="21"/>
      <c r="D110" s="19"/>
      <c r="E110" s="21">
        <v>-1.0270090149580801E-3</v>
      </c>
      <c r="F110" s="19"/>
      <c r="G110" s="21">
        <v>1.42125359669717E-4</v>
      </c>
      <c r="H110" s="19"/>
      <c r="I110" s="21">
        <v>2.18184187529894E-5</v>
      </c>
      <c r="J110" s="19"/>
      <c r="K110" s="21">
        <v>-4.44295996211574E-4</v>
      </c>
      <c r="L110" s="19"/>
      <c r="M110" s="21">
        <v>1.06307722294446E-4</v>
      </c>
      <c r="N110" s="19"/>
      <c r="O110" s="21">
        <v>-5.5441455563297695E-4</v>
      </c>
      <c r="P110" s="19"/>
      <c r="Q110" s="21">
        <v>1.4167258530968301E-4</v>
      </c>
      <c r="R110" s="19"/>
      <c r="S110" s="21">
        <v>7.3217312192047901E-6</v>
      </c>
      <c r="T110" s="19"/>
      <c r="U110" s="21">
        <v>2.8909080480229901E-4</v>
      </c>
      <c r="V110" s="19"/>
      <c r="W110" s="21">
        <v>-1.23316136581328E-3</v>
      </c>
      <c r="X110" s="19"/>
      <c r="Y110" s="21">
        <v>-3.3895803612841698E-4</v>
      </c>
      <c r="Z110" s="19"/>
      <c r="AA110" s="21">
        <v>-3.5427047052824702E-5</v>
      </c>
      <c r="AB110" s="19"/>
      <c r="AC110" s="21">
        <v>-4.1001319598549902E-4</v>
      </c>
      <c r="AD110" s="19"/>
      <c r="AE110" s="21">
        <v>6.7749099338564999E-4</v>
      </c>
      <c r="AF110" s="19"/>
      <c r="AG110" s="21">
        <v>-8.0824614915832598E-4</v>
      </c>
      <c r="AH110" s="19"/>
      <c r="AI110" s="21">
        <v>-6.4670424963686501E-4</v>
      </c>
      <c r="AJ110" s="19"/>
      <c r="AK110" s="21">
        <v>-9.8106996370516108E-6</v>
      </c>
      <c r="AL110" s="19"/>
      <c r="AM110" s="21">
        <v>4.9306012046888999E-4</v>
      </c>
      <c r="AN110" s="19"/>
      <c r="AO110" s="21">
        <v>-1.8275023316509601E-4</v>
      </c>
      <c r="AP110" s="19"/>
      <c r="AQ110" s="21">
        <v>-9.9507516282916193E-5</v>
      </c>
      <c r="AR110" s="19"/>
      <c r="AS110" s="21">
        <v>3.5662170601133598E-4</v>
      </c>
      <c r="AT110" s="19"/>
      <c r="AU110" s="21">
        <v>7.8712639201941094E-5</v>
      </c>
      <c r="AV110" s="19"/>
      <c r="AW110" s="21">
        <v>2.7935278021082101E-5</v>
      </c>
      <c r="AX110" s="19"/>
      <c r="AY110" s="21">
        <v>1.79040035601825E-5</v>
      </c>
      <c r="AZ110" s="19"/>
      <c r="BA110" s="21">
        <v>-2.5771959636471901E-5</v>
      </c>
      <c r="BB110" s="19"/>
      <c r="BC110" s="21">
        <v>-1.75904429215705E-5</v>
      </c>
      <c r="BD110" s="19"/>
      <c r="BE110" s="21">
        <v>-8.2596466882114495E-6</v>
      </c>
      <c r="BF110" s="19"/>
      <c r="BG110" s="21"/>
      <c r="BH110" s="19"/>
    </row>
    <row r="111" spans="1:60" x14ac:dyDescent="0.15">
      <c r="A111" s="17">
        <v>2004</v>
      </c>
      <c r="B111" s="17">
        <v>4</v>
      </c>
      <c r="C111" s="21"/>
      <c r="D111" s="19"/>
      <c r="E111" s="21">
        <v>5.2343893119146398E-3</v>
      </c>
      <c r="F111" s="19"/>
      <c r="G111" s="21">
        <v>-3.7022428898036199E-5</v>
      </c>
      <c r="H111" s="19"/>
      <c r="I111" s="21">
        <v>-2.29135441393474E-5</v>
      </c>
      <c r="J111" s="19"/>
      <c r="K111" s="21">
        <v>1.3420079138356999E-3</v>
      </c>
      <c r="L111" s="19"/>
      <c r="M111" s="21">
        <v>7.9918627101969195E-4</v>
      </c>
      <c r="N111" s="19"/>
      <c r="O111" s="21">
        <v>5.4017362942138005E-4</v>
      </c>
      <c r="P111" s="19"/>
      <c r="Q111" s="21">
        <v>4.9217790329433104E-4</v>
      </c>
      <c r="R111" s="19"/>
      <c r="S111" s="21">
        <v>-1.3690761817496201E-4</v>
      </c>
      <c r="T111" s="19"/>
      <c r="U111" s="21">
        <v>3.9517756644080102E-5</v>
      </c>
      <c r="V111" s="19"/>
      <c r="W111" s="21">
        <v>8.9542357330696604E-4</v>
      </c>
      <c r="X111" s="19"/>
      <c r="Y111" s="21">
        <v>3.5405753300680402E-4</v>
      </c>
      <c r="Z111" s="19"/>
      <c r="AA111" s="21">
        <v>-3.6743303892954601E-6</v>
      </c>
      <c r="AB111" s="19"/>
      <c r="AC111" s="21">
        <v>1.1346809388267401E-4</v>
      </c>
      <c r="AD111" s="19"/>
      <c r="AE111" s="21">
        <v>-9.8233974852557802E-5</v>
      </c>
      <c r="AF111" s="19"/>
      <c r="AG111" s="21">
        <v>1.37147141732067E-3</v>
      </c>
      <c r="AH111" s="19"/>
      <c r="AI111" s="21">
        <v>1.3218019904921701E-3</v>
      </c>
      <c r="AJ111" s="19"/>
      <c r="AK111" s="21">
        <v>1.8726238040230999E-4</v>
      </c>
      <c r="AL111" s="19"/>
      <c r="AM111" s="21">
        <v>9.3198833802227805E-4</v>
      </c>
      <c r="AN111" s="19"/>
      <c r="AO111" s="21">
        <v>1.6252699439249E-4</v>
      </c>
      <c r="AP111" s="19"/>
      <c r="AQ111" s="21">
        <v>2.9532253424698702E-4</v>
      </c>
      <c r="AR111" s="19"/>
      <c r="AS111" s="21">
        <v>-3.7380122271007602E-4</v>
      </c>
      <c r="AT111" s="19"/>
      <c r="AU111" s="21">
        <v>2.0657433302208799E-4</v>
      </c>
      <c r="AV111" s="19"/>
      <c r="AW111" s="21">
        <v>-5.6491045914155499E-5</v>
      </c>
      <c r="AX111" s="19"/>
      <c r="AY111" s="21">
        <v>1.7121104078487701E-5</v>
      </c>
      <c r="AZ111" s="19"/>
      <c r="BA111" s="21">
        <v>4.8647405096951498E-5</v>
      </c>
      <c r="BB111" s="19"/>
      <c r="BC111" s="21">
        <v>1.12747852652156E-4</v>
      </c>
      <c r="BD111" s="19"/>
      <c r="BE111" s="21">
        <v>-6.4663117780314704E-5</v>
      </c>
      <c r="BF111" s="19"/>
      <c r="BG111" s="21"/>
      <c r="BH111" s="19"/>
    </row>
    <row r="112" spans="1:60" x14ac:dyDescent="0.15">
      <c r="A112" s="17">
        <v>2005</v>
      </c>
      <c r="B112" s="17">
        <v>1</v>
      </c>
      <c r="C112" s="21"/>
      <c r="D112" s="19"/>
      <c r="E112" s="21">
        <v>9.5138624598309803E-3</v>
      </c>
      <c r="F112" s="19"/>
      <c r="G112" s="21">
        <v>-2.9820755824966398E-4</v>
      </c>
      <c r="H112" s="19"/>
      <c r="I112" s="21">
        <v>3.4538256570243303E-5</v>
      </c>
      <c r="J112" s="19"/>
      <c r="K112" s="21">
        <v>1.5706820702342001E-3</v>
      </c>
      <c r="L112" s="19"/>
      <c r="M112" s="21">
        <v>1.6297333883735401E-3</v>
      </c>
      <c r="N112" s="19"/>
      <c r="O112" s="21">
        <v>-6.4537644852846098E-5</v>
      </c>
      <c r="P112" s="19"/>
      <c r="Q112" s="21">
        <v>1.0617724065377799E-3</v>
      </c>
      <c r="R112" s="19"/>
      <c r="S112" s="21">
        <v>3.4472839308562599E-4</v>
      </c>
      <c r="T112" s="19"/>
      <c r="U112" s="21">
        <v>-1.6249396523851701E-4</v>
      </c>
      <c r="V112" s="19"/>
      <c r="W112" s="21">
        <v>2.31797304702494E-3</v>
      </c>
      <c r="X112" s="19"/>
      <c r="Y112" s="21">
        <v>4.23270168694464E-4</v>
      </c>
      <c r="Z112" s="19"/>
      <c r="AA112" s="21">
        <v>-6.5164300981035195E-5</v>
      </c>
      <c r="AB112" s="19"/>
      <c r="AC112" s="21">
        <v>3.5782527318065202E-4</v>
      </c>
      <c r="AD112" s="19"/>
      <c r="AE112" s="21">
        <v>4.9761429493185895E-4</v>
      </c>
      <c r="AF112" s="19"/>
      <c r="AG112" s="21">
        <v>1.52592214596867E-3</v>
      </c>
      <c r="AH112" s="19"/>
      <c r="AI112" s="21">
        <v>1.31811262357407E-3</v>
      </c>
      <c r="AJ112" s="19"/>
      <c r="AK112" s="21">
        <v>3.7234021427281198E-4</v>
      </c>
      <c r="AL112" s="19"/>
      <c r="AM112" s="21">
        <v>1.0598969710274E-3</v>
      </c>
      <c r="AN112" s="19"/>
      <c r="AO112" s="21">
        <v>2.0251021864359499E-4</v>
      </c>
      <c r="AP112" s="19"/>
      <c r="AQ112" s="21">
        <v>3.2606725342936802E-4</v>
      </c>
      <c r="AR112" s="19"/>
      <c r="AS112" s="21">
        <v>4.1204879609742901E-4</v>
      </c>
      <c r="AT112" s="19"/>
      <c r="AU112" s="21">
        <v>3.2218783547358098E-4</v>
      </c>
      <c r="AV112" s="19"/>
      <c r="AW112" s="21">
        <v>1.00913173140636E-5</v>
      </c>
      <c r="AX112" s="19"/>
      <c r="AY112" s="21">
        <v>1.7752444669267701E-5</v>
      </c>
      <c r="AZ112" s="19"/>
      <c r="BA112" s="21">
        <v>4.1775314520935201E-4</v>
      </c>
      <c r="BB112" s="19"/>
      <c r="BC112" s="21">
        <v>3.99888705772751E-4</v>
      </c>
      <c r="BD112" s="19"/>
      <c r="BE112" s="21">
        <v>1.7788796869035299E-5</v>
      </c>
      <c r="BF112" s="19"/>
      <c r="BG112" s="21"/>
      <c r="BH112" s="19"/>
    </row>
    <row r="113" spans="1:60" x14ac:dyDescent="0.15">
      <c r="A113" s="17">
        <v>2005</v>
      </c>
      <c r="B113" s="17">
        <v>2</v>
      </c>
      <c r="C113" s="21"/>
      <c r="D113" s="19"/>
      <c r="E113" s="21">
        <v>1.1490449638538101E-2</v>
      </c>
      <c r="F113" s="19"/>
      <c r="G113" s="21">
        <v>-1.2700468039091701E-4</v>
      </c>
      <c r="H113" s="19"/>
      <c r="I113" s="21">
        <v>3.5324107089613303E-5</v>
      </c>
      <c r="J113" s="19"/>
      <c r="K113" s="21">
        <v>6.6652335203143996E-3</v>
      </c>
      <c r="L113" s="19"/>
      <c r="M113" s="21">
        <v>4.8699071350100901E-4</v>
      </c>
      <c r="N113" s="19"/>
      <c r="O113" s="21">
        <v>6.2114506150406004E-3</v>
      </c>
      <c r="P113" s="19"/>
      <c r="Q113" s="21">
        <v>-1.3172483340102899E-3</v>
      </c>
      <c r="R113" s="19"/>
      <c r="S113" s="21">
        <v>4.83091103218428E-4</v>
      </c>
      <c r="T113" s="19"/>
      <c r="U113" s="21">
        <v>1.78409409939244E-3</v>
      </c>
      <c r="V113" s="19"/>
      <c r="W113" s="21">
        <v>7.3321523380824095E-4</v>
      </c>
      <c r="X113" s="19"/>
      <c r="Y113" s="21">
        <v>5.1016759802782296E-4</v>
      </c>
      <c r="Z113" s="19"/>
      <c r="AA113" s="21">
        <v>-1.6212787445394499E-4</v>
      </c>
      <c r="AB113" s="19"/>
      <c r="AC113" s="21">
        <v>-9.6056670425863903E-5</v>
      </c>
      <c r="AD113" s="19"/>
      <c r="AE113" s="21">
        <v>6.4682908658673997E-4</v>
      </c>
      <c r="AF113" s="19"/>
      <c r="AG113" s="21">
        <v>1.2683801064890901E-3</v>
      </c>
      <c r="AH113" s="19"/>
      <c r="AI113" s="21">
        <v>9.4114998420184596E-4</v>
      </c>
      <c r="AJ113" s="19"/>
      <c r="AK113" s="21">
        <v>3.4070866312326198E-4</v>
      </c>
      <c r="AL113" s="19"/>
      <c r="AM113" s="21">
        <v>1.66179009712205E-3</v>
      </c>
      <c r="AN113" s="19"/>
      <c r="AO113" s="21">
        <v>2.62767838394921E-5</v>
      </c>
      <c r="AP113" s="19"/>
      <c r="AQ113" s="21">
        <v>1.2595610215807401E-5</v>
      </c>
      <c r="AR113" s="19"/>
      <c r="AS113" s="21">
        <v>-1.7969193308728701E-4</v>
      </c>
      <c r="AT113" s="19"/>
      <c r="AU113" s="21">
        <v>-6.8268467699843702E-5</v>
      </c>
      <c r="AV113" s="19"/>
      <c r="AW113" s="21">
        <v>3.6349109665406002E-5</v>
      </c>
      <c r="AX113" s="19"/>
      <c r="AY113" s="21">
        <v>1.6829647957224599E-5</v>
      </c>
      <c r="AZ113" s="19"/>
      <c r="BA113" s="21">
        <v>4.7037952324427001E-4</v>
      </c>
      <c r="BB113" s="19"/>
      <c r="BC113" s="21">
        <v>5.1772025763381602E-4</v>
      </c>
      <c r="BD113" s="19"/>
      <c r="BE113" s="21">
        <v>-4.33521690047895E-5</v>
      </c>
      <c r="BF113" s="19"/>
      <c r="BG113" s="21"/>
      <c r="BH113" s="19"/>
    </row>
    <row r="114" spans="1:60" x14ac:dyDescent="0.15">
      <c r="A114" s="17">
        <v>2005</v>
      </c>
      <c r="B114" s="17">
        <v>3</v>
      </c>
      <c r="C114" s="21"/>
      <c r="D114" s="19"/>
      <c r="E114" s="21">
        <v>9.4925346417737092E-3</v>
      </c>
      <c r="F114" s="19"/>
      <c r="G114" s="21">
        <v>-6.7906863693431306E-5</v>
      </c>
      <c r="H114" s="19"/>
      <c r="I114" s="21">
        <v>-2.91050103510813E-5</v>
      </c>
      <c r="J114" s="19"/>
      <c r="K114" s="21">
        <v>1.6976232567322701E-3</v>
      </c>
      <c r="L114" s="19"/>
      <c r="M114" s="21">
        <v>6.0410413232430305E-4</v>
      </c>
      <c r="N114" s="19"/>
      <c r="O114" s="21">
        <v>1.08853718135155E-3</v>
      </c>
      <c r="P114" s="19"/>
      <c r="Q114" s="21">
        <v>4.12594009868689E-4</v>
      </c>
      <c r="R114" s="19"/>
      <c r="S114" s="21">
        <v>-1.6041272712082001E-4</v>
      </c>
      <c r="T114" s="19"/>
      <c r="U114" s="21">
        <v>9.4714449681262904E-5</v>
      </c>
      <c r="V114" s="19"/>
      <c r="W114" s="21">
        <v>2.3823115930882099E-3</v>
      </c>
      <c r="X114" s="19"/>
      <c r="Y114" s="21">
        <v>4.2256839245044699E-4</v>
      </c>
      <c r="Z114" s="19"/>
      <c r="AA114" s="21">
        <v>1.9182395218452601E-4</v>
      </c>
      <c r="AB114" s="19"/>
      <c r="AC114" s="21">
        <v>1.6302183291818401E-4</v>
      </c>
      <c r="AD114" s="19"/>
      <c r="AE114" s="21">
        <v>1.04789035580619E-3</v>
      </c>
      <c r="AF114" s="19"/>
      <c r="AG114" s="21">
        <v>3.1784092403455201E-3</v>
      </c>
      <c r="AH114" s="19"/>
      <c r="AI114" s="21">
        <v>2.45578579706475E-3</v>
      </c>
      <c r="AJ114" s="19"/>
      <c r="AK114" s="21">
        <v>3.1410832895828E-4</v>
      </c>
      <c r="AL114" s="19"/>
      <c r="AM114" s="21">
        <v>4.6813012186932798E-4</v>
      </c>
      <c r="AN114" s="19"/>
      <c r="AO114" s="21">
        <v>-3.41701706808793E-4</v>
      </c>
      <c r="AP114" s="19"/>
      <c r="AQ114" s="21">
        <v>-3.4213939343522601E-4</v>
      </c>
      <c r="AR114" s="19"/>
      <c r="AS114" s="21">
        <v>5.4595145565093802E-4</v>
      </c>
      <c r="AT114" s="19"/>
      <c r="AU114" s="21">
        <v>1.0548731235733299E-4</v>
      </c>
      <c r="AV114" s="19"/>
      <c r="AW114" s="21">
        <v>1.2969453030854E-4</v>
      </c>
      <c r="AX114" s="19"/>
      <c r="AY114" s="21">
        <v>1.30918503827536E-5</v>
      </c>
      <c r="AZ114" s="19"/>
      <c r="BA114" s="21">
        <v>4.0313250302042799E-4</v>
      </c>
      <c r="BB114" s="19"/>
      <c r="BC114" s="21">
        <v>4.7173502170486797E-4</v>
      </c>
      <c r="BD114" s="19"/>
      <c r="BE114" s="21">
        <v>-6.3303642011657203E-5</v>
      </c>
      <c r="BF114" s="19"/>
      <c r="BG114" s="21"/>
      <c r="BH114" s="19"/>
    </row>
    <row r="115" spans="1:60" x14ac:dyDescent="0.15">
      <c r="A115" s="17">
        <v>2005</v>
      </c>
      <c r="B115" s="17">
        <v>4</v>
      </c>
      <c r="C115" s="21"/>
      <c r="D115" s="19"/>
      <c r="E115" s="21">
        <v>9.08365791874703E-3</v>
      </c>
      <c r="F115" s="19"/>
      <c r="G115" s="21">
        <v>-9.0984974639612799E-5</v>
      </c>
      <c r="H115" s="19"/>
      <c r="I115" s="21">
        <v>-2.2053825505248401E-5</v>
      </c>
      <c r="J115" s="19"/>
      <c r="K115" s="21">
        <v>2.66858240048681E-3</v>
      </c>
      <c r="L115" s="19"/>
      <c r="M115" s="21">
        <v>1.6727738144112401E-3</v>
      </c>
      <c r="N115" s="19"/>
      <c r="O115" s="21">
        <v>9.9184970234548206E-4</v>
      </c>
      <c r="P115" s="19"/>
      <c r="Q115" s="21">
        <v>7.3764690947495499E-4</v>
      </c>
      <c r="R115" s="19"/>
      <c r="S115" s="21">
        <v>5.4624745590304202E-5</v>
      </c>
      <c r="T115" s="19"/>
      <c r="U115" s="21">
        <v>-1.4134128873297499E-4</v>
      </c>
      <c r="V115" s="19"/>
      <c r="W115" s="21">
        <v>1.86882307743346E-3</v>
      </c>
      <c r="X115" s="19"/>
      <c r="Y115" s="21">
        <v>2.3101873219329599E-5</v>
      </c>
      <c r="Z115" s="19"/>
      <c r="AA115" s="21">
        <v>6.6900907526100601E-4</v>
      </c>
      <c r="AB115" s="19"/>
      <c r="AC115" s="21">
        <v>4.1324821694161802E-5</v>
      </c>
      <c r="AD115" s="19"/>
      <c r="AE115" s="21">
        <v>2.9930391291020002E-4</v>
      </c>
      <c r="AF115" s="19"/>
      <c r="AG115" s="21">
        <v>3.0689344360407601E-3</v>
      </c>
      <c r="AH115" s="19"/>
      <c r="AI115" s="21">
        <v>2.2069405053311902E-3</v>
      </c>
      <c r="AJ115" s="19"/>
      <c r="AK115" s="21">
        <v>2.91176115249098E-4</v>
      </c>
      <c r="AL115" s="19"/>
      <c r="AM115" s="21">
        <v>2.0971901317492101E-4</v>
      </c>
      <c r="AN115" s="19"/>
      <c r="AO115" s="21">
        <v>8.9918453595877901E-5</v>
      </c>
      <c r="AP115" s="19"/>
      <c r="AQ115" s="21">
        <v>-3.1439750031169198E-4</v>
      </c>
      <c r="AR115" s="19"/>
      <c r="AS115" s="21">
        <v>-1.5270908490528799E-4</v>
      </c>
      <c r="AT115" s="19"/>
      <c r="AU115" s="21">
        <v>-3.3929127289786601E-5</v>
      </c>
      <c r="AV115" s="19"/>
      <c r="AW115" s="21">
        <v>7.1507577590899905E-5</v>
      </c>
      <c r="AX115" s="19"/>
      <c r="AY115" s="21">
        <v>6.9830775072109501E-6</v>
      </c>
      <c r="AZ115" s="19"/>
      <c r="BA115" s="21">
        <v>8.0381590815266097E-4</v>
      </c>
      <c r="BB115" s="19"/>
      <c r="BC115" s="21">
        <v>6.7861902830572505E-4</v>
      </c>
      <c r="BD115" s="19"/>
      <c r="BE115" s="21">
        <v>1.4004065950515201E-4</v>
      </c>
      <c r="BF115" s="19"/>
      <c r="BG115" s="21"/>
      <c r="BH115" s="19"/>
    </row>
    <row r="116" spans="1:60" x14ac:dyDescent="0.15">
      <c r="A116" s="17">
        <v>2006</v>
      </c>
      <c r="B116" s="17">
        <v>1</v>
      </c>
      <c r="C116" s="21"/>
      <c r="D116" s="19"/>
      <c r="E116" s="21">
        <v>9.9911839202219896E-3</v>
      </c>
      <c r="F116" s="19"/>
      <c r="G116" s="21">
        <v>-1.9078736182688699E-4</v>
      </c>
      <c r="H116" s="19"/>
      <c r="I116" s="21">
        <v>-4.8508493976969698E-5</v>
      </c>
      <c r="J116" s="19"/>
      <c r="K116" s="21">
        <v>3.3354483518200999E-3</v>
      </c>
      <c r="L116" s="19"/>
      <c r="M116" s="21">
        <v>1.3768395448299599E-3</v>
      </c>
      <c r="N116" s="19"/>
      <c r="O116" s="21">
        <v>1.9709552231690201E-3</v>
      </c>
      <c r="P116" s="19"/>
      <c r="Q116" s="21">
        <v>6.3860653707057698E-5</v>
      </c>
      <c r="R116" s="19"/>
      <c r="S116" s="21">
        <v>1.6724967548002999E-4</v>
      </c>
      <c r="T116" s="19"/>
      <c r="U116" s="21">
        <v>-8.7629418827581097E-4</v>
      </c>
      <c r="V116" s="19"/>
      <c r="W116" s="21">
        <v>1.1873454290963199E-3</v>
      </c>
      <c r="X116" s="19"/>
      <c r="Y116" s="21">
        <v>-2.0207085089254601E-4</v>
      </c>
      <c r="Z116" s="19"/>
      <c r="AA116" s="21">
        <v>3.2328228631836597E-4</v>
      </c>
      <c r="AB116" s="19"/>
      <c r="AC116" s="21">
        <v>5.8330895799980497E-4</v>
      </c>
      <c r="AD116" s="19"/>
      <c r="AE116" s="21">
        <v>5.3750590386687704E-4</v>
      </c>
      <c r="AF116" s="19"/>
      <c r="AG116" s="21">
        <v>2.60156617388387E-3</v>
      </c>
      <c r="AH116" s="19"/>
      <c r="AI116" s="21">
        <v>1.6143111330100301E-3</v>
      </c>
      <c r="AJ116" s="19"/>
      <c r="AK116" s="21">
        <v>2.7154620120685798E-4</v>
      </c>
      <c r="AL116" s="19"/>
      <c r="AM116" s="21">
        <v>1.18590873573043E-3</v>
      </c>
      <c r="AN116" s="19"/>
      <c r="AO116" s="21">
        <v>5.6436512268029197E-4</v>
      </c>
      <c r="AP116" s="19"/>
      <c r="AQ116" s="21">
        <v>2.76393020651909E-4</v>
      </c>
      <c r="AR116" s="19"/>
      <c r="AS116" s="21">
        <v>-3.80220152015721E-5</v>
      </c>
      <c r="AT116" s="19"/>
      <c r="AU116" s="21">
        <v>3.62280173398991E-4</v>
      </c>
      <c r="AV116" s="19"/>
      <c r="AW116" s="21">
        <v>1.7780536836970201E-5</v>
      </c>
      <c r="AX116" s="19"/>
      <c r="AY116" s="21">
        <v>1.68462776368374E-6</v>
      </c>
      <c r="AZ116" s="19"/>
      <c r="BA116" s="21">
        <v>7.7956586879847399E-4</v>
      </c>
      <c r="BB116" s="19"/>
      <c r="BC116" s="21">
        <v>7.4957559295708495E-4</v>
      </c>
      <c r="BD116" s="19"/>
      <c r="BE116" s="21">
        <v>1.61438865047627E-5</v>
      </c>
      <c r="BF116" s="19"/>
      <c r="BG116" s="21"/>
      <c r="BH116" s="19"/>
    </row>
    <row r="117" spans="1:60" x14ac:dyDescent="0.15">
      <c r="A117" s="17">
        <v>2006</v>
      </c>
      <c r="B117" s="17">
        <v>2</v>
      </c>
      <c r="C117" s="21"/>
      <c r="D117" s="19"/>
      <c r="E117" s="21">
        <v>6.0636680310124204E-3</v>
      </c>
      <c r="F117" s="19"/>
      <c r="G117" s="21">
        <v>-6.9284976409504501E-5</v>
      </c>
      <c r="H117" s="19"/>
      <c r="I117" s="21">
        <v>2.12836583951273E-5</v>
      </c>
      <c r="J117" s="19"/>
      <c r="K117" s="21">
        <v>2.50958809493775E-3</v>
      </c>
      <c r="L117" s="19"/>
      <c r="M117" s="21">
        <v>1.15353410703743E-3</v>
      </c>
      <c r="N117" s="19"/>
      <c r="O117" s="21">
        <v>1.35004945056135E-3</v>
      </c>
      <c r="P117" s="19"/>
      <c r="Q117" s="21">
        <v>2.6840534113676E-4</v>
      </c>
      <c r="R117" s="19"/>
      <c r="S117" s="21">
        <v>2.30492993846251E-7</v>
      </c>
      <c r="T117" s="19"/>
      <c r="U117" s="21">
        <v>9.5104006610208897E-5</v>
      </c>
      <c r="V117" s="19"/>
      <c r="W117" s="21">
        <v>3.89865725499012E-3</v>
      </c>
      <c r="X117" s="19"/>
      <c r="Y117" s="21">
        <v>3.0913432621749402E-4</v>
      </c>
      <c r="Z117" s="19"/>
      <c r="AA117" s="21">
        <v>-1.2231808931456801E-4</v>
      </c>
      <c r="AB117" s="19"/>
      <c r="AC117" s="21">
        <v>-1.9429943050655799E-4</v>
      </c>
      <c r="AD117" s="19"/>
      <c r="AE117" s="21">
        <v>2.8116119399662198E-4</v>
      </c>
      <c r="AF117" s="19"/>
      <c r="AG117" s="21">
        <v>8.4679341215976799E-5</v>
      </c>
      <c r="AH117" s="19"/>
      <c r="AI117" s="21">
        <v>-3.52103493384514E-4</v>
      </c>
      <c r="AJ117" s="19"/>
      <c r="AK117" s="21">
        <v>1.8089053607697099E-4</v>
      </c>
      <c r="AL117" s="19"/>
      <c r="AM117" s="21">
        <v>-4.7678937159925902E-5</v>
      </c>
      <c r="AN117" s="19"/>
      <c r="AO117" s="21">
        <v>-3.09400251222197E-4</v>
      </c>
      <c r="AP117" s="19"/>
      <c r="AQ117" s="21">
        <v>-3.5747551064155899E-4</v>
      </c>
      <c r="AR117" s="19"/>
      <c r="AS117" s="21">
        <v>1.92204419201735E-4</v>
      </c>
      <c r="AT117" s="19"/>
      <c r="AU117" s="21">
        <v>-2.6985169004038501E-4</v>
      </c>
      <c r="AV117" s="19"/>
      <c r="AW117" s="21">
        <v>1.1083486443285801E-4</v>
      </c>
      <c r="AX117" s="19"/>
      <c r="AY117" s="21">
        <v>1.0044647237598101E-5</v>
      </c>
      <c r="AZ117" s="19"/>
      <c r="BA117" s="21">
        <v>5.8283408932791004E-4</v>
      </c>
      <c r="BB117" s="19"/>
      <c r="BC117" s="21">
        <v>5.5001657156681001E-4</v>
      </c>
      <c r="BD117" s="19"/>
      <c r="BE117" s="21">
        <v>3.3917686402690302E-5</v>
      </c>
      <c r="BF117" s="19"/>
      <c r="BG117" s="21"/>
      <c r="BH117" s="19"/>
    </row>
    <row r="118" spans="1:60" x14ac:dyDescent="0.15">
      <c r="A118" s="17">
        <v>2006</v>
      </c>
      <c r="B118" s="17">
        <v>3</v>
      </c>
      <c r="C118" s="21"/>
      <c r="D118" s="19"/>
      <c r="E118" s="21">
        <v>8.4507192505820505E-3</v>
      </c>
      <c r="F118" s="19"/>
      <c r="G118" s="21">
        <v>1.9616859844400399E-5</v>
      </c>
      <c r="H118" s="19"/>
      <c r="I118" s="21">
        <v>-1.1954212178370299E-6</v>
      </c>
      <c r="J118" s="19"/>
      <c r="K118" s="21">
        <v>3.0115496242016401E-3</v>
      </c>
      <c r="L118" s="19"/>
      <c r="M118" s="21">
        <v>1.92120223654263E-3</v>
      </c>
      <c r="N118" s="19"/>
      <c r="O118" s="21">
        <v>1.0558193776189901E-3</v>
      </c>
      <c r="P118" s="19"/>
      <c r="Q118" s="21">
        <v>4.5131019484255103E-5</v>
      </c>
      <c r="R118" s="19"/>
      <c r="S118" s="21">
        <v>1.5478343389401098E-5</v>
      </c>
      <c r="T118" s="19"/>
      <c r="U118" s="21">
        <v>-8.5763224483766901E-4</v>
      </c>
      <c r="V118" s="19"/>
      <c r="W118" s="21">
        <v>4.01025264115684E-3</v>
      </c>
      <c r="X118" s="19"/>
      <c r="Y118" s="21">
        <v>3.8185396051908401E-4</v>
      </c>
      <c r="Z118" s="19"/>
      <c r="AA118" s="21">
        <v>1.83826635808912E-4</v>
      </c>
      <c r="AB118" s="19"/>
      <c r="AC118" s="21">
        <v>-2.4562034836786599E-5</v>
      </c>
      <c r="AD118" s="19"/>
      <c r="AE118" s="21">
        <v>-6.8195963039740707E-5</v>
      </c>
      <c r="AF118" s="19"/>
      <c r="AG118" s="21">
        <v>-6.4515004741199397E-4</v>
      </c>
      <c r="AH118" s="19"/>
      <c r="AI118" s="21">
        <v>-1.3365608562670101E-3</v>
      </c>
      <c r="AJ118" s="19"/>
      <c r="AK118" s="21">
        <v>8.7658744343429497E-5</v>
      </c>
      <c r="AL118" s="19"/>
      <c r="AM118" s="21">
        <v>1.2761690455446301E-3</v>
      </c>
      <c r="AN118" s="19"/>
      <c r="AO118" s="21">
        <v>5.8897377190640404E-4</v>
      </c>
      <c r="AP118" s="19"/>
      <c r="AQ118" s="21">
        <v>2.2778584940333601E-4</v>
      </c>
      <c r="AR118" s="19"/>
      <c r="AS118" s="21">
        <v>4.3518593724794E-4</v>
      </c>
      <c r="AT118" s="19"/>
      <c r="AU118" s="21">
        <v>1.4753332698275301E-4</v>
      </c>
      <c r="AV118" s="19"/>
      <c r="AW118" s="21">
        <v>9.5280255700883599E-5</v>
      </c>
      <c r="AX118" s="19"/>
      <c r="AY118" s="21">
        <v>1.5530509864425201E-5</v>
      </c>
      <c r="AZ118" s="19"/>
      <c r="BA118" s="21">
        <v>6.7661043772294601E-4</v>
      </c>
      <c r="BB118" s="19"/>
      <c r="BC118" s="21">
        <v>6.4637591211028599E-4</v>
      </c>
      <c r="BD118" s="19"/>
      <c r="BE118" s="21">
        <v>3.0554551154433601E-5</v>
      </c>
      <c r="BF118" s="19"/>
      <c r="BG118" s="21"/>
      <c r="BH118" s="19"/>
    </row>
    <row r="119" spans="1:60" x14ac:dyDescent="0.15">
      <c r="A119" s="17">
        <v>2006</v>
      </c>
      <c r="B119" s="17">
        <v>4</v>
      </c>
      <c r="C119" s="21"/>
      <c r="D119" s="19"/>
      <c r="E119" s="21">
        <v>1.4207194758783201E-2</v>
      </c>
      <c r="F119" s="19"/>
      <c r="G119" s="21">
        <v>9.0123309444093306E-5</v>
      </c>
      <c r="H119" s="19"/>
      <c r="I119" s="21">
        <v>2.3708433561148199E-5</v>
      </c>
      <c r="J119" s="19"/>
      <c r="K119" s="21">
        <v>5.0143151603601697E-3</v>
      </c>
      <c r="L119" s="19"/>
      <c r="M119" s="21">
        <v>2.4361910021426501E-3</v>
      </c>
      <c r="N119" s="19"/>
      <c r="O119" s="21">
        <v>2.5422819482053302E-3</v>
      </c>
      <c r="P119" s="19"/>
      <c r="Q119" s="21">
        <v>1.35708026947795E-4</v>
      </c>
      <c r="R119" s="19"/>
      <c r="S119" s="21">
        <v>-3.9336678855479999E-5</v>
      </c>
      <c r="T119" s="19"/>
      <c r="U119" s="21">
        <v>-6.3890596865175597E-4</v>
      </c>
      <c r="V119" s="19"/>
      <c r="W119" s="21">
        <v>3.8460044143943002E-3</v>
      </c>
      <c r="X119" s="19"/>
      <c r="Y119" s="21">
        <v>3.3830691855981401E-4</v>
      </c>
      <c r="Z119" s="19"/>
      <c r="AA119" s="21">
        <v>5.1153868846817198E-4</v>
      </c>
      <c r="AB119" s="19"/>
      <c r="AC119" s="21">
        <v>5.3546157200369101E-5</v>
      </c>
      <c r="AD119" s="19"/>
      <c r="AE119" s="21">
        <v>1.4782958971461499E-4</v>
      </c>
      <c r="AF119" s="19"/>
      <c r="AG119" s="21">
        <v>3.81608409382665E-3</v>
      </c>
      <c r="AH119" s="19"/>
      <c r="AI119" s="21">
        <v>2.8576627758673898E-3</v>
      </c>
      <c r="AJ119" s="19"/>
      <c r="AK119" s="21">
        <v>-1.5367310128463299E-5</v>
      </c>
      <c r="AL119" s="19"/>
      <c r="AM119" s="21">
        <v>5.7281599852248601E-4</v>
      </c>
      <c r="AN119" s="19"/>
      <c r="AO119" s="21">
        <v>4.29360675883972E-4</v>
      </c>
      <c r="AP119" s="19"/>
      <c r="AQ119" s="21">
        <v>-2.2302812211770899E-4</v>
      </c>
      <c r="AR119" s="19"/>
      <c r="AS119" s="21">
        <v>4.2749551051266698E-4</v>
      </c>
      <c r="AT119" s="19"/>
      <c r="AU119" s="21">
        <v>3.53647330625985E-5</v>
      </c>
      <c r="AV119" s="19"/>
      <c r="AW119" s="21">
        <v>2.5105791614776599E-5</v>
      </c>
      <c r="AX119" s="19"/>
      <c r="AY119" s="21">
        <v>2.19682738952951E-5</v>
      </c>
      <c r="AZ119" s="19"/>
      <c r="BA119" s="21">
        <v>9.1096600714851196E-4</v>
      </c>
      <c r="BB119" s="19"/>
      <c r="BC119" s="21">
        <v>6.0043765739653803E-4</v>
      </c>
      <c r="BD119" s="19"/>
      <c r="BE119" s="21">
        <v>3.1479116568565902E-4</v>
      </c>
      <c r="BF119" s="19"/>
      <c r="BG119" s="21"/>
      <c r="BH119" s="19"/>
    </row>
    <row r="120" spans="1:60" x14ac:dyDescent="0.15">
      <c r="A120" s="17">
        <v>2007</v>
      </c>
      <c r="B120" s="17">
        <v>1</v>
      </c>
      <c r="C120" s="21"/>
      <c r="D120" s="19"/>
      <c r="E120" s="21">
        <v>6.7607331190648904E-3</v>
      </c>
      <c r="F120" s="19"/>
      <c r="G120" s="21">
        <v>3.4235208555734097E-4</v>
      </c>
      <c r="H120" s="19"/>
      <c r="I120" s="21">
        <v>-4.5719467261740497E-6</v>
      </c>
      <c r="J120" s="19"/>
      <c r="K120" s="21">
        <v>-4.9644837019072597E-4</v>
      </c>
      <c r="L120" s="19"/>
      <c r="M120" s="21">
        <v>-6.1998233370935696E-4</v>
      </c>
      <c r="N120" s="19"/>
      <c r="O120" s="21">
        <v>1.671544098884E-4</v>
      </c>
      <c r="P120" s="19"/>
      <c r="Q120" s="21">
        <v>-1.3415303816899599E-4</v>
      </c>
      <c r="R120" s="19"/>
      <c r="S120" s="21">
        <v>-1.2250277708402701E-4</v>
      </c>
      <c r="T120" s="19"/>
      <c r="U120" s="21">
        <v>-2.6248182774218801E-4</v>
      </c>
      <c r="V120" s="19"/>
      <c r="W120" s="21">
        <v>2.8165248124491999E-3</v>
      </c>
      <c r="X120" s="19"/>
      <c r="Y120" s="21">
        <v>4.3375258472333798E-4</v>
      </c>
      <c r="Z120" s="19"/>
      <c r="AA120" s="21">
        <v>1.34884122315415E-4</v>
      </c>
      <c r="AB120" s="19"/>
      <c r="AC120" s="21">
        <v>1.0070201722242899E-4</v>
      </c>
      <c r="AD120" s="19"/>
      <c r="AE120" s="21">
        <v>-1.90771364906336E-4</v>
      </c>
      <c r="AF120" s="19"/>
      <c r="AG120" s="21">
        <v>2.28171030217055E-3</v>
      </c>
      <c r="AH120" s="19"/>
      <c r="AI120" s="21">
        <v>1.7498879954460701E-3</v>
      </c>
      <c r="AJ120" s="19"/>
      <c r="AK120" s="21">
        <v>-1.3498153439831E-4</v>
      </c>
      <c r="AL120" s="19"/>
      <c r="AM120" s="21">
        <v>9.7408775918082096E-4</v>
      </c>
      <c r="AN120" s="19"/>
      <c r="AO120" s="21">
        <v>4.53541465921344E-4</v>
      </c>
      <c r="AP120" s="19"/>
      <c r="AQ120" s="21">
        <v>1.2275256383450901E-4</v>
      </c>
      <c r="AR120" s="19"/>
      <c r="AS120" s="21">
        <v>4.1534449535245897E-4</v>
      </c>
      <c r="AT120" s="19"/>
      <c r="AU120" s="21">
        <v>1.7858407012921401E-4</v>
      </c>
      <c r="AV120" s="19"/>
      <c r="AW120" s="21">
        <v>7.7234297238848904E-5</v>
      </c>
      <c r="AX120" s="19"/>
      <c r="AY120" s="21">
        <v>2.7218938218615601E-5</v>
      </c>
      <c r="AZ120" s="19"/>
      <c r="BA120" s="21">
        <v>5.8699780105585795E-4</v>
      </c>
      <c r="BB120" s="19"/>
      <c r="BC120" s="21">
        <v>4.1185417947406101E-4</v>
      </c>
      <c r="BD120" s="19"/>
      <c r="BE120" s="21">
        <v>1.7375888939053299E-4</v>
      </c>
      <c r="BF120" s="19"/>
      <c r="BG120" s="21"/>
      <c r="BH120" s="19"/>
    </row>
    <row r="121" spans="1:60" x14ac:dyDescent="0.15">
      <c r="A121" s="17">
        <v>2007</v>
      </c>
      <c r="B121" s="17">
        <v>2</v>
      </c>
      <c r="C121" s="21"/>
      <c r="D121" s="19"/>
      <c r="E121" s="21">
        <v>1.3585075528239199E-2</v>
      </c>
      <c r="F121" s="19"/>
      <c r="G121" s="21">
        <v>1.10071850810546E-4</v>
      </c>
      <c r="H121" s="19"/>
      <c r="I121" s="21">
        <v>-3.22762153086546E-5</v>
      </c>
      <c r="J121" s="19"/>
      <c r="K121" s="21">
        <v>2.6236058519080599E-3</v>
      </c>
      <c r="L121" s="19"/>
      <c r="M121" s="21">
        <v>6.4919924056155596E-4</v>
      </c>
      <c r="N121" s="19"/>
      <c r="O121" s="21">
        <v>1.9744136305604701E-3</v>
      </c>
      <c r="P121" s="19"/>
      <c r="Q121" s="21">
        <v>5.7956048045536496E-4</v>
      </c>
      <c r="R121" s="19"/>
      <c r="S121" s="21">
        <v>-2.94601475913709E-5</v>
      </c>
      <c r="T121" s="19"/>
      <c r="U121" s="21">
        <v>-3.0718706667687398E-4</v>
      </c>
      <c r="V121" s="19"/>
      <c r="W121" s="21">
        <v>1.5433666010419499E-3</v>
      </c>
      <c r="X121" s="19"/>
      <c r="Y121" s="21">
        <v>2.5588752748766699E-4</v>
      </c>
      <c r="Z121" s="19"/>
      <c r="AA121" s="21">
        <v>5.0362623222962005E-4</v>
      </c>
      <c r="AB121" s="19"/>
      <c r="AC121" s="21">
        <v>6.7337783919846296E-4</v>
      </c>
      <c r="AD121" s="19"/>
      <c r="AE121" s="21">
        <v>2.85310755614735E-4</v>
      </c>
      <c r="AF121" s="19"/>
      <c r="AG121" s="21">
        <v>5.1482442829280496E-3</v>
      </c>
      <c r="AH121" s="19"/>
      <c r="AI121" s="21">
        <v>4.3534781110337499E-3</v>
      </c>
      <c r="AJ121" s="19"/>
      <c r="AK121" s="21">
        <v>2.4998062779021599E-4</v>
      </c>
      <c r="AL121" s="19"/>
      <c r="AM121" s="21">
        <v>1.16745233194617E-3</v>
      </c>
      <c r="AN121" s="19"/>
      <c r="AO121" s="21">
        <v>3.6126314728309302E-4</v>
      </c>
      <c r="AP121" s="19"/>
      <c r="AQ121" s="21">
        <v>1.96669380026727E-4</v>
      </c>
      <c r="AR121" s="19"/>
      <c r="AS121" s="21">
        <v>8.16979414527075E-4</v>
      </c>
      <c r="AT121" s="19"/>
      <c r="AU121" s="21">
        <v>5.07904275816769E-5</v>
      </c>
      <c r="AV121" s="19"/>
      <c r="AW121" s="21">
        <v>-6.6602287926660301E-6</v>
      </c>
      <c r="AX121" s="19"/>
      <c r="AY121" s="21">
        <v>3.8095197908083802E-5</v>
      </c>
      <c r="AZ121" s="19"/>
      <c r="BA121" s="21">
        <v>6.5498274487913897E-4</v>
      </c>
      <c r="BB121" s="19"/>
      <c r="BC121" s="21">
        <v>6.0255442986678501E-4</v>
      </c>
      <c r="BD121" s="19"/>
      <c r="BE121" s="21">
        <v>5.1889271220888499E-5</v>
      </c>
      <c r="BF121" s="19"/>
      <c r="BG121" s="21"/>
      <c r="BH121" s="19"/>
    </row>
    <row r="122" spans="1:60" x14ac:dyDescent="0.15">
      <c r="A122" s="17">
        <v>2007</v>
      </c>
      <c r="B122" s="17">
        <v>3</v>
      </c>
      <c r="C122" s="21"/>
      <c r="D122" s="19"/>
      <c r="E122" s="21">
        <v>7.8581562366629894E-3</v>
      </c>
      <c r="F122" s="19"/>
      <c r="G122" s="21">
        <v>4.2474919519989997E-5</v>
      </c>
      <c r="H122" s="19"/>
      <c r="I122" s="21">
        <v>-2.9533427302501902E-6</v>
      </c>
      <c r="J122" s="19"/>
      <c r="K122" s="21">
        <v>4.1886325907786901E-3</v>
      </c>
      <c r="L122" s="19"/>
      <c r="M122" s="21">
        <v>1.7631809584249399E-3</v>
      </c>
      <c r="N122" s="19"/>
      <c r="O122" s="21">
        <v>2.4166684850732102E-3</v>
      </c>
      <c r="P122" s="19"/>
      <c r="Q122" s="21">
        <v>6.1007589551146399E-4</v>
      </c>
      <c r="R122" s="19"/>
      <c r="S122" s="21">
        <v>-1.22974844903374E-4</v>
      </c>
      <c r="T122" s="19"/>
      <c r="U122" s="21">
        <v>1.5943483574133599E-4</v>
      </c>
      <c r="V122" s="19"/>
      <c r="W122" s="21">
        <v>-4.2102533717765098E-4</v>
      </c>
      <c r="X122" s="19"/>
      <c r="Y122" s="21">
        <v>2.5643969389639002E-4</v>
      </c>
      <c r="Z122" s="19"/>
      <c r="AA122" s="21">
        <v>2.9529365082941902E-4</v>
      </c>
      <c r="AB122" s="19"/>
      <c r="AC122" s="21">
        <v>3.24565027060709E-4</v>
      </c>
      <c r="AD122" s="19"/>
      <c r="AE122" s="21">
        <v>3.9322868558354E-4</v>
      </c>
      <c r="AF122" s="19"/>
      <c r="AG122" s="21">
        <v>1.21611118693489E-4</v>
      </c>
      <c r="AH122" s="19"/>
      <c r="AI122" s="21">
        <v>-3.7509069553008097E-4</v>
      </c>
      <c r="AJ122" s="19"/>
      <c r="AK122" s="21">
        <v>6.5233895415192297E-4</v>
      </c>
      <c r="AL122" s="19"/>
      <c r="AM122" s="21">
        <v>1.6913755925243999E-3</v>
      </c>
      <c r="AN122" s="19"/>
      <c r="AO122" s="21">
        <v>6.6810883500250601E-6</v>
      </c>
      <c r="AP122" s="19"/>
      <c r="AQ122" s="21">
        <v>1.11567573427292E-4</v>
      </c>
      <c r="AR122" s="19"/>
      <c r="AS122" s="21">
        <v>3.1767792870461201E-4</v>
      </c>
      <c r="AT122" s="19"/>
      <c r="AU122" s="21">
        <v>4.0466730090159202E-5</v>
      </c>
      <c r="AV122" s="19"/>
      <c r="AW122" s="21">
        <v>4.3776841968791199E-5</v>
      </c>
      <c r="AX122" s="19"/>
      <c r="AY122" s="21">
        <v>4.9634594881216498E-5</v>
      </c>
      <c r="AZ122" s="19"/>
      <c r="BA122" s="21">
        <v>4.2230970753442899E-4</v>
      </c>
      <c r="BB122" s="19"/>
      <c r="BC122" s="21">
        <v>4.43532621679889E-4</v>
      </c>
      <c r="BD122" s="19"/>
      <c r="BE122" s="21">
        <v>-2.2603022360746101E-5</v>
      </c>
      <c r="BF122" s="19"/>
      <c r="BG122" s="21"/>
      <c r="BH122" s="19"/>
    </row>
    <row r="123" spans="1:60" x14ac:dyDescent="0.15">
      <c r="A123" s="17">
        <v>2007</v>
      </c>
      <c r="B123" s="17">
        <v>4</v>
      </c>
      <c r="C123" s="21"/>
      <c r="D123" s="19"/>
      <c r="E123" s="21">
        <v>5.7560847441726496E-3</v>
      </c>
      <c r="F123" s="19"/>
      <c r="G123" s="21">
        <v>-9.7218141810225695E-6</v>
      </c>
      <c r="H123" s="19"/>
      <c r="I123" s="21">
        <v>4.2722838313760703E-5</v>
      </c>
      <c r="J123" s="19"/>
      <c r="K123" s="21">
        <v>2.5855260423606301E-3</v>
      </c>
      <c r="L123" s="19"/>
      <c r="M123" s="21">
        <v>1.6891054934343398E-5</v>
      </c>
      <c r="N123" s="19"/>
      <c r="O123" s="21">
        <v>2.5841661029221202E-3</v>
      </c>
      <c r="P123" s="19"/>
      <c r="Q123" s="21">
        <v>-3.0451727613222502E-4</v>
      </c>
      <c r="R123" s="19"/>
      <c r="S123" s="21">
        <v>-2.7108140463968998E-4</v>
      </c>
      <c r="T123" s="19"/>
      <c r="U123" s="21">
        <v>6.9030220847117604E-4</v>
      </c>
      <c r="V123" s="19"/>
      <c r="W123" s="21">
        <v>-5.0597653887686999E-4</v>
      </c>
      <c r="X123" s="19"/>
      <c r="Y123" s="21">
        <v>4.8343396141322298E-4</v>
      </c>
      <c r="Z123" s="19"/>
      <c r="AA123" s="21">
        <v>-7.3416798321144497E-4</v>
      </c>
      <c r="AB123" s="19"/>
      <c r="AC123" s="21">
        <v>3.2518530861109699E-4</v>
      </c>
      <c r="AD123" s="19"/>
      <c r="AE123" s="21">
        <v>5.2069882558802795E-4</v>
      </c>
      <c r="AF123" s="19"/>
      <c r="AG123" s="21">
        <v>3.4940141791916103E-4</v>
      </c>
      <c r="AH123" s="19"/>
      <c r="AI123" s="21">
        <v>-4.1960323728552603E-4</v>
      </c>
      <c r="AJ123" s="19"/>
      <c r="AK123" s="21">
        <v>1.0405722595132299E-3</v>
      </c>
      <c r="AL123" s="19"/>
      <c r="AM123" s="21">
        <v>2.1427566758013702E-3</v>
      </c>
      <c r="AN123" s="19"/>
      <c r="AO123" s="21">
        <v>-9.4144213193006196E-6</v>
      </c>
      <c r="AP123" s="19"/>
      <c r="AQ123" s="21">
        <v>2.0118709648078001E-4</v>
      </c>
      <c r="AR123" s="19"/>
      <c r="AS123" s="21">
        <v>5.8242145455610701E-4</v>
      </c>
      <c r="AT123" s="19"/>
      <c r="AU123" s="21">
        <v>-5.7743133063411702E-6</v>
      </c>
      <c r="AV123" s="19"/>
      <c r="AW123" s="21">
        <v>9.3378109139466507E-5</v>
      </c>
      <c r="AX123" s="19"/>
      <c r="AY123" s="21">
        <v>6.3958512098667806E-5</v>
      </c>
      <c r="AZ123" s="19"/>
      <c r="BA123" s="21">
        <v>-9.6127645111771602E-5</v>
      </c>
      <c r="BB123" s="19"/>
      <c r="BC123" s="21">
        <v>1.17392937424703E-4</v>
      </c>
      <c r="BD123" s="19"/>
      <c r="BE123" s="21">
        <v>-2.1274010201770299E-4</v>
      </c>
      <c r="BF123" s="19"/>
      <c r="BG123" s="21"/>
      <c r="BH123" s="19"/>
    </row>
    <row r="124" spans="1:60" x14ac:dyDescent="0.15">
      <c r="A124" s="17">
        <v>2008</v>
      </c>
      <c r="B124" s="17">
        <v>1</v>
      </c>
      <c r="C124" s="21"/>
      <c r="D124" s="19"/>
      <c r="E124" s="21">
        <v>6.2845621983231501E-3</v>
      </c>
      <c r="F124" s="19"/>
      <c r="G124" s="21">
        <v>-1.31072712224593E-4</v>
      </c>
      <c r="H124" s="19"/>
      <c r="I124" s="21">
        <v>-7.6260141726468702E-6</v>
      </c>
      <c r="J124" s="19"/>
      <c r="K124" s="21">
        <v>3.2910118366624701E-3</v>
      </c>
      <c r="L124" s="19"/>
      <c r="M124" s="21">
        <v>1.1398982763645099E-3</v>
      </c>
      <c r="N124" s="19"/>
      <c r="O124" s="21">
        <v>2.1459479189409902E-3</v>
      </c>
      <c r="P124" s="19"/>
      <c r="Q124" s="21">
        <v>7.5475330692863397E-5</v>
      </c>
      <c r="R124" s="19"/>
      <c r="S124" s="21">
        <v>-3.7979502659393001E-4</v>
      </c>
      <c r="T124" s="19"/>
      <c r="U124" s="21">
        <v>3.41937144441491E-4</v>
      </c>
      <c r="V124" s="19"/>
      <c r="W124" s="21">
        <v>2.47492065943411E-3</v>
      </c>
      <c r="X124" s="19"/>
      <c r="Y124" s="21">
        <v>5.6979742657991704E-4</v>
      </c>
      <c r="Z124" s="19"/>
      <c r="AA124" s="21">
        <v>2.5325584824721799E-4</v>
      </c>
      <c r="AB124" s="19"/>
      <c r="AC124" s="21">
        <v>2.4848226567446101E-4</v>
      </c>
      <c r="AD124" s="19"/>
      <c r="AE124" s="21">
        <v>8.24049772398682E-4</v>
      </c>
      <c r="AF124" s="19"/>
      <c r="AG124" s="21">
        <v>-4.1599529454638502E-3</v>
      </c>
      <c r="AH124" s="19"/>
      <c r="AI124" s="21">
        <v>-4.7443594674762496E-3</v>
      </c>
      <c r="AJ124" s="19"/>
      <c r="AK124" s="21">
        <v>1.3766676795030201E-3</v>
      </c>
      <c r="AL124" s="19"/>
      <c r="AM124" s="21">
        <v>2.13209983724398E-3</v>
      </c>
      <c r="AN124" s="19"/>
      <c r="AO124" s="21">
        <v>5.2094808680664805E-4</v>
      </c>
      <c r="AP124" s="19"/>
      <c r="AQ124" s="21">
        <v>-1.55830531600753E-4</v>
      </c>
      <c r="AR124" s="19"/>
      <c r="AS124" s="21">
        <v>9.19990333544435E-4</v>
      </c>
      <c r="AT124" s="19"/>
      <c r="AU124" s="21">
        <v>-1.18866393460507E-4</v>
      </c>
      <c r="AV124" s="19"/>
      <c r="AW124" s="21">
        <v>1.3504930451700801E-4</v>
      </c>
      <c r="AX124" s="19"/>
      <c r="AY124" s="21">
        <v>7.4891778085511195E-5</v>
      </c>
      <c r="AZ124" s="19"/>
      <c r="BA124" s="21">
        <v>2.2066330925290799E-4</v>
      </c>
      <c r="BB124" s="19"/>
      <c r="BC124" s="21">
        <v>4.1811998871926201E-4</v>
      </c>
      <c r="BD124" s="19"/>
      <c r="BE124" s="21">
        <v>-1.97616071693801E-4</v>
      </c>
      <c r="BF124" s="19"/>
      <c r="BG124" s="21"/>
      <c r="BH124" s="19"/>
    </row>
    <row r="125" spans="1:60" x14ac:dyDescent="0.15">
      <c r="A125" s="17">
        <v>2008</v>
      </c>
      <c r="B125" s="17">
        <v>2</v>
      </c>
      <c r="C125" s="21"/>
      <c r="D125" s="19"/>
      <c r="E125" s="21">
        <v>9.2255143341005309E-3</v>
      </c>
      <c r="F125" s="19"/>
      <c r="G125" s="21">
        <v>1.0768405541138E-5</v>
      </c>
      <c r="H125" s="19"/>
      <c r="I125" s="21">
        <v>-4.6575913737006801E-6</v>
      </c>
      <c r="J125" s="19"/>
      <c r="K125" s="21">
        <v>5.3012646419841004E-3</v>
      </c>
      <c r="L125" s="19"/>
      <c r="M125" s="21">
        <v>3.05752454676496E-3</v>
      </c>
      <c r="N125" s="19"/>
      <c r="O125" s="21">
        <v>2.22909497170376E-3</v>
      </c>
      <c r="P125" s="19"/>
      <c r="Q125" s="21">
        <v>4.7300089570997999E-4</v>
      </c>
      <c r="R125" s="19"/>
      <c r="S125" s="21">
        <v>-4.20171697067344E-4</v>
      </c>
      <c r="T125" s="19"/>
      <c r="U125" s="21">
        <v>-2.1780463855152699E-4</v>
      </c>
      <c r="V125" s="19"/>
      <c r="W125" s="21">
        <v>2.3963991430432301E-3</v>
      </c>
      <c r="X125" s="19"/>
      <c r="Y125" s="21">
        <v>3.3211046014528401E-4</v>
      </c>
      <c r="Z125" s="19"/>
      <c r="AA125" s="21">
        <v>-7.9233842743165297E-4</v>
      </c>
      <c r="AB125" s="19"/>
      <c r="AC125" s="21">
        <v>1.6154733586278201E-4</v>
      </c>
      <c r="AD125" s="19"/>
      <c r="AE125" s="21">
        <v>4.5466811073109701E-4</v>
      </c>
      <c r="AF125" s="19"/>
      <c r="AG125" s="21">
        <v>-1.2965093213032301E-3</v>
      </c>
      <c r="AH125" s="19"/>
      <c r="AI125" s="21">
        <v>-2.1658129809720402E-3</v>
      </c>
      <c r="AJ125" s="19"/>
      <c r="AK125" s="21">
        <v>1.0631137397189899E-3</v>
      </c>
      <c r="AL125" s="19"/>
      <c r="AM125" s="21">
        <v>2.01735697451126E-3</v>
      </c>
      <c r="AN125" s="19"/>
      <c r="AO125" s="21">
        <v>1.5870450709406299E-4</v>
      </c>
      <c r="AP125" s="19"/>
      <c r="AQ125" s="21">
        <v>-1.5911697396755599E-4</v>
      </c>
      <c r="AR125" s="19"/>
      <c r="AS125" s="21">
        <v>1.0181187037641799E-3</v>
      </c>
      <c r="AT125" s="19"/>
      <c r="AU125" s="21">
        <v>-6.2134500315726997E-5</v>
      </c>
      <c r="AV125" s="19"/>
      <c r="AW125" s="21">
        <v>8.4992003886863205E-5</v>
      </c>
      <c r="AX125" s="19"/>
      <c r="AY125" s="21">
        <v>5.3857575090715998E-5</v>
      </c>
      <c r="AZ125" s="19"/>
      <c r="BA125" s="21">
        <v>3.7405949557067601E-4</v>
      </c>
      <c r="BB125" s="19"/>
      <c r="BC125" s="21">
        <v>4.3889226807333699E-4</v>
      </c>
      <c r="BD125" s="19"/>
      <c r="BE125" s="21">
        <v>-6.5180192832280494E-5</v>
      </c>
      <c r="BF125" s="19"/>
      <c r="BG125" s="21"/>
      <c r="BH125" s="19"/>
    </row>
    <row r="126" spans="1:60" x14ac:dyDescent="0.15">
      <c r="A126" s="17">
        <v>2008</v>
      </c>
      <c r="B126" s="17">
        <v>3</v>
      </c>
      <c r="C126" s="21"/>
      <c r="D126" s="19"/>
      <c r="E126" s="21">
        <v>4.8652776955913201E-3</v>
      </c>
      <c r="F126" s="19"/>
      <c r="G126" s="21">
        <v>9.1476482020134395E-5</v>
      </c>
      <c r="H126" s="19"/>
      <c r="I126" s="21">
        <v>-2.2651091258145101E-5</v>
      </c>
      <c r="J126" s="19"/>
      <c r="K126" s="21">
        <v>-3.1300126742369698E-3</v>
      </c>
      <c r="L126" s="19"/>
      <c r="M126" s="21">
        <v>-2.6226817331729099E-3</v>
      </c>
      <c r="N126" s="19"/>
      <c r="O126" s="21">
        <v>-3.7300752259463002E-4</v>
      </c>
      <c r="P126" s="19"/>
      <c r="Q126" s="21">
        <v>5.7290289030126405E-4</v>
      </c>
      <c r="R126" s="19"/>
      <c r="S126" s="21">
        <v>2.29099634462293E-4</v>
      </c>
      <c r="T126" s="19"/>
      <c r="U126" s="21">
        <v>-2.9807744251814501E-4</v>
      </c>
      <c r="V126" s="19"/>
      <c r="W126" s="21">
        <v>5.9912924486837703E-3</v>
      </c>
      <c r="X126" s="19"/>
      <c r="Y126" s="21">
        <v>5.0703783511096097E-4</v>
      </c>
      <c r="Z126" s="19"/>
      <c r="AA126" s="21">
        <v>-1.79706531281834E-4</v>
      </c>
      <c r="AB126" s="19"/>
      <c r="AC126" s="21">
        <v>-1.0253196249071699E-4</v>
      </c>
      <c r="AD126" s="19"/>
      <c r="AE126" s="21">
        <v>3.8253334210900199E-4</v>
      </c>
      <c r="AF126" s="19"/>
      <c r="AG126" s="21">
        <v>1.18265182425394E-4</v>
      </c>
      <c r="AH126" s="19"/>
      <c r="AI126" s="21">
        <v>-4.8731840848713597E-4</v>
      </c>
      <c r="AJ126" s="19"/>
      <c r="AK126" s="21">
        <v>8.3983826202920398E-4</v>
      </c>
      <c r="AL126" s="19"/>
      <c r="AM126" s="21">
        <v>7.3390316120984099E-4</v>
      </c>
      <c r="AN126" s="19"/>
      <c r="AO126" s="21">
        <v>-2.26502136578457E-5</v>
      </c>
      <c r="AP126" s="19"/>
      <c r="AQ126" s="21">
        <v>-2.36998721369168E-4</v>
      </c>
      <c r="AR126" s="19"/>
      <c r="AS126" s="21">
        <v>7.3330489148802299E-4</v>
      </c>
      <c r="AT126" s="19"/>
      <c r="AU126" s="21">
        <v>1.2817267422865399E-4</v>
      </c>
      <c r="AV126" s="19"/>
      <c r="AW126" s="21">
        <v>9.6735713707705594E-5</v>
      </c>
      <c r="AX126" s="19"/>
      <c r="AY126" s="21">
        <v>3.6213066287713803E-5</v>
      </c>
      <c r="AZ126" s="19"/>
      <c r="BA126" s="21">
        <v>1.4676125378436101E-4</v>
      </c>
      <c r="BB126" s="19"/>
      <c r="BC126" s="21">
        <v>3.8688115525461602E-4</v>
      </c>
      <c r="BD126" s="19"/>
      <c r="BE126" s="21">
        <v>-2.40675821449177E-4</v>
      </c>
      <c r="BF126" s="19"/>
      <c r="BG126" s="21"/>
      <c r="BH126" s="19"/>
    </row>
    <row r="127" spans="1:60" x14ac:dyDescent="0.15">
      <c r="A127" s="17">
        <v>2008</v>
      </c>
      <c r="B127" s="17">
        <v>4</v>
      </c>
      <c r="C127" s="21"/>
      <c r="D127" s="19"/>
      <c r="E127" s="21">
        <v>-1.9034425320483501E-2</v>
      </c>
      <c r="F127" s="19"/>
      <c r="G127" s="21">
        <v>1.3678641375804301E-4</v>
      </c>
      <c r="H127" s="19"/>
      <c r="I127" s="21">
        <v>-4.6861697284056901E-5</v>
      </c>
      <c r="J127" s="19"/>
      <c r="K127" s="21">
        <v>-1.5752646219251501E-2</v>
      </c>
      <c r="L127" s="19"/>
      <c r="M127" s="21">
        <v>-3.5278169880135399E-3</v>
      </c>
      <c r="N127" s="19"/>
      <c r="O127" s="21">
        <v>-1.22450480286881E-2</v>
      </c>
      <c r="P127" s="19"/>
      <c r="Q127" s="21">
        <v>-1.03006959423686E-3</v>
      </c>
      <c r="R127" s="19"/>
      <c r="S127" s="21">
        <v>1.0469052995820799E-3</v>
      </c>
      <c r="T127" s="19"/>
      <c r="U127" s="21">
        <v>-1.36515539915168E-4</v>
      </c>
      <c r="V127" s="19"/>
      <c r="W127" s="21">
        <v>2.7525671128730998E-3</v>
      </c>
      <c r="X127" s="19"/>
      <c r="Y127" s="21">
        <v>-2.3508045102138E-4</v>
      </c>
      <c r="Z127" s="19"/>
      <c r="AA127" s="21">
        <v>-6.6843881035156497E-4</v>
      </c>
      <c r="AB127" s="19"/>
      <c r="AC127" s="21">
        <v>-3.8165266691276802E-4</v>
      </c>
      <c r="AD127" s="19"/>
      <c r="AE127" s="21">
        <v>-4.0917277610206702E-4</v>
      </c>
      <c r="AF127" s="19"/>
      <c r="AG127" s="21">
        <v>-3.5020259159559901E-3</v>
      </c>
      <c r="AH127" s="19"/>
      <c r="AI127" s="21">
        <v>-3.9404358895040303E-3</v>
      </c>
      <c r="AJ127" s="19"/>
      <c r="AK127" s="21">
        <v>6.8422771904774705E-4</v>
      </c>
      <c r="AL127" s="19"/>
      <c r="AM127" s="21">
        <v>-9.8307321936605906E-4</v>
      </c>
      <c r="AN127" s="19"/>
      <c r="AO127" s="21">
        <v>2.11286055537993E-4</v>
      </c>
      <c r="AP127" s="19"/>
      <c r="AQ127" s="21">
        <v>-2.4305431562799001E-4</v>
      </c>
      <c r="AR127" s="19"/>
      <c r="AS127" s="21">
        <v>4.0604809462653599E-4</v>
      </c>
      <c r="AT127" s="19"/>
      <c r="AU127" s="21">
        <v>2.6923812473472498E-4</v>
      </c>
      <c r="AV127" s="19"/>
      <c r="AW127" s="21">
        <v>-6.4445081563155598E-6</v>
      </c>
      <c r="AX127" s="19"/>
      <c r="AY127" s="21">
        <v>1.3972981357746699E-5</v>
      </c>
      <c r="AZ127" s="19"/>
      <c r="BA127" s="21">
        <v>-1.1541530114348799E-3</v>
      </c>
      <c r="BB127" s="19"/>
      <c r="BC127" s="21">
        <v>-8.5235050096111502E-4</v>
      </c>
      <c r="BD127" s="19"/>
      <c r="BE127" s="21">
        <v>-3.1692118664381402E-4</v>
      </c>
      <c r="BF127" s="19"/>
      <c r="BG127" s="21"/>
      <c r="BH127" s="19"/>
    </row>
    <row r="128" spans="1:60" x14ac:dyDescent="0.15">
      <c r="A128" s="17">
        <v>2009</v>
      </c>
      <c r="B128" s="17">
        <v>1</v>
      </c>
      <c r="C128" s="21"/>
      <c r="D128" s="19"/>
      <c r="E128" s="21">
        <v>-1.5298249132298601E-2</v>
      </c>
      <c r="F128" s="19"/>
      <c r="G128" s="21">
        <v>2.0947286677676499E-4</v>
      </c>
      <c r="H128" s="19"/>
      <c r="I128" s="21">
        <v>-4.8839088261821603E-5</v>
      </c>
      <c r="J128" s="19"/>
      <c r="K128" s="21">
        <v>-1.34680999159567E-2</v>
      </c>
      <c r="L128" s="19"/>
      <c r="M128" s="21">
        <v>-7.0954449395276096E-4</v>
      </c>
      <c r="N128" s="19"/>
      <c r="O128" s="21">
        <v>-1.27793599622832E-2</v>
      </c>
      <c r="P128" s="19"/>
      <c r="Q128" s="21">
        <v>-5.8110477338218797E-4</v>
      </c>
      <c r="R128" s="19"/>
      <c r="S128" s="21">
        <v>8.5881960148042604E-4</v>
      </c>
      <c r="T128" s="19"/>
      <c r="U128" s="21">
        <v>1.18670149044242E-4</v>
      </c>
      <c r="V128" s="19"/>
      <c r="W128" s="21">
        <v>1.3413949514213699E-3</v>
      </c>
      <c r="X128" s="19"/>
      <c r="Y128" s="21">
        <v>2.63418669489533E-4</v>
      </c>
      <c r="Z128" s="19"/>
      <c r="AA128" s="21">
        <v>-9.7136406712803399E-4</v>
      </c>
      <c r="AB128" s="19"/>
      <c r="AC128" s="21">
        <v>-7.41323973956083E-4</v>
      </c>
      <c r="AD128" s="19"/>
      <c r="AE128" s="21">
        <v>4.1875659335852301E-4</v>
      </c>
      <c r="AF128" s="19"/>
      <c r="AG128" s="21">
        <v>-3.1812724948251602E-3</v>
      </c>
      <c r="AH128" s="19"/>
      <c r="AI128" s="21">
        <v>-2.7511332780837802E-3</v>
      </c>
      <c r="AJ128" s="19"/>
      <c r="AK128" s="21">
        <v>5.7899893663660199E-4</v>
      </c>
      <c r="AL128" s="19"/>
      <c r="AM128" s="21">
        <v>-1.33688874461171E-3</v>
      </c>
      <c r="AN128" s="19"/>
      <c r="AO128" s="21">
        <v>5.4414002068274201E-4</v>
      </c>
      <c r="AP128" s="19"/>
      <c r="AQ128" s="21">
        <v>-2.34590347724468E-5</v>
      </c>
      <c r="AR128" s="19"/>
      <c r="AS128" s="21">
        <v>3.8190003672683198E-4</v>
      </c>
      <c r="AT128" s="19"/>
      <c r="AU128" s="21">
        <v>1.3390263206343399E-4</v>
      </c>
      <c r="AV128" s="19"/>
      <c r="AW128" s="21">
        <v>-4.4477542281252402E-5</v>
      </c>
      <c r="AX128" s="19"/>
      <c r="AY128" s="21">
        <v>-4.3043473305634697E-5</v>
      </c>
      <c r="AZ128" s="19"/>
      <c r="BA128" s="21">
        <v>-4.5896243723522197E-4</v>
      </c>
      <c r="BB128" s="19"/>
      <c r="BC128" s="21">
        <v>-6.20663438786479E-5</v>
      </c>
      <c r="BD128" s="19"/>
      <c r="BE128" s="21">
        <v>-4.0053980753779E-4</v>
      </c>
      <c r="BF128" s="19"/>
      <c r="BG128" s="21"/>
      <c r="BH128" s="19"/>
    </row>
    <row r="129" spans="1:60" x14ac:dyDescent="0.15">
      <c r="A129" s="17">
        <v>2009</v>
      </c>
      <c r="B129" s="17">
        <v>2</v>
      </c>
      <c r="C129" s="21"/>
      <c r="D129" s="19"/>
      <c r="E129" s="21">
        <v>3.5897144161562301E-3</v>
      </c>
      <c r="F129" s="19"/>
      <c r="G129" s="21">
        <v>1.0320887786111899E-4</v>
      </c>
      <c r="H129" s="19"/>
      <c r="I129" s="21">
        <v>1.9383426268915102E-6</v>
      </c>
      <c r="J129" s="19"/>
      <c r="K129" s="21">
        <v>-1.3272892976631499E-3</v>
      </c>
      <c r="L129" s="19"/>
      <c r="M129" s="21">
        <v>1.24681810157106E-3</v>
      </c>
      <c r="N129" s="19"/>
      <c r="O129" s="21">
        <v>-2.5948751847283099E-3</v>
      </c>
      <c r="P129" s="19"/>
      <c r="Q129" s="21">
        <v>3.5312252955578999E-4</v>
      </c>
      <c r="R129" s="19"/>
      <c r="S129" s="21">
        <v>6.9589586989006198E-4</v>
      </c>
      <c r="T129" s="19"/>
      <c r="U129" s="21">
        <v>3.5916122736716002E-4</v>
      </c>
      <c r="V129" s="19"/>
      <c r="W129" s="21">
        <v>1.70705311991958E-3</v>
      </c>
      <c r="X129" s="19"/>
      <c r="Y129" s="21">
        <v>3.1537891756133399E-4</v>
      </c>
      <c r="Z129" s="19"/>
      <c r="AA129" s="21">
        <v>-3.93138875177607E-4</v>
      </c>
      <c r="AB129" s="19"/>
      <c r="AC129" s="21">
        <v>-6.5075683874785801E-4</v>
      </c>
      <c r="AD129" s="19"/>
      <c r="AE129" s="21">
        <v>2.00654805567554E-4</v>
      </c>
      <c r="AF129" s="19"/>
      <c r="AG129" s="21">
        <v>2.01849310028142E-3</v>
      </c>
      <c r="AH129" s="19"/>
      <c r="AI129" s="21">
        <v>1.8815583917888899E-3</v>
      </c>
      <c r="AJ129" s="19"/>
      <c r="AK129" s="21">
        <v>2.46199071574933E-4</v>
      </c>
      <c r="AL129" s="19"/>
      <c r="AM129" s="21">
        <v>-8.8713666737814901E-4</v>
      </c>
      <c r="AN129" s="19"/>
      <c r="AO129" s="21">
        <v>2.5294157605162298E-4</v>
      </c>
      <c r="AP129" s="19"/>
      <c r="AQ129" s="21">
        <v>-2.2665129599723599E-5</v>
      </c>
      <c r="AR129" s="19"/>
      <c r="AS129" s="21">
        <v>3.2301278042282501E-4</v>
      </c>
      <c r="AT129" s="19"/>
      <c r="AU129" s="21">
        <v>3.14228046846119E-4</v>
      </c>
      <c r="AV129" s="19"/>
      <c r="AW129" s="21">
        <v>4.8525805046160601E-6</v>
      </c>
      <c r="AX129" s="19"/>
      <c r="AY129" s="21">
        <v>-4.0922539779276803E-5</v>
      </c>
      <c r="AZ129" s="19"/>
      <c r="BA129" s="21">
        <v>-2.41628732207866E-5</v>
      </c>
      <c r="BB129" s="19"/>
      <c r="BC129" s="21">
        <v>2.7659268670993001E-4</v>
      </c>
      <c r="BD129" s="19"/>
      <c r="BE129" s="21">
        <v>-3.1074634141615298E-4</v>
      </c>
      <c r="BF129" s="19"/>
      <c r="BG129" s="21"/>
      <c r="BH129" s="19"/>
    </row>
    <row r="130" spans="1:60" x14ac:dyDescent="0.15">
      <c r="A130" s="17">
        <v>2009</v>
      </c>
      <c r="B130" s="17">
        <v>3</v>
      </c>
      <c r="C130" s="21"/>
      <c r="D130" s="19"/>
      <c r="E130" s="21">
        <v>8.7401923959307994E-3</v>
      </c>
      <c r="F130" s="19"/>
      <c r="G130" s="21">
        <v>1.23374859274622E-7</v>
      </c>
      <c r="H130" s="19"/>
      <c r="I130" s="21">
        <v>1.14602007685118E-5</v>
      </c>
      <c r="J130" s="19"/>
      <c r="K130" s="21">
        <v>4.4940222892273004E-3</v>
      </c>
      <c r="L130" s="19"/>
      <c r="M130" s="21">
        <v>2.0111873840407898E-3</v>
      </c>
      <c r="N130" s="19"/>
      <c r="O130" s="21">
        <v>2.4727638958208999E-3</v>
      </c>
      <c r="P130" s="19"/>
      <c r="Q130" s="21">
        <v>-6.0713898758477504E-4</v>
      </c>
      <c r="R130" s="19"/>
      <c r="S130" s="21">
        <v>-2.00289377499552E-4</v>
      </c>
      <c r="T130" s="19"/>
      <c r="U130" s="21">
        <v>1.10390744875186E-3</v>
      </c>
      <c r="V130" s="19"/>
      <c r="W130" s="21">
        <v>-5.1385251899139096E-4</v>
      </c>
      <c r="X130" s="19"/>
      <c r="Y130" s="21">
        <v>2.0174704677293601E-4</v>
      </c>
      <c r="Z130" s="19"/>
      <c r="AA130" s="21">
        <v>-3.1433779648491501E-4</v>
      </c>
      <c r="AB130" s="19"/>
      <c r="AC130" s="21">
        <v>3.6428660296566499E-4</v>
      </c>
      <c r="AD130" s="19"/>
      <c r="AE130" s="21">
        <v>3.9550421464747099E-4</v>
      </c>
      <c r="AF130" s="19"/>
      <c r="AG130" s="21">
        <v>3.7440268547057399E-3</v>
      </c>
      <c r="AH130" s="19"/>
      <c r="AI130" s="21">
        <v>3.67594712982152E-3</v>
      </c>
      <c r="AJ130" s="19"/>
      <c r="AK130" s="21">
        <v>-1.0077679728608399E-4</v>
      </c>
      <c r="AL130" s="19"/>
      <c r="AM130" s="21">
        <v>-3.1682432399981098E-4</v>
      </c>
      <c r="AN130" s="19"/>
      <c r="AO130" s="21">
        <v>4.2557514519853498E-4</v>
      </c>
      <c r="AP130" s="19"/>
      <c r="AQ130" s="21">
        <v>2.02792849981149E-4</v>
      </c>
      <c r="AR130" s="19"/>
      <c r="AS130" s="21">
        <v>3.5084237669493802E-4</v>
      </c>
      <c r="AT130" s="19"/>
      <c r="AU130" s="21">
        <v>-5.8297828144069401E-5</v>
      </c>
      <c r="AV130" s="19"/>
      <c r="AW130" s="21">
        <v>-7.1865368337178606E-5</v>
      </c>
      <c r="AX130" s="19"/>
      <c r="AY130" s="21">
        <v>8.3190243102114395E-6</v>
      </c>
      <c r="AZ130" s="19"/>
      <c r="BA130" s="21">
        <v>4.0693809742132299E-4</v>
      </c>
      <c r="BB130" s="19"/>
      <c r="BC130" s="21">
        <v>5.3133430370115803E-4</v>
      </c>
      <c r="BD130" s="19"/>
      <c r="BE130" s="21">
        <v>-1.1992007994413201E-4</v>
      </c>
      <c r="BF130" s="19"/>
      <c r="BG130" s="21"/>
      <c r="BH130" s="19"/>
    </row>
    <row r="131" spans="1:60" x14ac:dyDescent="0.15">
      <c r="A131" s="17">
        <v>2009</v>
      </c>
      <c r="B131" s="17">
        <v>4</v>
      </c>
      <c r="C131" s="21"/>
      <c r="D131" s="19"/>
      <c r="E131" s="21">
        <v>4.7741542750147402E-3</v>
      </c>
      <c r="F131" s="19"/>
      <c r="G131" s="21">
        <v>-9.2533847804991795E-5</v>
      </c>
      <c r="H131" s="19"/>
      <c r="I131" s="21">
        <v>2.5250850920988999E-5</v>
      </c>
      <c r="J131" s="19"/>
      <c r="K131" s="21">
        <v>3.8702049407386501E-3</v>
      </c>
      <c r="L131" s="19"/>
      <c r="M131" s="21">
        <v>2.2205082723857402E-3</v>
      </c>
      <c r="N131" s="19"/>
      <c r="O131" s="21">
        <v>1.6277693285950501E-3</v>
      </c>
      <c r="P131" s="19"/>
      <c r="Q131" s="21">
        <v>-1.18059886177493E-3</v>
      </c>
      <c r="R131" s="19"/>
      <c r="S131" s="21">
        <v>-2.76858405491172E-4</v>
      </c>
      <c r="T131" s="19"/>
      <c r="U131" s="21">
        <v>3.5346604507719798E-4</v>
      </c>
      <c r="V131" s="19"/>
      <c r="W131" s="21">
        <v>2.11190783963471E-3</v>
      </c>
      <c r="X131" s="19"/>
      <c r="Y131" s="21">
        <v>7.1925141228414298E-4</v>
      </c>
      <c r="Z131" s="19"/>
      <c r="AA131" s="21">
        <v>-1.1109388714906299E-4</v>
      </c>
      <c r="AB131" s="19"/>
      <c r="AC131" s="21">
        <v>-2.5494743275078601E-5</v>
      </c>
      <c r="AD131" s="19"/>
      <c r="AE131" s="21">
        <v>2.4957953798093198E-4</v>
      </c>
      <c r="AF131" s="19"/>
      <c r="AG131" s="21">
        <v>-1.0867351903208599E-3</v>
      </c>
      <c r="AH131" s="19"/>
      <c r="AI131" s="21">
        <v>-8.3749581599003005E-4</v>
      </c>
      <c r="AJ131" s="19"/>
      <c r="AK131" s="21">
        <v>-4.5278833148307003E-4</v>
      </c>
      <c r="AL131" s="19"/>
      <c r="AM131" s="21">
        <v>5.31657348816945E-4</v>
      </c>
      <c r="AN131" s="19"/>
      <c r="AO131" s="21">
        <v>1.9722392446435699E-4</v>
      </c>
      <c r="AP131" s="19"/>
      <c r="AQ131" s="21">
        <v>1.21911998335717E-4</v>
      </c>
      <c r="AR131" s="19"/>
      <c r="AS131" s="21">
        <v>4.2173079185102099E-4</v>
      </c>
      <c r="AT131" s="19"/>
      <c r="AU131" s="21">
        <v>-8.7607152828144498E-5</v>
      </c>
      <c r="AV131" s="19"/>
      <c r="AW131" s="21">
        <v>-1.7918521225878E-4</v>
      </c>
      <c r="AX131" s="19"/>
      <c r="AY131" s="21">
        <v>-1.3412785169488E-5</v>
      </c>
      <c r="AZ131" s="19"/>
      <c r="BA131" s="21">
        <v>4.4813199690638101E-4</v>
      </c>
      <c r="BB131" s="19"/>
      <c r="BC131" s="21">
        <v>3.8294196192065102E-4</v>
      </c>
      <c r="BD131" s="19"/>
      <c r="BE131" s="21">
        <v>7.5874666129755901E-5</v>
      </c>
      <c r="BF131" s="19"/>
      <c r="BG131" s="21"/>
      <c r="BH131" s="19"/>
    </row>
    <row r="132" spans="1:60" x14ac:dyDescent="0.15">
      <c r="A132" s="17">
        <v>2010</v>
      </c>
      <c r="B132" s="17">
        <v>1</v>
      </c>
      <c r="C132" s="21"/>
      <c r="D132" s="19"/>
      <c r="E132" s="21">
        <v>9.2413322028665895E-3</v>
      </c>
      <c r="F132" s="19"/>
      <c r="G132" s="21">
        <v>-1.68417315214404E-4</v>
      </c>
      <c r="H132" s="19"/>
      <c r="I132" s="21">
        <v>3.42876986896105E-5</v>
      </c>
      <c r="J132" s="19"/>
      <c r="K132" s="21">
        <v>3.2975511616580998E-3</v>
      </c>
      <c r="L132" s="19"/>
      <c r="M132" s="21">
        <v>7.2682887146937204E-4</v>
      </c>
      <c r="N132" s="19"/>
      <c r="O132" s="21">
        <v>2.60400487344705E-3</v>
      </c>
      <c r="P132" s="19"/>
      <c r="Q132" s="21">
        <v>7.69363641269763E-4</v>
      </c>
      <c r="R132" s="19"/>
      <c r="S132" s="21">
        <v>-5.3717945995017998E-4</v>
      </c>
      <c r="T132" s="19"/>
      <c r="U132" s="21">
        <v>9.3830898327655198E-4</v>
      </c>
      <c r="V132" s="19"/>
      <c r="W132" s="21">
        <v>2.9474483098585399E-3</v>
      </c>
      <c r="X132" s="19"/>
      <c r="Y132" s="21">
        <v>6.1903981628910905E-4</v>
      </c>
      <c r="Z132" s="19"/>
      <c r="AA132" s="21">
        <v>1.53581575637072E-3</v>
      </c>
      <c r="AB132" s="19"/>
      <c r="AC132" s="21">
        <v>2.0360314862528299E-4</v>
      </c>
      <c r="AD132" s="19"/>
      <c r="AE132" s="21">
        <v>8.0999955916548501E-4</v>
      </c>
      <c r="AF132" s="19"/>
      <c r="AG132" s="21">
        <v>-8.6541967817591698E-4</v>
      </c>
      <c r="AH132" s="19"/>
      <c r="AI132" s="21">
        <v>-1.93125448756437E-4</v>
      </c>
      <c r="AJ132" s="19"/>
      <c r="AK132" s="21">
        <v>-8.17990007049472E-4</v>
      </c>
      <c r="AL132" s="19"/>
      <c r="AM132" s="21">
        <v>1.39890224204201E-3</v>
      </c>
      <c r="AN132" s="19"/>
      <c r="AO132" s="21">
        <v>-3.03466633142125E-4</v>
      </c>
      <c r="AP132" s="19"/>
      <c r="AQ132" s="21">
        <v>-2.5986069845613299E-4</v>
      </c>
      <c r="AR132" s="19"/>
      <c r="AS132" s="21">
        <v>-1.6355126532872601E-4</v>
      </c>
      <c r="AT132" s="19"/>
      <c r="AU132" s="21">
        <v>-3.4156387000193E-4</v>
      </c>
      <c r="AV132" s="19"/>
      <c r="AW132" s="21">
        <v>-4.1604346929906398E-6</v>
      </c>
      <c r="AX132" s="19"/>
      <c r="AY132" s="21">
        <v>-9.7049349090968493E-6</v>
      </c>
      <c r="AZ132" s="19"/>
      <c r="BA132" s="21">
        <v>1.1691015365012901E-3</v>
      </c>
      <c r="BB132" s="19"/>
      <c r="BC132" s="21">
        <v>8.9362222241538196E-4</v>
      </c>
      <c r="BD132" s="19"/>
      <c r="BE132" s="21">
        <v>2.6170056292750801E-4</v>
      </c>
      <c r="BF132" s="19"/>
      <c r="BG132" s="21"/>
      <c r="BH132" s="19"/>
    </row>
    <row r="133" spans="1:60" x14ac:dyDescent="0.15">
      <c r="A133" s="17">
        <v>2010</v>
      </c>
      <c r="B133" s="17">
        <v>2</v>
      </c>
      <c r="C133" s="21"/>
      <c r="D133" s="19"/>
      <c r="E133" s="21">
        <v>4.7342721217571897E-3</v>
      </c>
      <c r="F133" s="19"/>
      <c r="G133" s="21">
        <v>-7.6976267727094403E-5</v>
      </c>
      <c r="H133" s="19"/>
      <c r="I133" s="21">
        <v>5.0336631543095801E-5</v>
      </c>
      <c r="J133" s="19"/>
      <c r="K133" s="21">
        <v>2.1549199138366799E-3</v>
      </c>
      <c r="L133" s="19"/>
      <c r="M133" s="21">
        <v>2.1046642742601101E-4</v>
      </c>
      <c r="N133" s="19"/>
      <c r="O133" s="21">
        <v>1.94727975902462E-3</v>
      </c>
      <c r="P133" s="19"/>
      <c r="Q133" s="21">
        <v>-8.4041024656832203E-5</v>
      </c>
      <c r="R133" s="19"/>
      <c r="S133" s="21">
        <v>-4.6155235921667399E-4</v>
      </c>
      <c r="T133" s="19"/>
      <c r="U133" s="21">
        <v>1.05506864882687E-3</v>
      </c>
      <c r="V133" s="19"/>
      <c r="W133" s="21">
        <v>7.1949729529335003E-4</v>
      </c>
      <c r="X133" s="19"/>
      <c r="Y133" s="21">
        <v>2.5996224610559302E-4</v>
      </c>
      <c r="Z133" s="19"/>
      <c r="AA133" s="21">
        <v>4.8979333314215295E-4</v>
      </c>
      <c r="AB133" s="19"/>
      <c r="AC133" s="21">
        <v>-2.2094138625742001E-5</v>
      </c>
      <c r="AD133" s="19"/>
      <c r="AE133" s="21">
        <v>-2.6946418651319602E-4</v>
      </c>
      <c r="AF133" s="19"/>
      <c r="AG133" s="21">
        <v>4.6465243737546202E-5</v>
      </c>
      <c r="AH133" s="19"/>
      <c r="AI133" s="21">
        <v>4.7803588762449699E-4</v>
      </c>
      <c r="AJ133" s="19"/>
      <c r="AK133" s="21">
        <v>-4.5221008892419102E-4</v>
      </c>
      <c r="AL133" s="19"/>
      <c r="AM133" s="21">
        <v>1.0327302084721299E-3</v>
      </c>
      <c r="AN133" s="19"/>
      <c r="AO133" s="21">
        <v>1.78476106494577E-5</v>
      </c>
      <c r="AP133" s="19"/>
      <c r="AQ133" s="21">
        <v>5.0439002096116103E-5</v>
      </c>
      <c r="AR133" s="19"/>
      <c r="AS133" s="21">
        <v>7.6073826677704903E-5</v>
      </c>
      <c r="AT133" s="19"/>
      <c r="AU133" s="21">
        <v>-8.9415013071823094E-5</v>
      </c>
      <c r="AV133" s="19"/>
      <c r="AW133" s="21">
        <v>-5.9172266058627897E-5</v>
      </c>
      <c r="AX133" s="19"/>
      <c r="AY133" s="21">
        <v>-4.1071275618459898E-6</v>
      </c>
      <c r="AZ133" s="19"/>
      <c r="BA133" s="21">
        <v>2.9421316526452698E-4</v>
      </c>
      <c r="BB133" s="19"/>
      <c r="BC133" s="21">
        <v>2.9983402269901499E-4</v>
      </c>
      <c r="BD133" s="19"/>
      <c r="BE133" s="21">
        <v>-5.9876934833523103E-6</v>
      </c>
      <c r="BF133" s="19"/>
      <c r="BG133" s="21"/>
      <c r="BH133" s="19"/>
    </row>
    <row r="134" spans="1:60" x14ac:dyDescent="0.15">
      <c r="A134" s="17">
        <v>2010</v>
      </c>
      <c r="B134" s="17">
        <v>3</v>
      </c>
      <c r="C134" s="21"/>
      <c r="D134" s="19"/>
      <c r="E134" s="21">
        <v>6.2751709998535698E-3</v>
      </c>
      <c r="F134" s="19"/>
      <c r="G134" s="21">
        <v>2.8284878329432402E-5</v>
      </c>
      <c r="H134" s="19"/>
      <c r="I134" s="21">
        <v>1.0957723885912699E-5</v>
      </c>
      <c r="J134" s="19"/>
      <c r="K134" s="21">
        <v>3.5894561442188001E-3</v>
      </c>
      <c r="L134" s="19"/>
      <c r="M134" s="21">
        <v>7.1704376044552805E-4</v>
      </c>
      <c r="N134" s="19"/>
      <c r="O134" s="21">
        <v>2.8808610889927001E-3</v>
      </c>
      <c r="P134" s="19"/>
      <c r="Q134" s="21">
        <v>1.24794409790713E-5</v>
      </c>
      <c r="R134" s="19"/>
      <c r="S134" s="21">
        <v>9.0064339650375896E-5</v>
      </c>
      <c r="T134" s="19"/>
      <c r="U134" s="21">
        <v>4.1616247535548602E-4</v>
      </c>
      <c r="V134" s="19"/>
      <c r="W134" s="21">
        <v>2.4269529779038998E-3</v>
      </c>
      <c r="X134" s="19"/>
      <c r="Y134" s="21">
        <v>6.6849543727916802E-4</v>
      </c>
      <c r="Z134" s="19"/>
      <c r="AA134" s="21">
        <v>-3.7593866703991898E-5</v>
      </c>
      <c r="AB134" s="19"/>
      <c r="AC134" s="21">
        <v>1.18548450972667E-4</v>
      </c>
      <c r="AD134" s="19"/>
      <c r="AE134" s="21">
        <v>5.2949154577931702E-4</v>
      </c>
      <c r="AF134" s="19"/>
      <c r="AG134" s="21">
        <v>-2.5177555171929898E-3</v>
      </c>
      <c r="AH134" s="19"/>
      <c r="AI134" s="21">
        <v>-2.4015269877581298E-3</v>
      </c>
      <c r="AJ134" s="19"/>
      <c r="AK134" s="21">
        <v>-1.14433671043392E-4</v>
      </c>
      <c r="AL134" s="19"/>
      <c r="AM134" s="21">
        <v>9.9537550440916499E-4</v>
      </c>
      <c r="AN134" s="19"/>
      <c r="AO134" s="21">
        <v>2.6441753700581202E-4</v>
      </c>
      <c r="AP134" s="19"/>
      <c r="AQ134" s="21">
        <v>1.5834892021776001E-4</v>
      </c>
      <c r="AR134" s="19"/>
      <c r="AS134" s="21">
        <v>1.52686778905673E-4</v>
      </c>
      <c r="AT134" s="19"/>
      <c r="AU134" s="21">
        <v>3.1523278819079E-5</v>
      </c>
      <c r="AV134" s="19"/>
      <c r="AW134" s="21">
        <v>7.9673559407064299E-5</v>
      </c>
      <c r="AX134" s="19"/>
      <c r="AY134" s="21">
        <v>-1.0057852354088E-5</v>
      </c>
      <c r="AZ134" s="19"/>
      <c r="BA134" s="21">
        <v>4.2579933249550298E-5</v>
      </c>
      <c r="BB134" s="19"/>
      <c r="BC134" s="21">
        <v>1.7446653915674301E-4</v>
      </c>
      <c r="BD134" s="19"/>
      <c r="BE134" s="21">
        <v>-1.3240481344207799E-4</v>
      </c>
      <c r="BF134" s="19"/>
      <c r="BG134" s="21"/>
      <c r="BH134" s="19"/>
    </row>
    <row r="135" spans="1:60" x14ac:dyDescent="0.15">
      <c r="A135" s="17">
        <v>2010</v>
      </c>
      <c r="B135" s="17">
        <v>4</v>
      </c>
      <c r="C135" s="21"/>
      <c r="D135" s="19"/>
      <c r="E135" s="21">
        <v>9.3584201743385203E-3</v>
      </c>
      <c r="F135" s="19"/>
      <c r="G135" s="21">
        <v>1.57921550965116E-4</v>
      </c>
      <c r="H135" s="19"/>
      <c r="I135" s="21">
        <v>-2.29008009292533E-5</v>
      </c>
      <c r="J135" s="19"/>
      <c r="K135" s="21">
        <v>5.2055235161749501E-3</v>
      </c>
      <c r="L135" s="19"/>
      <c r="M135" s="21">
        <v>2.0846522155562501E-3</v>
      </c>
      <c r="N135" s="19"/>
      <c r="O135" s="21">
        <v>3.06752370460402E-3</v>
      </c>
      <c r="P135" s="19"/>
      <c r="Q135" s="21">
        <v>7.7593937481257704E-4</v>
      </c>
      <c r="R135" s="19"/>
      <c r="S135" s="21">
        <v>-6.2156622595613904E-5</v>
      </c>
      <c r="T135" s="19"/>
      <c r="U135" s="21">
        <v>4.9927648592923196E-4</v>
      </c>
      <c r="V135" s="19"/>
      <c r="W135" s="21">
        <v>-2.8453255467252199E-3</v>
      </c>
      <c r="X135" s="19"/>
      <c r="Y135" s="21">
        <v>2.6404354844101398E-5</v>
      </c>
      <c r="Z135" s="19"/>
      <c r="AA135" s="21">
        <v>4.4627361448230902E-4</v>
      </c>
      <c r="AB135" s="19"/>
      <c r="AC135" s="21">
        <v>-9.8791897809965895E-5</v>
      </c>
      <c r="AD135" s="19"/>
      <c r="AE135" s="21">
        <v>3.1773221258914202E-4</v>
      </c>
      <c r="AF135" s="19"/>
      <c r="AG135" s="21">
        <v>2.4331570529929798E-3</v>
      </c>
      <c r="AH135" s="19"/>
      <c r="AI135" s="21">
        <v>1.8105120070182001E-3</v>
      </c>
      <c r="AJ135" s="19"/>
      <c r="AK135" s="21">
        <v>2.1295357079187499E-4</v>
      </c>
      <c r="AL135" s="19"/>
      <c r="AM135" s="21">
        <v>1.1076028585538199E-3</v>
      </c>
      <c r="AN135" s="19"/>
      <c r="AO135" s="21">
        <v>2.6264865689401101E-4</v>
      </c>
      <c r="AP135" s="19"/>
      <c r="AQ135" s="21">
        <v>2.7918954116438002E-4</v>
      </c>
      <c r="AR135" s="19"/>
      <c r="AS135" s="21">
        <v>2.7562009541081301E-4</v>
      </c>
      <c r="AT135" s="19"/>
      <c r="AU135" s="21">
        <v>9.8224184707741398E-5</v>
      </c>
      <c r="AV135" s="19"/>
      <c r="AW135" s="21">
        <v>9.5730917575862195E-5</v>
      </c>
      <c r="AX135" s="19"/>
      <c r="AY135" s="21">
        <v>-1.6712079985626299E-5</v>
      </c>
      <c r="AZ135" s="19"/>
      <c r="BA135" s="21">
        <v>-1.4934905174463799E-4</v>
      </c>
      <c r="BB135" s="19"/>
      <c r="BC135" s="21">
        <v>7.4846648268562998E-5</v>
      </c>
      <c r="BD135" s="19"/>
      <c r="BE135" s="21">
        <v>-2.25855717725602E-4</v>
      </c>
      <c r="BF135" s="19"/>
      <c r="BG135" s="21"/>
      <c r="BH135" s="19"/>
    </row>
    <row r="136" spans="1:60" x14ac:dyDescent="0.15">
      <c r="A136" s="17">
        <v>2011</v>
      </c>
      <c r="B136" s="17">
        <v>1</v>
      </c>
      <c r="C136" s="21"/>
      <c r="D136" s="19"/>
      <c r="E136" s="21">
        <v>2.68240915783826E-3</v>
      </c>
      <c r="F136" s="19"/>
      <c r="G136" s="21">
        <v>3.5575568022852902E-4</v>
      </c>
      <c r="H136" s="19"/>
      <c r="I136" s="21">
        <v>4.9243401046428803E-5</v>
      </c>
      <c r="J136" s="19"/>
      <c r="K136" s="21">
        <v>5.9510563078058101E-3</v>
      </c>
      <c r="L136" s="19"/>
      <c r="M136" s="21">
        <v>2.97959211727419E-3</v>
      </c>
      <c r="N136" s="19"/>
      <c r="O136" s="21">
        <v>2.9064960446426799E-3</v>
      </c>
      <c r="P136" s="19"/>
      <c r="Q136" s="21">
        <v>-1.0399715631578101E-3</v>
      </c>
      <c r="R136" s="19"/>
      <c r="S136" s="21">
        <v>3.9282566387685898E-5</v>
      </c>
      <c r="T136" s="19"/>
      <c r="U136" s="21">
        <v>-2.0704552903105201E-4</v>
      </c>
      <c r="V136" s="19"/>
      <c r="W136" s="21">
        <v>-4.12707540899525E-3</v>
      </c>
      <c r="X136" s="19"/>
      <c r="Y136" s="21">
        <v>-4.2008013274585899E-4</v>
      </c>
      <c r="Z136" s="19"/>
      <c r="AA136" s="21">
        <v>-1.04395484031769E-5</v>
      </c>
      <c r="AB136" s="19"/>
      <c r="AC136" s="21">
        <v>1.2398863033059101E-4</v>
      </c>
      <c r="AD136" s="19"/>
      <c r="AE136" s="21">
        <v>-9.5986375211191098E-4</v>
      </c>
      <c r="AF136" s="19"/>
      <c r="AG136" s="21">
        <v>1.54747272302727E-3</v>
      </c>
      <c r="AH136" s="19"/>
      <c r="AI136" s="21">
        <v>6.9141484415623504E-4</v>
      </c>
      <c r="AJ136" s="19"/>
      <c r="AK136" s="21">
        <v>5.4265536082559798E-4</v>
      </c>
      <c r="AL136" s="19"/>
      <c r="AM136" s="21">
        <v>6.69195479924062E-4</v>
      </c>
      <c r="AN136" s="19"/>
      <c r="AO136" s="21">
        <v>-4.3832856874295798E-5</v>
      </c>
      <c r="AP136" s="19"/>
      <c r="AQ136" s="21">
        <v>3.2745714994129302E-4</v>
      </c>
      <c r="AR136" s="19"/>
      <c r="AS136" s="21">
        <v>-5.6716115147991298E-4</v>
      </c>
      <c r="AT136" s="19"/>
      <c r="AU136" s="21">
        <v>6.2879394998599199E-4</v>
      </c>
      <c r="AV136" s="19"/>
      <c r="AW136" s="21">
        <v>8.4036737025177196E-5</v>
      </c>
      <c r="AX136" s="19"/>
      <c r="AY136" s="21">
        <v>-1.7978081644669401E-5</v>
      </c>
      <c r="AZ136" s="19"/>
      <c r="BA136" s="21">
        <v>-3.0537191410797202E-4</v>
      </c>
      <c r="BB136" s="19"/>
      <c r="BC136" s="21">
        <v>-1.0478081073957799E-5</v>
      </c>
      <c r="BD136" s="19"/>
      <c r="BE136" s="21">
        <v>-2.9380349782913298E-4</v>
      </c>
      <c r="BF136" s="19"/>
      <c r="BG136" s="21"/>
      <c r="BH136" s="19"/>
    </row>
    <row r="137" spans="1:60" x14ac:dyDescent="0.15">
      <c r="A137" s="17">
        <v>2011</v>
      </c>
      <c r="B137" s="17">
        <v>2</v>
      </c>
      <c r="C137" s="21"/>
      <c r="D137" s="19"/>
      <c r="E137" s="21">
        <v>7.7642146850943703E-3</v>
      </c>
      <c r="F137" s="19"/>
      <c r="G137" s="21">
        <v>1.8443713340661499E-4</v>
      </c>
      <c r="H137" s="19"/>
      <c r="I137" s="21">
        <v>-5.7767346895545801E-5</v>
      </c>
      <c r="J137" s="19"/>
      <c r="K137" s="21">
        <v>6.4988897360880003E-3</v>
      </c>
      <c r="L137" s="19"/>
      <c r="M137" s="21">
        <v>2.5692422327100398E-3</v>
      </c>
      <c r="N137" s="19"/>
      <c r="O137" s="21">
        <v>3.82042775349204E-3</v>
      </c>
      <c r="P137" s="19"/>
      <c r="Q137" s="21">
        <v>-5.6066211869074405E-4</v>
      </c>
      <c r="R137" s="19"/>
      <c r="S137" s="21">
        <v>1.15652616882221E-4</v>
      </c>
      <c r="T137" s="19"/>
      <c r="U137" s="21">
        <v>-2.57893041611479E-4</v>
      </c>
      <c r="V137" s="19"/>
      <c r="W137" s="21">
        <v>-2.0302948026221599E-3</v>
      </c>
      <c r="X137" s="19"/>
      <c r="Y137" s="21">
        <v>3.1667919939694302E-4</v>
      </c>
      <c r="Z137" s="19"/>
      <c r="AA137" s="21">
        <v>4.6715354877435402E-4</v>
      </c>
      <c r="AB137" s="19"/>
      <c r="AC137" s="21">
        <v>-3.5433157611018798E-5</v>
      </c>
      <c r="AD137" s="19"/>
      <c r="AE137" s="21">
        <v>2.3649426730959302E-5</v>
      </c>
      <c r="AF137" s="19"/>
      <c r="AG137" s="21">
        <v>-1.1664151848106601E-4</v>
      </c>
      <c r="AH137" s="19"/>
      <c r="AI137" s="21">
        <v>-6.1749274001218605E-4</v>
      </c>
      <c r="AJ137" s="19"/>
      <c r="AK137" s="21">
        <v>4.6218944616631603E-4</v>
      </c>
      <c r="AL137" s="19"/>
      <c r="AM137" s="21">
        <v>1.3806618983489101E-3</v>
      </c>
      <c r="AN137" s="19"/>
      <c r="AO137" s="21">
        <v>4.4692983302647998E-4</v>
      </c>
      <c r="AP137" s="19"/>
      <c r="AQ137" s="21">
        <v>2.4167679153287599E-4</v>
      </c>
      <c r="AR137" s="19"/>
      <c r="AS137" s="21">
        <v>7.55968782455469E-4</v>
      </c>
      <c r="AT137" s="19"/>
      <c r="AU137" s="21">
        <v>2.96737807702132E-4</v>
      </c>
      <c r="AV137" s="19"/>
      <c r="AW137" s="21">
        <v>1.81296294825881E-4</v>
      </c>
      <c r="AX137" s="19"/>
      <c r="AY137" s="21">
        <v>1.0382520226984499E-6</v>
      </c>
      <c r="AZ137" s="19"/>
      <c r="BA137" s="21">
        <v>-2.0258783164693299E-4</v>
      </c>
      <c r="BB137" s="19"/>
      <c r="BC137" s="21">
        <v>2.04452286327566E-4</v>
      </c>
      <c r="BD137" s="19"/>
      <c r="BE137" s="21">
        <v>-4.05863624053595E-4</v>
      </c>
      <c r="BF137" s="19"/>
      <c r="BG137" s="21"/>
      <c r="BH137" s="19"/>
    </row>
    <row r="138" spans="1:60" x14ac:dyDescent="0.15">
      <c r="A138" s="17">
        <v>2011</v>
      </c>
      <c r="B138" s="17">
        <v>3</v>
      </c>
      <c r="C138" s="21"/>
      <c r="D138" s="19"/>
      <c r="E138" s="21">
        <v>-4.3905898742206398E-3</v>
      </c>
      <c r="F138" s="19"/>
      <c r="G138" s="21">
        <v>1.02230847203145E-4</v>
      </c>
      <c r="H138" s="19"/>
      <c r="I138" s="21">
        <v>-1.52387520813989E-5</v>
      </c>
      <c r="J138" s="19"/>
      <c r="K138" s="21">
        <v>4.9329867054663203E-5</v>
      </c>
      <c r="L138" s="19"/>
      <c r="M138" s="21">
        <v>-3.1793588706922302E-4</v>
      </c>
      <c r="N138" s="19"/>
      <c r="O138" s="21">
        <v>4.30001068143062E-4</v>
      </c>
      <c r="P138" s="19"/>
      <c r="Q138" s="21">
        <v>3.73350274357544E-4</v>
      </c>
      <c r="R138" s="19"/>
      <c r="S138" s="21">
        <v>-5.6080696630857402E-5</v>
      </c>
      <c r="T138" s="19"/>
      <c r="U138" s="21">
        <v>-2.3882218664535301E-4</v>
      </c>
      <c r="V138" s="19"/>
      <c r="W138" s="21">
        <v>-3.7159168689194599E-3</v>
      </c>
      <c r="X138" s="19"/>
      <c r="Y138" s="21">
        <v>-1.5134720595004299E-4</v>
      </c>
      <c r="Z138" s="19"/>
      <c r="AA138" s="21">
        <v>-2.55688802889129E-4</v>
      </c>
      <c r="AB138" s="19"/>
      <c r="AC138" s="21">
        <v>-5.5114252913765797E-4</v>
      </c>
      <c r="AD138" s="19"/>
      <c r="AE138" s="21">
        <v>-4.7453550289017899E-4</v>
      </c>
      <c r="AF138" s="19"/>
      <c r="AG138" s="21">
        <v>-1.06700831482012E-3</v>
      </c>
      <c r="AH138" s="19"/>
      <c r="AI138" s="21">
        <v>-1.0767172860640399E-3</v>
      </c>
      <c r="AJ138" s="19"/>
      <c r="AK138" s="21">
        <v>3.8011254636612698E-4</v>
      </c>
      <c r="AL138" s="19"/>
      <c r="AM138" s="21">
        <v>8.9624759431041303E-4</v>
      </c>
      <c r="AN138" s="19"/>
      <c r="AO138" s="21">
        <v>1.81109158102325E-4</v>
      </c>
      <c r="AP138" s="19"/>
      <c r="AQ138" s="21">
        <v>1.0376391093609101E-4</v>
      </c>
      <c r="AR138" s="19"/>
      <c r="AS138" s="21">
        <v>2.04706255375485E-4</v>
      </c>
      <c r="AT138" s="19"/>
      <c r="AU138" s="21">
        <v>-7.8298948878034795E-5</v>
      </c>
      <c r="AV138" s="19"/>
      <c r="AW138" s="21">
        <v>2.26970446991642E-5</v>
      </c>
      <c r="AX138" s="19"/>
      <c r="AY138" s="21">
        <v>2.1533897695073901E-5</v>
      </c>
      <c r="AZ138" s="19"/>
      <c r="BA138" s="21">
        <v>-7.3366238251481501E-4</v>
      </c>
      <c r="BB138" s="19"/>
      <c r="BC138" s="21">
        <v>-3.85855113182589E-4</v>
      </c>
      <c r="BD138" s="19"/>
      <c r="BE138" s="21">
        <v>-3.3751598304274501E-4</v>
      </c>
      <c r="BF138" s="19"/>
      <c r="BG138" s="21"/>
      <c r="BH138" s="19"/>
    </row>
    <row r="139" spans="1:60" x14ac:dyDescent="0.15">
      <c r="A139" s="17">
        <v>2011</v>
      </c>
      <c r="B139" s="17">
        <v>4</v>
      </c>
      <c r="C139" s="21"/>
      <c r="D139" s="19"/>
      <c r="E139" s="21">
        <v>3.1155132281901901E-3</v>
      </c>
      <c r="F139" s="19"/>
      <c r="G139" s="21">
        <v>-2.2522847913500601E-5</v>
      </c>
      <c r="H139" s="19"/>
      <c r="I139" s="21">
        <v>1.5684625107683699E-5</v>
      </c>
      <c r="J139" s="19"/>
      <c r="K139" s="21">
        <v>3.0379794126676399E-4</v>
      </c>
      <c r="L139" s="19"/>
      <c r="M139" s="21">
        <v>-5.8365209506228903E-4</v>
      </c>
      <c r="N139" s="19"/>
      <c r="O139" s="21">
        <v>1.0316245377165699E-3</v>
      </c>
      <c r="P139" s="19"/>
      <c r="Q139" s="21">
        <v>6.82583768584703E-4</v>
      </c>
      <c r="R139" s="19"/>
      <c r="S139" s="21">
        <v>-1.35995193056947E-4</v>
      </c>
      <c r="T139" s="19"/>
      <c r="U139" s="21">
        <v>-8.3046461395050493E-5</v>
      </c>
      <c r="V139" s="19"/>
      <c r="W139" s="21">
        <v>1.4649394690016101E-3</v>
      </c>
      <c r="X139" s="19"/>
      <c r="Y139" s="21">
        <v>3.8632640102050802E-4</v>
      </c>
      <c r="Z139" s="19"/>
      <c r="AA139" s="21">
        <v>8.8392473358467902E-4</v>
      </c>
      <c r="AB139" s="19"/>
      <c r="AC139" s="21">
        <v>-1.6749891094857601E-4</v>
      </c>
      <c r="AD139" s="19"/>
      <c r="AE139" s="21">
        <v>6.8242577853132097E-4</v>
      </c>
      <c r="AF139" s="19"/>
      <c r="AG139" s="21">
        <v>-6.4631026289574804E-5</v>
      </c>
      <c r="AH139" s="19"/>
      <c r="AI139" s="21">
        <v>-4.1419612495882001E-4</v>
      </c>
      <c r="AJ139" s="19"/>
      <c r="AK139" s="21">
        <v>3.0076606870405498E-4</v>
      </c>
      <c r="AL139" s="19"/>
      <c r="AM139" s="21">
        <v>-1.18525417825143E-4</v>
      </c>
      <c r="AN139" s="19"/>
      <c r="AO139" s="21">
        <v>-4.3206638860930601E-5</v>
      </c>
      <c r="AP139" s="19"/>
      <c r="AQ139" s="21">
        <v>-2.4675831318596601E-4</v>
      </c>
      <c r="AR139" s="19"/>
      <c r="AS139" s="21">
        <v>5.1139986652907695E-4</v>
      </c>
      <c r="AT139" s="19"/>
      <c r="AU139" s="21">
        <v>-5.3370443268289805E-4</v>
      </c>
      <c r="AV139" s="19"/>
      <c r="AW139" s="21">
        <v>9.7468960689882405E-6</v>
      </c>
      <c r="AX139" s="19"/>
      <c r="AY139" s="21">
        <v>3.6716657573464598E-5</v>
      </c>
      <c r="AZ139" s="19"/>
      <c r="BA139" s="21">
        <v>-1.6591604244404801E-4</v>
      </c>
      <c r="BB139" s="19"/>
      <c r="BC139" s="21">
        <v>1.4615805190750799E-4</v>
      </c>
      <c r="BD139" s="19"/>
      <c r="BE139" s="21">
        <v>-3.0847721926789901E-4</v>
      </c>
      <c r="BF139" s="19"/>
      <c r="BG139" s="21"/>
      <c r="BH139" s="19"/>
    </row>
    <row r="140" spans="1:60" x14ac:dyDescent="0.15">
      <c r="A140" s="17">
        <v>2012</v>
      </c>
      <c r="B140" s="17">
        <v>1</v>
      </c>
      <c r="C140" s="21"/>
      <c r="D140" s="19"/>
      <c r="E140" s="21">
        <v>2.72769698932994E-3</v>
      </c>
      <c r="F140" s="19"/>
      <c r="G140" s="21">
        <v>-1.40180794684854E-4</v>
      </c>
      <c r="H140" s="19"/>
      <c r="I140" s="21">
        <v>4.4000435897189902E-6</v>
      </c>
      <c r="J140" s="19"/>
      <c r="K140" s="21">
        <v>-3.5917938471607801E-3</v>
      </c>
      <c r="L140" s="19"/>
      <c r="M140" s="21">
        <v>-8.6588999489118203E-4</v>
      </c>
      <c r="N140" s="19"/>
      <c r="O140" s="21">
        <v>-2.8024623683397202E-3</v>
      </c>
      <c r="P140" s="19"/>
      <c r="Q140" s="21">
        <v>3.8568033507404301E-4</v>
      </c>
      <c r="R140" s="19"/>
      <c r="S140" s="21">
        <v>-1.96932701159693E-4</v>
      </c>
      <c r="T140" s="19"/>
      <c r="U140" s="21">
        <v>3.4594591309493301E-4</v>
      </c>
      <c r="V140" s="19"/>
      <c r="W140" s="21">
        <v>4.04415353887933E-3</v>
      </c>
      <c r="X140" s="19"/>
      <c r="Y140" s="21">
        <v>7.4933197797318095E-4</v>
      </c>
      <c r="Z140" s="19"/>
      <c r="AA140" s="21">
        <v>3.8511445484415598E-4</v>
      </c>
      <c r="AB140" s="19"/>
      <c r="AC140" s="21">
        <v>-2.2475147909218501E-4</v>
      </c>
      <c r="AD140" s="19"/>
      <c r="AE140" s="21">
        <v>7.5737105681457804E-5</v>
      </c>
      <c r="AF140" s="19"/>
      <c r="AG140" s="21">
        <v>1.43117230142073E-3</v>
      </c>
      <c r="AH140" s="19"/>
      <c r="AI140" s="21">
        <v>1.0438557291617401E-3</v>
      </c>
      <c r="AJ140" s="19"/>
      <c r="AK140" s="21">
        <v>2.1718875757461401E-4</v>
      </c>
      <c r="AL140" s="19"/>
      <c r="AM140" s="21">
        <v>3.7887097733617901E-4</v>
      </c>
      <c r="AN140" s="19"/>
      <c r="AO140" s="21">
        <v>-1.3973064937829999E-6</v>
      </c>
      <c r="AP140" s="19"/>
      <c r="AQ140" s="21">
        <v>-3.72755475391345E-4</v>
      </c>
      <c r="AR140" s="19"/>
      <c r="AS140" s="21">
        <v>9.4148645714273995E-4</v>
      </c>
      <c r="AT140" s="19"/>
      <c r="AU140" s="21">
        <v>-5.0488012476215902E-4</v>
      </c>
      <c r="AV140" s="19"/>
      <c r="AW140" s="21">
        <v>-1.19294297131717E-4</v>
      </c>
      <c r="AX140" s="19"/>
      <c r="AY140" s="21">
        <v>5.2311791391773201E-5</v>
      </c>
      <c r="AZ140" s="19"/>
      <c r="BA140" s="21">
        <v>-6.03085099337094E-5</v>
      </c>
      <c r="BB140" s="19"/>
      <c r="BC140" s="21">
        <v>2.4472271659139902E-4</v>
      </c>
      <c r="BD140" s="19"/>
      <c r="BE140" s="21">
        <v>-3.12554112714437E-4</v>
      </c>
      <c r="BF140" s="19"/>
      <c r="BG140" s="21"/>
      <c r="BH140" s="19"/>
    </row>
    <row r="141" spans="1:60" x14ac:dyDescent="0.15">
      <c r="A141" s="17">
        <v>2012</v>
      </c>
      <c r="B141" s="17">
        <v>2</v>
      </c>
      <c r="C141" s="21"/>
      <c r="D141" s="19"/>
      <c r="E141" s="21">
        <v>1.35980508678616E-3</v>
      </c>
      <c r="F141" s="19"/>
      <c r="G141" s="21">
        <v>-1.04939023065971E-4</v>
      </c>
      <c r="H141" s="19"/>
      <c r="I141" s="21">
        <v>4.4323615110964601E-5</v>
      </c>
      <c r="J141" s="19"/>
      <c r="K141" s="21">
        <v>-2.6265782143499901E-3</v>
      </c>
      <c r="L141" s="19"/>
      <c r="M141" s="21">
        <v>-7.8944580534509796E-4</v>
      </c>
      <c r="N141" s="19"/>
      <c r="O141" s="21">
        <v>-1.8400720246509101E-3</v>
      </c>
      <c r="P141" s="19"/>
      <c r="Q141" s="21">
        <v>7.9875820904435306E-5</v>
      </c>
      <c r="R141" s="19"/>
      <c r="S141" s="21">
        <v>-9.8724908573001894E-5</v>
      </c>
      <c r="T141" s="19"/>
      <c r="U141" s="21">
        <v>2.7203824188736501E-4</v>
      </c>
      <c r="V141" s="19"/>
      <c r="W141" s="21">
        <v>1.9728514134006001E-3</v>
      </c>
      <c r="X141" s="19"/>
      <c r="Y141" s="21">
        <v>3.83962974032216E-5</v>
      </c>
      <c r="Z141" s="19"/>
      <c r="AA141" s="21">
        <v>-4.1224814006262599E-5</v>
      </c>
      <c r="AB141" s="19"/>
      <c r="AC141" s="21">
        <v>-1.19750741009285E-4</v>
      </c>
      <c r="AD141" s="19"/>
      <c r="AE141" s="21">
        <v>9.5817605074510604E-5</v>
      </c>
      <c r="AF141" s="19"/>
      <c r="AG141" s="21">
        <v>9.2635517928428904E-4</v>
      </c>
      <c r="AH141" s="19"/>
      <c r="AI141" s="21">
        <v>7.1908427700268201E-4</v>
      </c>
      <c r="AJ141" s="19"/>
      <c r="AK141" s="21">
        <v>4.3971788615690399E-4</v>
      </c>
      <c r="AL141" s="19"/>
      <c r="AM141" s="21">
        <v>3.2913596812603501E-6</v>
      </c>
      <c r="AN141" s="19"/>
      <c r="AO141" s="21">
        <v>2.29380459017271E-4</v>
      </c>
      <c r="AP141" s="19"/>
      <c r="AQ141" s="21">
        <v>3.9049156038361301E-5</v>
      </c>
      <c r="AR141" s="19"/>
      <c r="AS141" s="21">
        <v>9.5632619324188101E-4</v>
      </c>
      <c r="AT141" s="19"/>
      <c r="AU141" s="21">
        <v>-1.9855025460913101E-4</v>
      </c>
      <c r="AV141" s="19"/>
      <c r="AW141" s="21">
        <v>-9.2916084988687206E-5</v>
      </c>
      <c r="AX141" s="19"/>
      <c r="AY141" s="21">
        <v>3.0807504116369097E-5</v>
      </c>
      <c r="AZ141" s="19"/>
      <c r="BA141" s="21">
        <v>-1.13284918677314E-4</v>
      </c>
      <c r="BB141" s="19"/>
      <c r="BC141" s="21">
        <v>9.3820281422142296E-5</v>
      </c>
      <c r="BD141" s="19"/>
      <c r="BE141" s="21">
        <v>-2.1216926674996501E-4</v>
      </c>
      <c r="BF141" s="19"/>
      <c r="BG141" s="21"/>
      <c r="BH141" s="19"/>
    </row>
    <row r="142" spans="1:60" x14ac:dyDescent="0.15">
      <c r="A142" s="17">
        <v>2012</v>
      </c>
      <c r="B142" s="17">
        <v>3</v>
      </c>
      <c r="C142" s="21"/>
      <c r="D142" s="19"/>
      <c r="E142" s="21">
        <v>6.4271219980251999E-3</v>
      </c>
      <c r="F142" s="19"/>
      <c r="G142" s="21">
        <v>-9.4880276750122398E-5</v>
      </c>
      <c r="H142" s="19"/>
      <c r="I142" s="21">
        <v>3.2723934069864301E-5</v>
      </c>
      <c r="J142" s="19"/>
      <c r="K142" s="21">
        <v>2.4812272460601401E-4</v>
      </c>
      <c r="L142" s="19"/>
      <c r="M142" s="21">
        <v>9.1452816957336605E-4</v>
      </c>
      <c r="N142" s="19"/>
      <c r="O142" s="21">
        <v>-6.2094483678174904E-4</v>
      </c>
      <c r="P142" s="19"/>
      <c r="Q142" s="21">
        <v>9.8430059268146398E-5</v>
      </c>
      <c r="R142" s="19"/>
      <c r="S142" s="21">
        <v>-3.1005473616332498E-6</v>
      </c>
      <c r="T142" s="19"/>
      <c r="U142" s="21">
        <v>4.9766572086346202E-4</v>
      </c>
      <c r="V142" s="19"/>
      <c r="W142" s="21">
        <v>1.9609559088641999E-3</v>
      </c>
      <c r="X142" s="19"/>
      <c r="Y142" s="21">
        <v>3.6418149224658701E-4</v>
      </c>
      <c r="Z142" s="19"/>
      <c r="AA142" s="21">
        <v>4.3292875216244503E-4</v>
      </c>
      <c r="AB142" s="19"/>
      <c r="AC142" s="21">
        <v>-2.18269571509805E-4</v>
      </c>
      <c r="AD142" s="19"/>
      <c r="AE142" s="21">
        <v>3.2779538760717002E-4</v>
      </c>
      <c r="AF142" s="19"/>
      <c r="AG142" s="21">
        <v>2.3118449548445198E-3</v>
      </c>
      <c r="AH142" s="19"/>
      <c r="AI142" s="21">
        <v>1.5031271996727999E-3</v>
      </c>
      <c r="AJ142" s="19"/>
      <c r="AK142" s="21">
        <v>6.6457609869963402E-4</v>
      </c>
      <c r="AL142" s="19"/>
      <c r="AM142" s="21">
        <v>2.7181119084559302E-4</v>
      </c>
      <c r="AN142" s="19"/>
      <c r="AO142" s="21">
        <v>1.3771879790690599E-4</v>
      </c>
      <c r="AP142" s="19"/>
      <c r="AQ142" s="21">
        <v>-9.9970485991061705E-5</v>
      </c>
      <c r="AR142" s="19"/>
      <c r="AS142" s="21">
        <v>7.3481003900006904E-4</v>
      </c>
      <c r="AT142" s="19"/>
      <c r="AU142" s="21">
        <v>-2.35863401882448E-4</v>
      </c>
      <c r="AV142" s="19"/>
      <c r="AW142" s="21">
        <v>1.70064963001578E-5</v>
      </c>
      <c r="AX142" s="19"/>
      <c r="AY142" s="21">
        <v>8.2051210521121702E-6</v>
      </c>
      <c r="AZ142" s="19"/>
      <c r="BA142" s="21">
        <v>4.5158480058955001E-5</v>
      </c>
      <c r="BB142" s="19"/>
      <c r="BC142" s="21">
        <v>2.08430386776051E-4</v>
      </c>
      <c r="BD142" s="19"/>
      <c r="BE142" s="21">
        <v>-1.6876766466581699E-4</v>
      </c>
      <c r="BF142" s="19"/>
      <c r="BG142" s="21"/>
      <c r="BH142" s="19"/>
    </row>
    <row r="143" spans="1:60" x14ac:dyDescent="0.15">
      <c r="A143" s="17">
        <v>2012</v>
      </c>
      <c r="B143" s="17">
        <v>4</v>
      </c>
      <c r="C143" s="21"/>
      <c r="D143" s="19"/>
      <c r="E143" s="21">
        <v>3.4339430328378601E-3</v>
      </c>
      <c r="F143" s="19"/>
      <c r="G143" s="21">
        <v>-1.3917879541606599E-4</v>
      </c>
      <c r="H143" s="19"/>
      <c r="I143" s="21">
        <v>-1.53683960842812E-6</v>
      </c>
      <c r="J143" s="19"/>
      <c r="K143" s="21">
        <v>5.0625197176537497E-4</v>
      </c>
      <c r="L143" s="19"/>
      <c r="M143" s="21">
        <v>1.50173384256615E-3</v>
      </c>
      <c r="N143" s="19"/>
      <c r="O143" s="21">
        <v>-9.12683882808692E-4</v>
      </c>
      <c r="P143" s="19"/>
      <c r="Q143" s="21">
        <v>2.8901491894888198E-4</v>
      </c>
      <c r="R143" s="19"/>
      <c r="S143" s="21">
        <v>4.2835802540990497E-5</v>
      </c>
      <c r="T143" s="19"/>
      <c r="U143" s="21">
        <v>2.43792426347705E-4</v>
      </c>
      <c r="V143" s="19"/>
      <c r="W143" s="21">
        <v>3.49752583538814E-4</v>
      </c>
      <c r="X143" s="19"/>
      <c r="Y143" s="21">
        <v>5.9732065957994502E-5</v>
      </c>
      <c r="Z143" s="19"/>
      <c r="AA143" s="21">
        <v>-5.6132061026431296E-4</v>
      </c>
      <c r="AB143" s="19"/>
      <c r="AC143" s="21">
        <v>2.8859801619280598E-4</v>
      </c>
      <c r="AD143" s="19"/>
      <c r="AE143" s="21">
        <v>2.8382588789161502E-4</v>
      </c>
      <c r="AF143" s="19"/>
      <c r="AG143" s="21">
        <v>1.14250282454195E-3</v>
      </c>
      <c r="AH143" s="19"/>
      <c r="AI143" s="21">
        <v>1.81869195211579E-4</v>
      </c>
      <c r="AJ143" s="19"/>
      <c r="AK143" s="21">
        <v>8.8821166154688799E-4</v>
      </c>
      <c r="AL143" s="19"/>
      <c r="AM143" s="21">
        <v>2.00000268812175E-4</v>
      </c>
      <c r="AN143" s="19"/>
      <c r="AO143" s="21">
        <v>-2.4827690891766101E-5</v>
      </c>
      <c r="AP143" s="19"/>
      <c r="AQ143" s="21">
        <v>-6.6886355479281004E-5</v>
      </c>
      <c r="AR143" s="19"/>
      <c r="AS143" s="21">
        <v>9.7523968459268997E-4</v>
      </c>
      <c r="AT143" s="19"/>
      <c r="AU143" s="21">
        <v>-1.6968746030189099E-4</v>
      </c>
      <c r="AV143" s="19"/>
      <c r="AW143" s="21">
        <v>6.4840511875659693E-5</v>
      </c>
      <c r="AX143" s="19"/>
      <c r="AY143" s="21">
        <v>-2.3666458803522301E-5</v>
      </c>
      <c r="AZ143" s="19"/>
      <c r="BA143" s="21">
        <v>-1.92106187175613E-4</v>
      </c>
      <c r="BB143" s="19"/>
      <c r="BC143" s="21">
        <v>-7.5044058079340404E-5</v>
      </c>
      <c r="BD143" s="19"/>
      <c r="BE143" s="21">
        <v>-1.3087575045920999E-4</v>
      </c>
      <c r="BF143" s="19"/>
      <c r="BG143" s="21"/>
      <c r="BH143" s="19"/>
    </row>
    <row r="144" spans="1:60" x14ac:dyDescent="0.15">
      <c r="A144" s="17">
        <v>2013</v>
      </c>
      <c r="B144" s="17">
        <v>1</v>
      </c>
      <c r="C144" s="21"/>
      <c r="D144" s="19"/>
      <c r="E144" s="21">
        <v>5.3551413983225398E-3</v>
      </c>
      <c r="F144" s="19"/>
      <c r="G144" s="21">
        <v>-2.5055108596040601E-4</v>
      </c>
      <c r="H144" s="19"/>
      <c r="I144" s="21">
        <v>-1.31555713072352E-5</v>
      </c>
      <c r="J144" s="19"/>
      <c r="K144" s="21">
        <v>1.0260069213816399E-3</v>
      </c>
      <c r="L144" s="19"/>
      <c r="M144" s="21">
        <v>8.9579933717329001E-4</v>
      </c>
      <c r="N144" s="19"/>
      <c r="O144" s="21">
        <v>6.2595138983967096E-5</v>
      </c>
      <c r="P144" s="19"/>
      <c r="Q144" s="21">
        <v>5.4174135769330303E-4</v>
      </c>
      <c r="R144" s="19"/>
      <c r="S144" s="21">
        <v>1.72533390657952E-4</v>
      </c>
      <c r="T144" s="19"/>
      <c r="U144" s="21">
        <v>-1.58385277626743E-4</v>
      </c>
      <c r="V144" s="19"/>
      <c r="W144" s="21">
        <v>-5.6075413235814702E-4</v>
      </c>
      <c r="X144" s="19"/>
      <c r="Y144" s="21">
        <v>2.5563809748826999E-4</v>
      </c>
      <c r="Z144" s="19"/>
      <c r="AA144" s="21">
        <v>-1.10928653775558E-3</v>
      </c>
      <c r="AB144" s="19"/>
      <c r="AC144" s="21">
        <v>7.2022701931990095E-5</v>
      </c>
      <c r="AD144" s="19"/>
      <c r="AE144" s="21">
        <v>8.6996580561938901E-4</v>
      </c>
      <c r="AF144" s="19"/>
      <c r="AG144" s="21">
        <v>3.1532910656349401E-3</v>
      </c>
      <c r="AH144" s="19"/>
      <c r="AI144" s="21">
        <v>1.77871209445878E-3</v>
      </c>
      <c r="AJ144" s="19"/>
      <c r="AK144" s="21">
        <v>1.12026872604026E-3</v>
      </c>
      <c r="AL144" s="19"/>
      <c r="AM144" s="21">
        <v>2.7081036366109301E-4</v>
      </c>
      <c r="AN144" s="19"/>
      <c r="AO144" s="21">
        <v>2.32506074561824E-4</v>
      </c>
      <c r="AP144" s="19"/>
      <c r="AQ144" s="21">
        <v>1.7409896177518399E-4</v>
      </c>
      <c r="AR144" s="19"/>
      <c r="AS144" s="21">
        <v>7.0312121976924601E-4</v>
      </c>
      <c r="AT144" s="19"/>
      <c r="AU144" s="21">
        <v>1.13246329371042E-4</v>
      </c>
      <c r="AV144" s="19"/>
      <c r="AW144" s="21">
        <v>1.17119312350804E-4</v>
      </c>
      <c r="AX144" s="19"/>
      <c r="AY144" s="21">
        <v>-4.9449027176788998E-5</v>
      </c>
      <c r="AZ144" s="19"/>
      <c r="BA144" s="21">
        <v>1.1053066763270001E-4</v>
      </c>
      <c r="BB144" s="19"/>
      <c r="BC144" s="21">
        <v>-6.8187150114848398E-5</v>
      </c>
      <c r="BD144" s="19"/>
      <c r="BE144" s="21">
        <v>1.9276086120686601E-4</v>
      </c>
      <c r="BF144" s="19"/>
      <c r="BG144" s="21"/>
      <c r="BH144" s="19"/>
    </row>
    <row r="145" spans="1:60" x14ac:dyDescent="0.15">
      <c r="A145" s="17">
        <v>2013</v>
      </c>
      <c r="B145" s="17">
        <v>2</v>
      </c>
      <c r="C145" s="21"/>
      <c r="D145" s="19"/>
      <c r="E145" s="21">
        <v>6.3065830440870796E-3</v>
      </c>
      <c r="F145" s="19"/>
      <c r="G145" s="21">
        <v>-7.0651946559622796E-5</v>
      </c>
      <c r="H145" s="19"/>
      <c r="I145" s="21">
        <v>2.51604919053125E-5</v>
      </c>
      <c r="J145" s="19"/>
      <c r="K145" s="21">
        <v>2.4175338237285402E-3</v>
      </c>
      <c r="L145" s="19"/>
      <c r="M145" s="21">
        <v>1.3563065008094499E-3</v>
      </c>
      <c r="N145" s="19"/>
      <c r="O145" s="21">
        <v>1.05416685442946E-3</v>
      </c>
      <c r="P145" s="19"/>
      <c r="Q145" s="21">
        <v>-8.3371380891016599E-4</v>
      </c>
      <c r="R145" s="19"/>
      <c r="S145" s="21">
        <v>1.8503410452053799E-4</v>
      </c>
      <c r="T145" s="19"/>
      <c r="U145" s="21">
        <v>5.1321733552550999E-4</v>
      </c>
      <c r="V145" s="19"/>
      <c r="W145" s="21">
        <v>2.03964969079915E-4</v>
      </c>
      <c r="X145" s="19"/>
      <c r="Y145" s="21">
        <v>4.6285536549781699E-4</v>
      </c>
      <c r="Z145" s="19"/>
      <c r="AA145" s="21">
        <v>-3.3602189729930001E-4</v>
      </c>
      <c r="AB145" s="19"/>
      <c r="AC145" s="21">
        <v>1.8558186361016901E-4</v>
      </c>
      <c r="AD145" s="19"/>
      <c r="AE145" s="21">
        <v>-1.5963804023799599E-4</v>
      </c>
      <c r="AF145" s="19"/>
      <c r="AG145" s="21">
        <v>1.8186523870244299E-3</v>
      </c>
      <c r="AH145" s="19"/>
      <c r="AI145" s="21">
        <v>1.00406637270371E-3</v>
      </c>
      <c r="AJ145" s="19"/>
      <c r="AK145" s="21">
        <v>7.1407000090259497E-4</v>
      </c>
      <c r="AL145" s="19"/>
      <c r="AM145" s="21">
        <v>6.7959785047948002E-4</v>
      </c>
      <c r="AN145" s="19"/>
      <c r="AO145" s="21">
        <v>2.6505847389830399E-4</v>
      </c>
      <c r="AP145" s="19"/>
      <c r="AQ145" s="21">
        <v>7.7956204670828595E-5</v>
      </c>
      <c r="AR145" s="19"/>
      <c r="AS145" s="21">
        <v>9.19133831930554E-4</v>
      </c>
      <c r="AT145" s="19"/>
      <c r="AU145" s="21">
        <v>3.1274711285164903E-4</v>
      </c>
      <c r="AV145" s="19"/>
      <c r="AW145" s="21">
        <v>8.9963977117307197E-5</v>
      </c>
      <c r="AX145" s="19"/>
      <c r="AY145" s="21">
        <v>-2.2052317507052501E-5</v>
      </c>
      <c r="AZ145" s="19"/>
      <c r="BA145" s="21">
        <v>2.1475386247736799E-4</v>
      </c>
      <c r="BB145" s="19"/>
      <c r="BC145" s="21">
        <v>1.35083458189212E-4</v>
      </c>
      <c r="BD145" s="19"/>
      <c r="BE145" s="21">
        <v>8.0309318357643802E-5</v>
      </c>
      <c r="BF145" s="19"/>
      <c r="BG145" s="21"/>
      <c r="BH145" s="19"/>
    </row>
    <row r="146" spans="1:60" x14ac:dyDescent="0.15">
      <c r="A146" s="17">
        <v>2013</v>
      </c>
      <c r="B146" s="17">
        <v>3</v>
      </c>
      <c r="C146" s="21"/>
      <c r="D146" s="19"/>
      <c r="E146" s="21">
        <v>7.5933440686243399E-3</v>
      </c>
      <c r="F146" s="19"/>
      <c r="G146" s="21">
        <v>5.1810280739085997E-5</v>
      </c>
      <c r="H146" s="19"/>
      <c r="I146" s="21">
        <v>7.8346327321078595E-6</v>
      </c>
      <c r="J146" s="19"/>
      <c r="K146" s="21">
        <v>3.4344354700422599E-3</v>
      </c>
      <c r="L146" s="19"/>
      <c r="M146" s="21">
        <v>3.86671997389441E-4</v>
      </c>
      <c r="N146" s="19"/>
      <c r="O146" s="21">
        <v>3.0647681605799398E-3</v>
      </c>
      <c r="P146" s="19"/>
      <c r="Q146" s="21">
        <v>-5.4578397625267298E-4</v>
      </c>
      <c r="R146" s="19"/>
      <c r="S146" s="21">
        <v>1.14409523367052E-4</v>
      </c>
      <c r="T146" s="19"/>
      <c r="U146" s="21">
        <v>9.3348850633755994E-5</v>
      </c>
      <c r="V146" s="19"/>
      <c r="W146" s="21">
        <v>1.5417810735922799E-3</v>
      </c>
      <c r="X146" s="19"/>
      <c r="Y146" s="21">
        <v>3.2908630479316301E-4</v>
      </c>
      <c r="Z146" s="19"/>
      <c r="AA146" s="21">
        <v>6.8750530058146603E-5</v>
      </c>
      <c r="AB146" s="19"/>
      <c r="AC146" s="21">
        <v>1.4953492329767599E-4</v>
      </c>
      <c r="AD146" s="19"/>
      <c r="AE146" s="21">
        <v>-2.20862127150581E-4</v>
      </c>
      <c r="AF146" s="19"/>
      <c r="AG146" s="21">
        <v>2.2425356056333899E-4</v>
      </c>
      <c r="AH146" s="19"/>
      <c r="AI146" s="21">
        <v>-9.3692451986868597E-5</v>
      </c>
      <c r="AJ146" s="19"/>
      <c r="AK146" s="21">
        <v>3.3949473821151901E-4</v>
      </c>
      <c r="AL146" s="19"/>
      <c r="AM146" s="21">
        <v>1.0608511343824299E-3</v>
      </c>
      <c r="AN146" s="19"/>
      <c r="AO146" s="21">
        <v>4.9824578757019301E-4</v>
      </c>
      <c r="AP146" s="19"/>
      <c r="AQ146" s="21">
        <v>5.7222597627192202E-4</v>
      </c>
      <c r="AR146" s="19"/>
      <c r="AS146" s="21">
        <v>3.7974208581578701E-4</v>
      </c>
      <c r="AT146" s="19"/>
      <c r="AU146" s="21">
        <v>2.18576228519019E-4</v>
      </c>
      <c r="AV146" s="19"/>
      <c r="AW146" s="21">
        <v>-5.9913150075615503E-5</v>
      </c>
      <c r="AX146" s="19"/>
      <c r="AY146" s="21">
        <v>3.4012121514509399E-6</v>
      </c>
      <c r="AZ146" s="19"/>
      <c r="BA146" s="21">
        <v>1.00330817013871E-4</v>
      </c>
      <c r="BB146" s="19"/>
      <c r="BC146" s="21">
        <v>9.8403878732333995E-5</v>
      </c>
      <c r="BD146" s="19"/>
      <c r="BE146" s="21">
        <v>1.7704110475094501E-6</v>
      </c>
      <c r="BF146" s="19"/>
      <c r="BG146" s="21"/>
      <c r="BH146" s="19"/>
    </row>
    <row r="147" spans="1:60" x14ac:dyDescent="0.15">
      <c r="A147" s="17">
        <v>2013</v>
      </c>
      <c r="B147" s="17">
        <v>4</v>
      </c>
      <c r="C147" s="21"/>
      <c r="D147" s="19"/>
      <c r="E147" s="21">
        <v>1.71195904814448E-3</v>
      </c>
      <c r="F147" s="19"/>
      <c r="G147" s="21">
        <v>1.92356410260369E-4</v>
      </c>
      <c r="H147" s="19"/>
      <c r="I147" s="21">
        <v>-1.12033493027298E-5</v>
      </c>
      <c r="J147" s="19"/>
      <c r="K147" s="21">
        <v>-1.0133024914490199E-3</v>
      </c>
      <c r="L147" s="19"/>
      <c r="M147" s="21">
        <v>-4.4323257494569397E-4</v>
      </c>
      <c r="N147" s="19"/>
      <c r="O147" s="21">
        <v>-5.6488906082561002E-4</v>
      </c>
      <c r="P147" s="19"/>
      <c r="Q147" s="21">
        <v>2.8218819104852298E-4</v>
      </c>
      <c r="R147" s="19"/>
      <c r="S147" s="21">
        <v>4.5742861622356298E-5</v>
      </c>
      <c r="T147" s="19"/>
      <c r="U147" s="21">
        <v>3.4117383654171302E-4</v>
      </c>
      <c r="V147" s="19"/>
      <c r="W147" s="21">
        <v>6.14247679292098E-4</v>
      </c>
      <c r="X147" s="19"/>
      <c r="Y147" s="21">
        <v>4.4055365170045401E-4</v>
      </c>
      <c r="Z147" s="19"/>
      <c r="AA147" s="21">
        <v>-9.7728447599180495E-5</v>
      </c>
      <c r="AB147" s="19"/>
      <c r="AC147" s="21">
        <v>-7.2456120571747003E-5</v>
      </c>
      <c r="AD147" s="19"/>
      <c r="AE147" s="21">
        <v>-5.7572608621737599E-5</v>
      </c>
      <c r="AF147" s="19"/>
      <c r="AG147" s="21">
        <v>-6.81851208536332E-4</v>
      </c>
      <c r="AH147" s="19"/>
      <c r="AI147" s="21">
        <v>-6.7616710241067996E-4</v>
      </c>
      <c r="AJ147" s="19"/>
      <c r="AK147" s="21">
        <v>-1.43315418921668E-5</v>
      </c>
      <c r="AL147" s="19"/>
      <c r="AM147" s="21">
        <v>6.27961783544062E-4</v>
      </c>
      <c r="AN147" s="19"/>
      <c r="AO147" s="21">
        <v>2.39961343762497E-4</v>
      </c>
      <c r="AP147" s="19"/>
      <c r="AQ147" s="21">
        <v>-6.9458755714891703E-6</v>
      </c>
      <c r="AR147" s="19"/>
      <c r="AS147" s="21">
        <v>8.7255417409770803E-4</v>
      </c>
      <c r="AT147" s="19"/>
      <c r="AU147" s="21">
        <v>4.94279155695443E-4</v>
      </c>
      <c r="AV147" s="19"/>
      <c r="AW147" s="21">
        <v>1.9923289681002798E-6</v>
      </c>
      <c r="AX147" s="19"/>
      <c r="AY147" s="21">
        <v>2.17185989950098E-5</v>
      </c>
      <c r="AZ147" s="19"/>
      <c r="BA147" s="21">
        <v>9.3613489282122305E-5</v>
      </c>
      <c r="BB147" s="19"/>
      <c r="BC147" s="21">
        <v>3.9446104625408497E-5</v>
      </c>
      <c r="BD147" s="19"/>
      <c r="BE147" s="21">
        <v>5.4151776856999198E-5</v>
      </c>
      <c r="BF147" s="19"/>
      <c r="BG147" s="21"/>
      <c r="BH147" s="19"/>
    </row>
    <row r="148" spans="1:60" x14ac:dyDescent="0.15">
      <c r="A148" s="17">
        <v>2014</v>
      </c>
      <c r="B148" s="17">
        <v>1</v>
      </c>
      <c r="C148" s="21"/>
      <c r="D148" s="19"/>
      <c r="E148" s="21">
        <v>4.8685093653155799E-3</v>
      </c>
      <c r="F148" s="19"/>
      <c r="G148" s="21">
        <v>4.7951400368194001E-4</v>
      </c>
      <c r="H148" s="19"/>
      <c r="I148" s="21">
        <v>-8.5285031087950594E-6</v>
      </c>
      <c r="J148" s="19"/>
      <c r="K148" s="21">
        <v>1.4182879282535101E-4</v>
      </c>
      <c r="L148" s="19"/>
      <c r="M148" s="21">
        <v>-1.8964159275171701E-4</v>
      </c>
      <c r="N148" s="19"/>
      <c r="O148" s="21">
        <v>3.2687412938191301E-4</v>
      </c>
      <c r="P148" s="19"/>
      <c r="Q148" s="21">
        <v>-1.6213769014017899E-3</v>
      </c>
      <c r="R148" s="19"/>
      <c r="S148" s="21">
        <v>7.9083587630293005E-5</v>
      </c>
      <c r="T148" s="19"/>
      <c r="U148" s="21">
        <v>3.1183668051202798E-4</v>
      </c>
      <c r="V148" s="19"/>
      <c r="W148" s="21">
        <v>1.0849556943183401E-3</v>
      </c>
      <c r="X148" s="19"/>
      <c r="Y148" s="21">
        <v>3.9459965913672E-5</v>
      </c>
      <c r="Z148" s="19"/>
      <c r="AA148" s="21">
        <v>1.36483163558696E-3</v>
      </c>
      <c r="AB148" s="19"/>
      <c r="AC148" s="21">
        <v>1.03647891778639E-4</v>
      </c>
      <c r="AD148" s="19"/>
      <c r="AE148" s="21">
        <v>5.1711894675664498E-4</v>
      </c>
      <c r="AF148" s="19"/>
      <c r="AG148" s="21">
        <v>-6.9918165234508496E-4</v>
      </c>
      <c r="AH148" s="19"/>
      <c r="AI148" s="21">
        <v>-3.0774997982874799E-4</v>
      </c>
      <c r="AJ148" s="19"/>
      <c r="AK148" s="21">
        <v>-3.5947436855999099E-4</v>
      </c>
      <c r="AL148" s="19"/>
      <c r="AM148" s="21">
        <v>1.3243020318298201E-3</v>
      </c>
      <c r="AN148" s="19"/>
      <c r="AO148" s="21">
        <v>4.0521678919464098E-5</v>
      </c>
      <c r="AP148" s="19"/>
      <c r="AQ148" s="21">
        <v>3.1804959308652899E-4</v>
      </c>
      <c r="AR148" s="19"/>
      <c r="AS148" s="21">
        <v>9.2851123004907801E-4</v>
      </c>
      <c r="AT148" s="19"/>
      <c r="AU148" s="21">
        <v>5.8025572466277001E-4</v>
      </c>
      <c r="AV148" s="19"/>
      <c r="AW148" s="21">
        <v>-1.6886559513600699E-4</v>
      </c>
      <c r="AX148" s="19"/>
      <c r="AY148" s="21">
        <v>4.3807671451403703E-5</v>
      </c>
      <c r="AZ148" s="19"/>
      <c r="BA148" s="21">
        <v>1.83150005391408E-4</v>
      </c>
      <c r="BB148" s="19"/>
      <c r="BC148" s="21">
        <v>1.3497858750327E-4</v>
      </c>
      <c r="BD148" s="19"/>
      <c r="BE148" s="21">
        <v>4.8405858833987402E-5</v>
      </c>
      <c r="BF148" s="19"/>
      <c r="BG148" s="21"/>
      <c r="BH148" s="19"/>
    </row>
    <row r="149" spans="1:60" x14ac:dyDescent="0.15">
      <c r="A149" s="17">
        <v>2014</v>
      </c>
      <c r="B149" s="17">
        <v>2</v>
      </c>
      <c r="C149" s="21"/>
      <c r="D149" s="19"/>
      <c r="E149" s="21">
        <v>6.6161761416037596E-3</v>
      </c>
      <c r="F149" s="19"/>
      <c r="G149" s="21">
        <v>1.71845908551542E-4</v>
      </c>
      <c r="H149" s="19"/>
      <c r="I149" s="21">
        <v>-4.0884331827064798E-5</v>
      </c>
      <c r="J149" s="19"/>
      <c r="K149" s="21">
        <v>1.5265276651635999E-3</v>
      </c>
      <c r="L149" s="19"/>
      <c r="M149" s="21">
        <v>1.0643974524102099E-3</v>
      </c>
      <c r="N149" s="19"/>
      <c r="O149" s="21">
        <v>4.6442716799767898E-4</v>
      </c>
      <c r="P149" s="19"/>
      <c r="Q149" s="21">
        <v>-6.2354680605713304E-4</v>
      </c>
      <c r="R149" s="19"/>
      <c r="S149" s="21">
        <v>7.96523933708173E-5</v>
      </c>
      <c r="T149" s="19"/>
      <c r="U149" s="21">
        <v>1.2838391675302799E-4</v>
      </c>
      <c r="V149" s="19"/>
      <c r="W149" s="21">
        <v>2.6857450471193399E-3</v>
      </c>
      <c r="X149" s="19"/>
      <c r="Y149" s="21">
        <v>1.08582295335744E-5</v>
      </c>
      <c r="Z149" s="19"/>
      <c r="AA149" s="21">
        <v>-1.19771466415096E-4</v>
      </c>
      <c r="AB149" s="19"/>
      <c r="AC149" s="21">
        <v>-1.9564845604198199E-4</v>
      </c>
      <c r="AD149" s="19"/>
      <c r="AE149" s="21">
        <v>1.01349519193298E-3</v>
      </c>
      <c r="AF149" s="19"/>
      <c r="AG149" s="21">
        <v>-2.10857335569076E-4</v>
      </c>
      <c r="AH149" s="19"/>
      <c r="AI149" s="21">
        <v>-8.3204794579859196E-5</v>
      </c>
      <c r="AJ149" s="19"/>
      <c r="AK149" s="21">
        <v>-9.4305249714293296E-5</v>
      </c>
      <c r="AL149" s="19"/>
      <c r="AM149" s="21">
        <v>1.3525943476478299E-3</v>
      </c>
      <c r="AN149" s="19"/>
      <c r="AO149" s="21">
        <v>2.3178728531150999E-4</v>
      </c>
      <c r="AP149" s="19"/>
      <c r="AQ149" s="21">
        <v>2.1891497747265299E-4</v>
      </c>
      <c r="AR149" s="19"/>
      <c r="AS149" s="21">
        <v>3.13594228957795E-6</v>
      </c>
      <c r="AT149" s="19"/>
      <c r="AU149" s="21">
        <v>2.755617166645E-4</v>
      </c>
      <c r="AV149" s="19"/>
      <c r="AW149" s="21">
        <v>1.28160822061115E-4</v>
      </c>
      <c r="AX149" s="19"/>
      <c r="AY149" s="21">
        <v>3.60909628139882E-5</v>
      </c>
      <c r="AZ149" s="19"/>
      <c r="BA149" s="21">
        <v>1.9145972749887001E-4</v>
      </c>
      <c r="BB149" s="19"/>
      <c r="BC149" s="21">
        <v>2.13529339486741E-4</v>
      </c>
      <c r="BD149" s="19"/>
      <c r="BE149" s="21">
        <v>-2.1750891204126999E-5</v>
      </c>
      <c r="BF149" s="19"/>
      <c r="BG149" s="21"/>
      <c r="BH149" s="19"/>
    </row>
    <row r="150" spans="1:60" x14ac:dyDescent="0.15">
      <c r="A150" s="17">
        <v>2014</v>
      </c>
      <c r="B150" s="17">
        <v>3</v>
      </c>
      <c r="C150" s="21"/>
      <c r="D150" s="19"/>
      <c r="E150" s="21">
        <v>7.3825646199144803E-3</v>
      </c>
      <c r="F150" s="19"/>
      <c r="G150" s="21">
        <v>-1.30805491156383E-7</v>
      </c>
      <c r="H150" s="19"/>
      <c r="I150" s="21">
        <v>-3.7953053096234597E-5</v>
      </c>
      <c r="J150" s="19"/>
      <c r="K150" s="21">
        <v>1.9423173025055101E-3</v>
      </c>
      <c r="L150" s="19"/>
      <c r="M150" s="21">
        <v>2.0404448407395801E-3</v>
      </c>
      <c r="N150" s="19"/>
      <c r="O150" s="21">
        <v>-9.8502685263810905E-5</v>
      </c>
      <c r="P150" s="19"/>
      <c r="Q150" s="21">
        <v>-1.8675123666124E-4</v>
      </c>
      <c r="R150" s="19"/>
      <c r="S150" s="21">
        <v>5.93784140564767E-5</v>
      </c>
      <c r="T150" s="19"/>
      <c r="U150" s="21">
        <v>1.5440206786162901E-5</v>
      </c>
      <c r="V150" s="19"/>
      <c r="W150" s="21">
        <v>2.1557253112716801E-3</v>
      </c>
      <c r="X150" s="19"/>
      <c r="Y150" s="21">
        <v>-1.00341024285017E-4</v>
      </c>
      <c r="Z150" s="19"/>
      <c r="AA150" s="21">
        <v>1.5569278236530501E-5</v>
      </c>
      <c r="AB150" s="19"/>
      <c r="AC150" s="21">
        <v>1.3611288112371899E-4</v>
      </c>
      <c r="AD150" s="19"/>
      <c r="AE150" s="21">
        <v>1.79214612236652E-4</v>
      </c>
      <c r="AF150" s="19"/>
      <c r="AG150" s="21">
        <v>7.5676473250679301E-4</v>
      </c>
      <c r="AH150" s="19"/>
      <c r="AI150" s="21">
        <v>6.2167250366183097E-4</v>
      </c>
      <c r="AJ150" s="19"/>
      <c r="AK150" s="21">
        <v>1.5116798859532199E-4</v>
      </c>
      <c r="AL150" s="19"/>
      <c r="AM150" s="21">
        <v>1.1090319582527999E-3</v>
      </c>
      <c r="AN150" s="19"/>
      <c r="AO150" s="21">
        <v>2.3198382930518399E-4</v>
      </c>
      <c r="AP150" s="19"/>
      <c r="AQ150" s="21">
        <v>1.8136839897876501E-4</v>
      </c>
      <c r="AR150" s="19"/>
      <c r="AS150" s="21">
        <v>1.0398248006338001E-3</v>
      </c>
      <c r="AT150" s="19"/>
      <c r="AU150" s="21">
        <v>-1.2041788515139001E-4</v>
      </c>
      <c r="AV150" s="19"/>
      <c r="AW150" s="21">
        <v>-1.5650821055947101E-4</v>
      </c>
      <c r="AX150" s="19"/>
      <c r="AY150" s="21">
        <v>3.1614612821933003E-5</v>
      </c>
      <c r="AZ150" s="19"/>
      <c r="BA150" s="21">
        <v>1.8247435029633801E-4</v>
      </c>
      <c r="BB150" s="19"/>
      <c r="BC150" s="21">
        <v>3.2115025556678201E-4</v>
      </c>
      <c r="BD150" s="19"/>
      <c r="BE150" s="21">
        <v>-1.3876029472803701E-4</v>
      </c>
      <c r="BF150" s="19"/>
      <c r="BG150" s="21"/>
      <c r="BH150" s="19"/>
    </row>
    <row r="151" spans="1:60" x14ac:dyDescent="0.15">
      <c r="A151" s="17">
        <v>2014</v>
      </c>
      <c r="B151" s="17">
        <v>4</v>
      </c>
      <c r="C151" s="21"/>
      <c r="D151" s="19"/>
      <c r="E151" s="21">
        <v>7.7418572689975304E-3</v>
      </c>
      <c r="F151" s="19"/>
      <c r="G151" s="21">
        <v>-1.5065897729141901E-4</v>
      </c>
      <c r="H151" s="19"/>
      <c r="I151" s="21">
        <v>-5.6899048144207098E-5</v>
      </c>
      <c r="J151" s="19"/>
      <c r="K151" s="21">
        <v>5.6830576893604501E-4</v>
      </c>
      <c r="L151" s="19"/>
      <c r="M151" s="21">
        <v>1.68991616518185E-3</v>
      </c>
      <c r="N151" s="19"/>
      <c r="O151" s="21">
        <v>-1.17679306412106E-3</v>
      </c>
      <c r="P151" s="19"/>
      <c r="Q151" s="21">
        <v>7.9196515927500404E-4</v>
      </c>
      <c r="R151" s="19"/>
      <c r="S151" s="21">
        <v>1.3630521161057699E-4</v>
      </c>
      <c r="T151" s="19"/>
      <c r="U151" s="21">
        <v>-3.81678378439511E-4</v>
      </c>
      <c r="V151" s="19"/>
      <c r="W151" s="21">
        <v>4.6534490449540201E-3</v>
      </c>
      <c r="X151" s="19"/>
      <c r="Y151" s="21">
        <v>1.9885038459427099E-4</v>
      </c>
      <c r="Z151" s="19"/>
      <c r="AA151" s="21">
        <v>-5.28131209954805E-4</v>
      </c>
      <c r="AB151" s="19"/>
      <c r="AC151" s="21">
        <v>-1.2986049016448499E-4</v>
      </c>
      <c r="AD151" s="19"/>
      <c r="AE151" s="21">
        <v>-4.3887594217200798E-4</v>
      </c>
      <c r="AF151" s="19"/>
      <c r="AG151" s="21">
        <v>1.35217737992126E-3</v>
      </c>
      <c r="AH151" s="19"/>
      <c r="AI151" s="21">
        <v>9.48449901805976E-4</v>
      </c>
      <c r="AJ151" s="19"/>
      <c r="AK151" s="21">
        <v>3.8606284415064799E-4</v>
      </c>
      <c r="AL151" s="19"/>
      <c r="AM151" s="21">
        <v>6.0770316224198397E-4</v>
      </c>
      <c r="AN151" s="19"/>
      <c r="AO151" s="21">
        <v>5.1925090181978201E-4</v>
      </c>
      <c r="AP151" s="19"/>
      <c r="AQ151" s="21">
        <v>2.2537666996268299E-4</v>
      </c>
      <c r="AR151" s="19"/>
      <c r="AS151" s="21">
        <v>1.10680403307452E-3</v>
      </c>
      <c r="AT151" s="19"/>
      <c r="AU151" s="21">
        <v>-6.7424136015664497E-4</v>
      </c>
      <c r="AV151" s="19"/>
      <c r="AW151" s="21">
        <v>-5.6749937872737197E-5</v>
      </c>
      <c r="AX151" s="19"/>
      <c r="AY151" s="21">
        <v>2.4908503444525098E-5</v>
      </c>
      <c r="AZ151" s="19"/>
      <c r="BA151" s="21">
        <v>2.7129249814323198E-4</v>
      </c>
      <c r="BB151" s="19"/>
      <c r="BC151" s="21">
        <v>4.35771202589152E-4</v>
      </c>
      <c r="BD151" s="19"/>
      <c r="BE151" s="21">
        <v>-1.64423636900527E-4</v>
      </c>
      <c r="BF151" s="19"/>
      <c r="BG151" s="21"/>
      <c r="BH151" s="19"/>
    </row>
    <row r="152" spans="1:60" x14ac:dyDescent="0.15">
      <c r="A152" s="17">
        <v>2015</v>
      </c>
      <c r="B152" s="17">
        <v>1</v>
      </c>
      <c r="C152" s="21"/>
      <c r="D152" s="19"/>
      <c r="E152" s="21">
        <v>-1.5397109109108801E-3</v>
      </c>
      <c r="F152" s="19"/>
      <c r="G152" s="21">
        <v>-4.1647187694199598E-4</v>
      </c>
      <c r="H152" s="19"/>
      <c r="I152" s="21">
        <v>-7.8917242297797606E-5</v>
      </c>
      <c r="J152" s="19"/>
      <c r="K152" s="21">
        <v>-2.80053456985344E-3</v>
      </c>
      <c r="L152" s="19"/>
      <c r="M152" s="21">
        <v>1.9474398065170799E-3</v>
      </c>
      <c r="N152" s="19"/>
      <c r="O152" s="21">
        <v>-4.8015986430257297E-3</v>
      </c>
      <c r="P152" s="19"/>
      <c r="Q152" s="21">
        <v>-2.47552489088946E-4</v>
      </c>
      <c r="R152" s="19"/>
      <c r="S152" s="21">
        <v>3.1410553959380298E-4</v>
      </c>
      <c r="T152" s="19"/>
      <c r="U152" s="21">
        <v>9.3317102887684105E-5</v>
      </c>
      <c r="V152" s="19"/>
      <c r="W152" s="21">
        <v>2.3148782775396499E-3</v>
      </c>
      <c r="X152" s="19"/>
      <c r="Y152" s="21">
        <v>-1.26858524976979E-4</v>
      </c>
      <c r="Z152" s="19"/>
      <c r="AA152" s="21">
        <v>-1.8392489440575101E-4</v>
      </c>
      <c r="AB152" s="19"/>
      <c r="AC152" s="21">
        <v>-3.6419689661562903E-4</v>
      </c>
      <c r="AD152" s="19"/>
      <c r="AE152" s="21">
        <v>-1.95150764924677E-5</v>
      </c>
      <c r="AF152" s="19"/>
      <c r="AG152" s="21">
        <v>8.7766060893499102E-4</v>
      </c>
      <c r="AH152" s="19"/>
      <c r="AI152" s="21">
        <v>3.6286517541384201E-4</v>
      </c>
      <c r="AJ152" s="19"/>
      <c r="AK152" s="21">
        <v>6.1763362008684995E-4</v>
      </c>
      <c r="AL152" s="19"/>
      <c r="AM152" s="21">
        <v>2.38081342576311E-4</v>
      </c>
      <c r="AN152" s="19"/>
      <c r="AO152" s="21">
        <v>9.6696998635235104E-5</v>
      </c>
      <c r="AP152" s="19"/>
      <c r="AQ152" s="21">
        <v>-2.07262808627727E-4</v>
      </c>
      <c r="AR152" s="19"/>
      <c r="AS152" s="21">
        <v>-4.9309496860076797E-4</v>
      </c>
      <c r="AT152" s="19"/>
      <c r="AU152" s="21">
        <v>-7.4122280180401699E-4</v>
      </c>
      <c r="AV152" s="19"/>
      <c r="AW152" s="21">
        <v>3.9161786791338E-6</v>
      </c>
      <c r="AX152" s="19"/>
      <c r="AY152" s="21">
        <v>1.53818383298419E-5</v>
      </c>
      <c r="AZ152" s="19"/>
      <c r="BA152" s="21">
        <v>-7.5774898967413595E-5</v>
      </c>
      <c r="BB152" s="19"/>
      <c r="BC152" s="21">
        <v>1.3976298163374801E-4</v>
      </c>
      <c r="BD152" s="19"/>
      <c r="BE152" s="21">
        <v>-2.1713742809389299E-4</v>
      </c>
      <c r="BF152" s="19"/>
      <c r="BG152" s="21"/>
      <c r="BH152" s="19"/>
    </row>
    <row r="153" spans="1:60" x14ac:dyDescent="0.15">
      <c r="A153" s="17">
        <v>2015</v>
      </c>
      <c r="B153" s="17">
        <v>2</v>
      </c>
      <c r="C153" s="21"/>
      <c r="D153" s="19"/>
      <c r="E153" s="21">
        <v>2.1448130270497298E-3</v>
      </c>
      <c r="F153" s="19"/>
      <c r="G153" s="21">
        <v>-2.1611236472651699E-4</v>
      </c>
      <c r="H153" s="19"/>
      <c r="I153" s="21">
        <v>-4.8113131619220898E-5</v>
      </c>
      <c r="J153" s="19"/>
      <c r="K153" s="21">
        <v>-7.7297626573060601E-4</v>
      </c>
      <c r="L153" s="19"/>
      <c r="M153" s="21">
        <v>1.32025747482128E-3</v>
      </c>
      <c r="N153" s="19"/>
      <c r="O153" s="21">
        <v>-2.2202636494839199E-3</v>
      </c>
      <c r="P153" s="19"/>
      <c r="Q153" s="21">
        <v>-2.10207951297757E-4</v>
      </c>
      <c r="R153" s="19"/>
      <c r="S153" s="21">
        <v>1.29449508529411E-4</v>
      </c>
      <c r="T153" s="19"/>
      <c r="U153" s="21">
        <v>-7.1535431267599205E-4</v>
      </c>
      <c r="V153" s="19"/>
      <c r="W153" s="21">
        <v>3.9701960279261003E-3</v>
      </c>
      <c r="X153" s="19"/>
      <c r="Y153" s="21">
        <v>2.8052261212064801E-4</v>
      </c>
      <c r="Z153" s="19"/>
      <c r="AA153" s="21">
        <v>-5.0834662406477405E-4</v>
      </c>
      <c r="AB153" s="19"/>
      <c r="AC153" s="21">
        <v>-2.6635687510842299E-4</v>
      </c>
      <c r="AD153" s="19"/>
      <c r="AE153" s="21">
        <v>2.1026815239734499E-4</v>
      </c>
      <c r="AF153" s="19"/>
      <c r="AG153" s="21">
        <v>-1.05384338147171E-4</v>
      </c>
      <c r="AH153" s="19"/>
      <c r="AI153" s="21">
        <v>-7.3055744483942501E-4</v>
      </c>
      <c r="AJ153" s="19"/>
      <c r="AK153" s="21">
        <v>4.1293317958035198E-4</v>
      </c>
      <c r="AL153" s="19"/>
      <c r="AM153" s="21">
        <v>9.8202345935309403E-5</v>
      </c>
      <c r="AN153" s="19"/>
      <c r="AO153" s="21">
        <v>3.0341852894898001E-4</v>
      </c>
      <c r="AP153" s="19"/>
      <c r="AQ153" s="21">
        <v>9.7773999165660203E-5</v>
      </c>
      <c r="AR153" s="19"/>
      <c r="AS153" s="21">
        <v>5.76035641719014E-5</v>
      </c>
      <c r="AT153" s="19"/>
      <c r="AU153" s="21">
        <v>-2.8073275704049302E-4</v>
      </c>
      <c r="AV153" s="19"/>
      <c r="AW153" s="21">
        <v>1.08348198335655E-5</v>
      </c>
      <c r="AX153" s="19"/>
      <c r="AY153" s="21">
        <v>2.0058480732479601E-5</v>
      </c>
      <c r="AZ153" s="19"/>
      <c r="BA153" s="21">
        <v>-5.79458885564518E-5</v>
      </c>
      <c r="BB153" s="19"/>
      <c r="BC153" s="21">
        <v>1.6887320340492801E-4</v>
      </c>
      <c r="BD153" s="19"/>
      <c r="BE153" s="21">
        <v>-2.29152514695744E-4</v>
      </c>
      <c r="BF153" s="19"/>
      <c r="BG153" s="21"/>
      <c r="BH153" s="19"/>
    </row>
    <row r="154" spans="1:60" x14ac:dyDescent="0.15">
      <c r="A154" s="17">
        <v>2015</v>
      </c>
      <c r="B154" s="17">
        <v>3</v>
      </c>
      <c r="C154" s="21"/>
      <c r="D154" s="19"/>
      <c r="E154" s="21">
        <v>7.3913371680493101E-3</v>
      </c>
      <c r="F154" s="19"/>
      <c r="G154" s="21">
        <v>-9.7101179212417602E-5</v>
      </c>
      <c r="H154" s="19"/>
      <c r="I154" s="21">
        <v>-1.4601998878455099E-5</v>
      </c>
      <c r="J154" s="19"/>
      <c r="K154" s="21">
        <v>3.8273169672657201E-3</v>
      </c>
      <c r="L154" s="19"/>
      <c r="M154" s="21">
        <v>3.322844448699E-3</v>
      </c>
      <c r="N154" s="19"/>
      <c r="O154" s="21">
        <v>3.5868725340834401E-4</v>
      </c>
      <c r="P154" s="19"/>
      <c r="Q154" s="21">
        <v>-1.5345248250937301E-3</v>
      </c>
      <c r="R154" s="19"/>
      <c r="S154" s="21">
        <v>1.40008733987015E-4</v>
      </c>
      <c r="T154" s="19"/>
      <c r="U154" s="21">
        <v>-1.4167312132934599E-4</v>
      </c>
      <c r="V154" s="19"/>
      <c r="W154" s="21">
        <v>3.63133914118167E-3</v>
      </c>
      <c r="X154" s="19"/>
      <c r="Y154" s="21">
        <v>4.16798369471456E-5</v>
      </c>
      <c r="Z154" s="19"/>
      <c r="AA154" s="21">
        <v>-4.05126988451239E-4</v>
      </c>
      <c r="AB154" s="19"/>
      <c r="AC154" s="21">
        <v>-1.4642823765187901E-4</v>
      </c>
      <c r="AD154" s="19"/>
      <c r="AE154" s="21">
        <v>4.0225400151593002E-4</v>
      </c>
      <c r="AF154" s="19"/>
      <c r="AG154" s="21">
        <v>3.9377585245137101E-4</v>
      </c>
      <c r="AH154" s="19"/>
      <c r="AI154" s="21">
        <v>1.05478124364341E-4</v>
      </c>
      <c r="AJ154" s="19"/>
      <c r="AK154" s="21">
        <v>2.18323667668989E-4</v>
      </c>
      <c r="AL154" s="19"/>
      <c r="AM154" s="21">
        <v>-1.0289292544616601E-4</v>
      </c>
      <c r="AN154" s="19"/>
      <c r="AO154" s="21">
        <v>2.87872651061297E-5</v>
      </c>
      <c r="AP154" s="19"/>
      <c r="AQ154" s="21">
        <v>-1.04613694045561E-4</v>
      </c>
      <c r="AR154" s="19"/>
      <c r="AS154" s="21">
        <v>9.3469958691608202E-4</v>
      </c>
      <c r="AT154" s="19"/>
      <c r="AU154" s="21">
        <v>-3.5064316074347598E-5</v>
      </c>
      <c r="AV154" s="19"/>
      <c r="AW154" s="21">
        <v>-1.3275440957157599E-4</v>
      </c>
      <c r="AX154" s="19"/>
      <c r="AY154" s="21">
        <v>2.90784937994549E-5</v>
      </c>
      <c r="AZ154" s="19"/>
      <c r="BA154" s="21">
        <v>-6.7858179470806394E-5</v>
      </c>
      <c r="BB154" s="19"/>
      <c r="BC154" s="21">
        <v>2.5056084975095503E-4</v>
      </c>
      <c r="BD154" s="19"/>
      <c r="BE154" s="21">
        <v>-3.2414022248735802E-4</v>
      </c>
      <c r="BF154" s="19"/>
      <c r="BG154" s="21"/>
      <c r="BH154" s="19"/>
    </row>
    <row r="155" spans="1:60" x14ac:dyDescent="0.15">
      <c r="A155" s="17">
        <v>2015</v>
      </c>
      <c r="B155" s="17">
        <v>4</v>
      </c>
      <c r="C155" s="21"/>
      <c r="D155" s="19"/>
      <c r="E155" s="21">
        <v>6.5041111917028003E-3</v>
      </c>
      <c r="F155" s="19"/>
      <c r="G155" s="21">
        <v>6.6994116632622603E-6</v>
      </c>
      <c r="H155" s="19"/>
      <c r="I155" s="21">
        <v>1.04199070945278E-5</v>
      </c>
      <c r="J155" s="19"/>
      <c r="K155" s="21">
        <v>2.42174678636338E-3</v>
      </c>
      <c r="L155" s="19"/>
      <c r="M155" s="21">
        <v>4.51768520959989E-3</v>
      </c>
      <c r="N155" s="19"/>
      <c r="O155" s="21">
        <v>-2.3411483590514599E-3</v>
      </c>
      <c r="P155" s="19"/>
      <c r="Q155" s="21">
        <v>-4.5285581656814799E-5</v>
      </c>
      <c r="R155" s="19"/>
      <c r="S155" s="21">
        <v>2.1783740845587201E-4</v>
      </c>
      <c r="T155" s="19"/>
      <c r="U155" s="21">
        <v>2.3407694576481699E-4</v>
      </c>
      <c r="V155" s="19"/>
      <c r="W155" s="21">
        <v>1.66490192285131E-3</v>
      </c>
      <c r="X155" s="19"/>
      <c r="Y155" s="21">
        <v>-2.4613985366470499E-4</v>
      </c>
      <c r="Z155" s="19"/>
      <c r="AA155" s="21">
        <v>-3.9956598517200702E-4</v>
      </c>
      <c r="AB155" s="19"/>
      <c r="AC155" s="21">
        <v>2.62422083529576E-4</v>
      </c>
      <c r="AD155" s="19"/>
      <c r="AE155" s="21">
        <v>4.7129718490881799E-4</v>
      </c>
      <c r="AF155" s="19"/>
      <c r="AG155" s="21">
        <v>4.7446436381331901E-4</v>
      </c>
      <c r="AH155" s="19"/>
      <c r="AI155" s="21">
        <v>3.1350108766043999E-4</v>
      </c>
      <c r="AJ155" s="19"/>
      <c r="AK155" s="21">
        <v>2.7229741787233898E-5</v>
      </c>
      <c r="AL155" s="19"/>
      <c r="AM155" s="21">
        <v>-7.7293579274014397E-5</v>
      </c>
      <c r="AN155" s="19"/>
      <c r="AO155" s="21">
        <v>1.0908457967114699E-4</v>
      </c>
      <c r="AP155" s="19"/>
      <c r="AQ155" s="21">
        <v>5.3850986620336E-6</v>
      </c>
      <c r="AR155" s="19"/>
      <c r="AS155" s="21">
        <v>5.4904035786181504E-4</v>
      </c>
      <c r="AT155" s="19"/>
      <c r="AU155" s="21">
        <v>2.7637610648014599E-4</v>
      </c>
      <c r="AV155" s="19"/>
      <c r="AW155" s="21">
        <v>8.3324571341162197E-5</v>
      </c>
      <c r="AX155" s="19"/>
      <c r="AY155" s="21">
        <v>2.8113709572458001E-5</v>
      </c>
      <c r="AZ155" s="19"/>
      <c r="BA155" s="21">
        <v>3.3869196484322399E-4</v>
      </c>
      <c r="BB155" s="19"/>
      <c r="BC155" s="21">
        <v>5.8733304449537797E-4</v>
      </c>
      <c r="BD155" s="19"/>
      <c r="BE155" s="21">
        <v>-2.4883715716998202E-4</v>
      </c>
      <c r="BF155" s="19"/>
      <c r="BG155" s="21"/>
      <c r="BH155" s="19"/>
    </row>
    <row r="156" spans="1:60" x14ac:dyDescent="0.15">
      <c r="A156" s="17">
        <v>2016</v>
      </c>
      <c r="B156" s="17">
        <v>1</v>
      </c>
      <c r="C156" s="21"/>
      <c r="D156" s="19"/>
      <c r="E156" s="21">
        <v>3.3889347145226799E-3</v>
      </c>
      <c r="F156" s="19"/>
      <c r="G156" s="21">
        <v>2.0664647580413199E-4</v>
      </c>
      <c r="H156" s="19"/>
      <c r="I156" s="21">
        <v>3.1440003947858503E-5</v>
      </c>
      <c r="J156" s="19"/>
      <c r="K156" s="21">
        <v>2.5088907927098198E-3</v>
      </c>
      <c r="L156" s="19"/>
      <c r="M156" s="21">
        <v>7.15268988885768E-4</v>
      </c>
      <c r="N156" s="19"/>
      <c r="O156" s="21">
        <v>2.15076102095586E-3</v>
      </c>
      <c r="P156" s="19"/>
      <c r="Q156" s="21">
        <v>-1.1805707427809001E-3</v>
      </c>
      <c r="R156" s="19"/>
      <c r="S156" s="21">
        <v>3.5841113559523999E-5</v>
      </c>
      <c r="T156" s="19"/>
      <c r="U156" s="21">
        <v>1.8425200730716901E-4</v>
      </c>
      <c r="V156" s="19"/>
      <c r="W156" s="21">
        <v>1.33150476668657E-3</v>
      </c>
      <c r="X156" s="19"/>
      <c r="Y156" s="21">
        <v>6.2498903319106998E-5</v>
      </c>
      <c r="Z156" s="19"/>
      <c r="AA156" s="21">
        <v>-3.3522679848937601E-4</v>
      </c>
      <c r="AB156" s="19"/>
      <c r="AC156" s="21">
        <v>-1.2098231530354999E-4</v>
      </c>
      <c r="AD156" s="19"/>
      <c r="AE156" s="21">
        <v>3.37337650333287E-4</v>
      </c>
      <c r="AF156" s="19"/>
      <c r="AG156" s="21">
        <v>-5.4071155145937896E-4</v>
      </c>
      <c r="AH156" s="19"/>
      <c r="AI156" s="21">
        <v>-2.5154074303605003E-4</v>
      </c>
      <c r="AJ156" s="19"/>
      <c r="AK156" s="21">
        <v>-1.6516787656155701E-4</v>
      </c>
      <c r="AL156" s="19"/>
      <c r="AM156" s="21">
        <v>-1.4243785929534501E-4</v>
      </c>
      <c r="AN156" s="19"/>
      <c r="AO156" s="21">
        <v>5.17194950903751E-5</v>
      </c>
      <c r="AP156" s="19"/>
      <c r="AQ156" s="21">
        <v>-7.1678186580085705E-5</v>
      </c>
      <c r="AR156" s="19"/>
      <c r="AS156" s="21">
        <v>1.3919793258644099E-3</v>
      </c>
      <c r="AT156" s="19"/>
      <c r="AU156" s="21">
        <v>4.4077209684658297E-4</v>
      </c>
      <c r="AV156" s="19"/>
      <c r="AW156" s="21">
        <v>-1.55785205961219E-4</v>
      </c>
      <c r="AX156" s="19"/>
      <c r="AY156" s="21">
        <v>3.1484605407188403E-5</v>
      </c>
      <c r="AZ156" s="19"/>
      <c r="BA156" s="21">
        <v>3.9595405546352701E-4</v>
      </c>
      <c r="BB156" s="19"/>
      <c r="BC156" s="21">
        <v>4.3537588909513898E-4</v>
      </c>
      <c r="BD156" s="19"/>
      <c r="BE156" s="21">
        <v>-3.31381021656221E-5</v>
      </c>
      <c r="BF156" s="19"/>
      <c r="BG156" s="21"/>
      <c r="BH156" s="19"/>
    </row>
    <row r="157" spans="1:60" x14ac:dyDescent="0.15">
      <c r="A157" s="17">
        <v>2016</v>
      </c>
      <c r="B157" s="17">
        <v>2</v>
      </c>
      <c r="C157" s="21"/>
      <c r="D157" s="19"/>
      <c r="E157" s="21">
        <v>1.94497117033301E-3</v>
      </c>
      <c r="F157" s="19"/>
      <c r="G157" s="21">
        <v>4.8764999321311698E-5</v>
      </c>
      <c r="H157" s="19"/>
      <c r="I157" s="21">
        <v>3.1496064042618698E-6</v>
      </c>
      <c r="J157" s="19"/>
      <c r="K157" s="21">
        <v>-4.22473130832255E-4</v>
      </c>
      <c r="L157" s="19"/>
      <c r="M157" s="21">
        <v>1.4673799520208901E-3</v>
      </c>
      <c r="N157" s="19"/>
      <c r="O157" s="21">
        <v>-1.9378201818312699E-3</v>
      </c>
      <c r="P157" s="19"/>
      <c r="Q157" s="21">
        <v>2.9644264144958101E-4</v>
      </c>
      <c r="R157" s="19"/>
      <c r="S157" s="21">
        <v>-2.0572179567511799E-4</v>
      </c>
      <c r="T157" s="19"/>
      <c r="U157" s="21">
        <v>4.3041886976528699E-4</v>
      </c>
      <c r="V157" s="19"/>
      <c r="W157" s="21">
        <v>-1.8219929581243001E-3</v>
      </c>
      <c r="X157" s="19"/>
      <c r="Y157" s="21">
        <v>-4.9738333679260699E-5</v>
      </c>
      <c r="Z157" s="19"/>
      <c r="AA157" s="21">
        <v>6.8455991902210804E-4</v>
      </c>
      <c r="AB157" s="19"/>
      <c r="AC157" s="21">
        <v>1.040942416514E-4</v>
      </c>
      <c r="AD157" s="19"/>
      <c r="AE157" s="21">
        <v>6.9632455239563597E-4</v>
      </c>
      <c r="AF157" s="19"/>
      <c r="AG157" s="21">
        <v>-4.1486836139758697E-5</v>
      </c>
      <c r="AH157" s="19"/>
      <c r="AI157" s="21">
        <v>-1.3574706041814301E-4</v>
      </c>
      <c r="AJ157" s="19"/>
      <c r="AK157" s="21">
        <v>-1.85485367112031E-4</v>
      </c>
      <c r="AL157" s="19"/>
      <c r="AM157" s="21">
        <v>1.0987958191205E-3</v>
      </c>
      <c r="AN157" s="19"/>
      <c r="AO157" s="21">
        <v>2.9340756352274602E-4</v>
      </c>
      <c r="AP157" s="19"/>
      <c r="AQ157" s="21">
        <v>1.8150056001220501E-4</v>
      </c>
      <c r="AR157" s="19"/>
      <c r="AS157" s="21">
        <v>4.67052010303538E-4</v>
      </c>
      <c r="AT157" s="19"/>
      <c r="AU157" s="21">
        <v>2.7318665785224303E-4</v>
      </c>
      <c r="AV157" s="19"/>
      <c r="AW157" s="21">
        <v>5.0451355766292299E-6</v>
      </c>
      <c r="AX157" s="19"/>
      <c r="AY157" s="21">
        <v>2.7684201027953101E-5</v>
      </c>
      <c r="AZ157" s="19"/>
      <c r="BA157" s="21">
        <v>2.5445178379769699E-4</v>
      </c>
      <c r="BB157" s="19"/>
      <c r="BC157" s="21">
        <v>3.3198302643704997E-4</v>
      </c>
      <c r="BD157" s="19"/>
      <c r="BE157" s="21">
        <v>-7.5127567223638096E-5</v>
      </c>
      <c r="BF157" s="19"/>
      <c r="BG157" s="21"/>
      <c r="BH157" s="19"/>
    </row>
    <row r="158" spans="1:60" x14ac:dyDescent="0.15">
      <c r="A158" s="17">
        <v>2016</v>
      </c>
      <c r="B158" s="17">
        <v>3</v>
      </c>
      <c r="C158" s="21"/>
      <c r="D158" s="19"/>
      <c r="E158" s="21">
        <v>1.85439805990387E-3</v>
      </c>
      <c r="F158" s="19"/>
      <c r="G158" s="21">
        <v>-3.9421811698879403E-6</v>
      </c>
      <c r="H158" s="19"/>
      <c r="I158" s="21">
        <v>6.0077780786915099E-6</v>
      </c>
      <c r="J158" s="19"/>
      <c r="K158" s="21">
        <v>4.2429316990024498E-3</v>
      </c>
      <c r="L158" s="19"/>
      <c r="M158" s="21">
        <v>2.15092458072927E-3</v>
      </c>
      <c r="N158" s="19"/>
      <c r="O158" s="21">
        <v>2.0596271935111399E-3</v>
      </c>
      <c r="P158" s="19"/>
      <c r="Q158" s="21">
        <v>-1.2623708279833801E-3</v>
      </c>
      <c r="R158" s="19"/>
      <c r="S158" s="21">
        <v>4.0840706744390599E-5</v>
      </c>
      <c r="T158" s="19"/>
      <c r="U158" s="21">
        <v>1.07513477935257E-4</v>
      </c>
      <c r="V158" s="19"/>
      <c r="W158" s="21">
        <v>-2.6794462468324098E-3</v>
      </c>
      <c r="X158" s="19"/>
      <c r="Y158" s="21">
        <v>1.5316096831412999E-5</v>
      </c>
      <c r="Z158" s="19"/>
      <c r="AA158" s="21">
        <v>1.13363613028431E-5</v>
      </c>
      <c r="AB158" s="19"/>
      <c r="AC158" s="21">
        <v>-1.01687517132352E-4</v>
      </c>
      <c r="AD158" s="19"/>
      <c r="AE158" s="21">
        <v>-6.5272146305261403E-4</v>
      </c>
      <c r="AF158" s="19"/>
      <c r="AG158" s="21">
        <v>4.8678307944222598E-4</v>
      </c>
      <c r="AH158" s="19"/>
      <c r="AI158" s="21">
        <v>2.8493542014766801E-4</v>
      </c>
      <c r="AJ158" s="19"/>
      <c r="AK158" s="21">
        <v>-2.1453276569457301E-4</v>
      </c>
      <c r="AL158" s="19"/>
      <c r="AM158" s="21">
        <v>2.7945210740431197E-4</v>
      </c>
      <c r="AN158" s="19"/>
      <c r="AO158" s="21">
        <v>1.2564066709114E-4</v>
      </c>
      <c r="AP158" s="19"/>
      <c r="AQ158" s="21">
        <v>-8.0789545874495307E-5</v>
      </c>
      <c r="AR158" s="19"/>
      <c r="AS158" s="21">
        <v>1.20011609177266E-3</v>
      </c>
      <c r="AT158" s="19"/>
      <c r="AU158" s="21">
        <v>1.67406266913875E-4</v>
      </c>
      <c r="AV158" s="19"/>
      <c r="AW158" s="21">
        <v>7.2510250712270096E-6</v>
      </c>
      <c r="AX158" s="19"/>
      <c r="AY158" s="21">
        <v>2.97040271646174E-5</v>
      </c>
      <c r="AZ158" s="19"/>
      <c r="BA158" s="21">
        <v>1.1532274259163E-4</v>
      </c>
      <c r="BB158" s="19"/>
      <c r="BC158" s="21">
        <v>2.9169708443103502E-4</v>
      </c>
      <c r="BD158" s="19"/>
      <c r="BE158" s="21">
        <v>-1.78161859949327E-4</v>
      </c>
      <c r="BF158" s="19"/>
      <c r="BG158" s="21"/>
      <c r="BH158" s="19"/>
    </row>
    <row r="159" spans="1:60" x14ac:dyDescent="0.15">
      <c r="A159" s="17">
        <v>2016</v>
      </c>
      <c r="B159" s="17">
        <v>4</v>
      </c>
      <c r="C159" s="21"/>
      <c r="D159" s="19"/>
      <c r="E159" s="21">
        <v>5.1692105732090003E-4</v>
      </c>
      <c r="F159" s="19"/>
      <c r="G159" s="21">
        <v>-4.0510352634372898E-5</v>
      </c>
      <c r="H159" s="19"/>
      <c r="I159" s="21">
        <v>4.3643588761103197E-6</v>
      </c>
      <c r="J159" s="19"/>
      <c r="K159" s="21">
        <v>1.15167277446372E-3</v>
      </c>
      <c r="L159" s="19"/>
      <c r="M159" s="21">
        <v>2.2603134973793902E-3</v>
      </c>
      <c r="N159" s="19"/>
      <c r="O159" s="21">
        <v>-1.19184334756251E-3</v>
      </c>
      <c r="P159" s="19"/>
      <c r="Q159" s="21">
        <v>-1.0223124801935E-3</v>
      </c>
      <c r="R159" s="19"/>
      <c r="S159" s="21">
        <v>-2.0847099026364001E-4</v>
      </c>
      <c r="T159" s="19"/>
      <c r="U159" s="21">
        <v>-3.1763948293252802E-5</v>
      </c>
      <c r="V159" s="19"/>
      <c r="W159" s="21">
        <v>-2.0355643151981702E-3</v>
      </c>
      <c r="X159" s="19"/>
      <c r="Y159" s="21">
        <v>6.8515705751640102E-5</v>
      </c>
      <c r="Z159" s="19"/>
      <c r="AA159" s="21">
        <v>-9.3562745933461005E-5</v>
      </c>
      <c r="AB159" s="19"/>
      <c r="AC159" s="21">
        <v>1.35715050317721E-4</v>
      </c>
      <c r="AD159" s="19"/>
      <c r="AE159" s="21">
        <v>4.1394557528741702E-4</v>
      </c>
      <c r="AF159" s="19"/>
      <c r="AG159" s="21">
        <v>-8.4593837419919503E-4</v>
      </c>
      <c r="AH159" s="19"/>
      <c r="AI159" s="21">
        <v>-7.8488935082484898E-4</v>
      </c>
      <c r="AJ159" s="19"/>
      <c r="AK159" s="21">
        <v>-2.52973774279911E-4</v>
      </c>
      <c r="AL159" s="19"/>
      <c r="AM159" s="21">
        <v>1.43235884558531E-3</v>
      </c>
      <c r="AN159" s="19"/>
      <c r="AO159" s="21">
        <v>3.4526401411760901E-4</v>
      </c>
      <c r="AP159" s="19"/>
      <c r="AQ159" s="21">
        <v>1.14479570574374E-4</v>
      </c>
      <c r="AR159" s="19"/>
      <c r="AS159" s="21">
        <v>1.13337145104532E-3</v>
      </c>
      <c r="AT159" s="19"/>
      <c r="AU159" s="21">
        <v>-7.7693843452273699E-6</v>
      </c>
      <c r="AV159" s="19"/>
      <c r="AW159" s="21">
        <v>5.0312245012536798E-5</v>
      </c>
      <c r="AX159" s="19"/>
      <c r="AY159" s="21">
        <v>2.3741064869829199E-5</v>
      </c>
      <c r="AZ159" s="19"/>
      <c r="BA159" s="21">
        <v>7.0077245914488005E-5</v>
      </c>
      <c r="BB159" s="19"/>
      <c r="BC159" s="21">
        <v>2.67781484743394E-4</v>
      </c>
      <c r="BD159" s="19"/>
      <c r="BE159" s="21">
        <v>-2.0325442327623E-4</v>
      </c>
      <c r="BF159" s="19"/>
      <c r="BG159" s="21"/>
      <c r="BH159" s="19"/>
    </row>
    <row r="160" spans="1:60" x14ac:dyDescent="0.15">
      <c r="A160" s="17">
        <v>2017</v>
      </c>
      <c r="B160" s="17">
        <v>1</v>
      </c>
      <c r="C160" s="21"/>
      <c r="D160" s="19"/>
      <c r="E160" s="21">
        <v>2.49858444858372E-3</v>
      </c>
      <c r="F160" s="19"/>
      <c r="G160" s="21">
        <v>-1.25588050401971E-4</v>
      </c>
      <c r="H160" s="19"/>
      <c r="I160" s="21">
        <v>-8.2482369689715903E-6</v>
      </c>
      <c r="J160" s="19"/>
      <c r="K160" s="21">
        <v>3.0868784879428202E-3</v>
      </c>
      <c r="L160" s="19"/>
      <c r="M160" s="21">
        <v>1.1032471674599399E-3</v>
      </c>
      <c r="N160" s="19"/>
      <c r="O160" s="21">
        <v>2.0806187069915302E-3</v>
      </c>
      <c r="P160" s="19"/>
      <c r="Q160" s="21">
        <v>1.22997199173334E-3</v>
      </c>
      <c r="R160" s="19"/>
      <c r="S160" s="21">
        <v>-2.8465742719593499E-4</v>
      </c>
      <c r="T160" s="19"/>
      <c r="U160" s="21">
        <v>-1.4555699437599699E-4</v>
      </c>
      <c r="V160" s="19"/>
      <c r="W160" s="21">
        <v>1.2738468518484601E-5</v>
      </c>
      <c r="X160" s="19"/>
      <c r="Y160" s="21">
        <v>3.7369167190942203E-5</v>
      </c>
      <c r="Z160" s="19"/>
      <c r="AA160" s="21">
        <v>-6.8382039917355101E-4</v>
      </c>
      <c r="AB160" s="19"/>
      <c r="AC160" s="21">
        <v>9.2795985200992193E-5</v>
      </c>
      <c r="AD160" s="19"/>
      <c r="AE160" s="21">
        <v>-2.33353132558308E-4</v>
      </c>
      <c r="AF160" s="19"/>
      <c r="AG160" s="21">
        <v>-2.1932206055833101E-3</v>
      </c>
      <c r="AH160" s="19"/>
      <c r="AI160" s="21">
        <v>-2.4325299242593801E-3</v>
      </c>
      <c r="AJ160" s="19"/>
      <c r="AK160" s="21">
        <v>-3.0108206733869602E-4</v>
      </c>
      <c r="AL160" s="19"/>
      <c r="AM160" s="21">
        <v>5.9301730091018397E-4</v>
      </c>
      <c r="AN160" s="19"/>
      <c r="AO160" s="21">
        <v>3.3910044444051998E-4</v>
      </c>
      <c r="AP160" s="19"/>
      <c r="AQ160" s="21">
        <v>3.4836341266429703E-5</v>
      </c>
      <c r="AR160" s="19"/>
      <c r="AS160" s="21">
        <v>6.65342532543332E-4</v>
      </c>
      <c r="AT160" s="19"/>
      <c r="AU160" s="21">
        <v>-1.06808242503117E-4</v>
      </c>
      <c r="AV160" s="19"/>
      <c r="AW160" s="21">
        <v>7.79142738114866E-5</v>
      </c>
      <c r="AX160" s="19"/>
      <c r="AY160" s="21">
        <v>1.7085796879120501E-5</v>
      </c>
      <c r="AZ160" s="19"/>
      <c r="BA160" s="21">
        <v>2.2785462172130399E-4</v>
      </c>
      <c r="BB160" s="19"/>
      <c r="BC160" s="21">
        <v>3.4974729450804802E-4</v>
      </c>
      <c r="BD160" s="19"/>
      <c r="BE160" s="21">
        <v>-1.1682678599072699E-4</v>
      </c>
      <c r="BF160" s="19"/>
      <c r="BG160" s="21"/>
      <c r="BH160" s="19"/>
    </row>
    <row r="161" spans="1:60" x14ac:dyDescent="0.15">
      <c r="A161" s="17">
        <v>2017</v>
      </c>
      <c r="B161" s="17">
        <v>2</v>
      </c>
      <c r="C161" s="21"/>
      <c r="D161" s="19"/>
      <c r="E161" s="21">
        <v>8.1442743797891601E-3</v>
      </c>
      <c r="F161" s="19"/>
      <c r="G161" s="21">
        <v>-1.3598258496403899E-5</v>
      </c>
      <c r="H161" s="19"/>
      <c r="I161" s="21">
        <v>2.6450602410744798E-5</v>
      </c>
      <c r="J161" s="19"/>
      <c r="K161" s="21">
        <v>2.8573637968820902E-3</v>
      </c>
      <c r="L161" s="19"/>
      <c r="M161" s="21">
        <v>1.6383174360401799E-3</v>
      </c>
      <c r="N161" s="19"/>
      <c r="O161" s="21">
        <v>1.1893966911617E-3</v>
      </c>
      <c r="P161" s="19"/>
      <c r="Q161" s="21">
        <v>1.2504525123938201E-3</v>
      </c>
      <c r="R161" s="19"/>
      <c r="S161" s="21">
        <v>-4.8707737538262803E-5</v>
      </c>
      <c r="T161" s="19"/>
      <c r="U161" s="21">
        <v>1.18735939999416E-5</v>
      </c>
      <c r="V161" s="19"/>
      <c r="W161" s="21">
        <v>1.28251997501968E-4</v>
      </c>
      <c r="X161" s="19"/>
      <c r="Y161" s="21">
        <v>-4.0757532275407599E-4</v>
      </c>
      <c r="Z161" s="19"/>
      <c r="AA161" s="21">
        <v>1.3823846965937501E-3</v>
      </c>
      <c r="AB161" s="19"/>
      <c r="AC161" s="21">
        <v>1.38759667389964E-4</v>
      </c>
      <c r="AD161" s="19"/>
      <c r="AE161" s="21">
        <v>2.6283950789923299E-4</v>
      </c>
      <c r="AF161" s="19"/>
      <c r="AG161" s="21">
        <v>6.2932769642031795E-4</v>
      </c>
      <c r="AH161" s="19"/>
      <c r="AI161" s="21">
        <v>9.1884285086071805E-5</v>
      </c>
      <c r="AJ161" s="19"/>
      <c r="AK161" s="21">
        <v>-9.8208380909212205E-5</v>
      </c>
      <c r="AL161" s="19"/>
      <c r="AM161" s="21">
        <v>7.30234143440849E-4</v>
      </c>
      <c r="AN161" s="19"/>
      <c r="AO161" s="21">
        <v>4.5379021489583499E-4</v>
      </c>
      <c r="AP161" s="19"/>
      <c r="AQ161" s="21">
        <v>-2.11282529859176E-5</v>
      </c>
      <c r="AR161" s="19"/>
      <c r="AS161" s="21">
        <v>2.39267453757526E-4</v>
      </c>
      <c r="AT161" s="19"/>
      <c r="AU161" s="21">
        <v>6.1612891956460994E-5</v>
      </c>
      <c r="AV161" s="19"/>
      <c r="AW161" s="21">
        <v>-1.38194353021967E-4</v>
      </c>
      <c r="AX161" s="19"/>
      <c r="AY161" s="21">
        <v>1.7235863721399802E-5</v>
      </c>
      <c r="AZ161" s="19"/>
      <c r="BA161" s="21">
        <v>1.6098908284904601E-4</v>
      </c>
      <c r="BB161" s="19"/>
      <c r="BC161" s="21">
        <v>3.50622984552321E-4</v>
      </c>
      <c r="BD161" s="19"/>
      <c r="BE161" s="21">
        <v>-1.9021662039740001E-4</v>
      </c>
      <c r="BF161" s="19"/>
      <c r="BG161" s="21"/>
      <c r="BH161" s="19"/>
    </row>
    <row r="162" spans="1:60" x14ac:dyDescent="0.15">
      <c r="A162" s="17">
        <v>2017</v>
      </c>
      <c r="B162" s="17">
        <v>3</v>
      </c>
      <c r="C162" s="21"/>
      <c r="D162" s="19"/>
      <c r="E162" s="21">
        <v>7.8331435625712004E-3</v>
      </c>
      <c r="F162" s="19"/>
      <c r="G162" s="21">
        <v>5.0874077101024798E-5</v>
      </c>
      <c r="H162" s="19"/>
      <c r="I162" s="21">
        <v>4.04934403300881E-5</v>
      </c>
      <c r="J162" s="19"/>
      <c r="K162" s="21">
        <v>1.3410484269779301E-3</v>
      </c>
      <c r="L162" s="19"/>
      <c r="M162" s="21">
        <v>3.5806323629061098E-4</v>
      </c>
      <c r="N162" s="19"/>
      <c r="O162" s="21">
        <v>9.8751753100453704E-4</v>
      </c>
      <c r="P162" s="19"/>
      <c r="Q162" s="21">
        <v>4.5627162631062902E-4</v>
      </c>
      <c r="R162" s="19"/>
      <c r="S162" s="21">
        <v>-7.3032113269020006E-5</v>
      </c>
      <c r="T162" s="19"/>
      <c r="U162" s="21">
        <v>1.55510285765876E-4</v>
      </c>
      <c r="V162" s="19"/>
      <c r="W162" s="21">
        <v>2.0832339138984E-3</v>
      </c>
      <c r="X162" s="19"/>
      <c r="Y162" s="21">
        <v>-3.2946126680426299E-6</v>
      </c>
      <c r="Z162" s="19"/>
      <c r="AA162" s="21">
        <v>-1.74902060351611E-4</v>
      </c>
      <c r="AB162" s="19"/>
      <c r="AC162" s="21">
        <v>2.2444111320730199E-4</v>
      </c>
      <c r="AD162" s="19"/>
      <c r="AE162" s="21">
        <v>9.0034304850018798E-4</v>
      </c>
      <c r="AF162" s="19"/>
      <c r="AG162" s="21">
        <v>3.4892491922242203E-5</v>
      </c>
      <c r="AH162" s="19"/>
      <c r="AI162" s="21">
        <v>-6.92019629164491E-4</v>
      </c>
      <c r="AJ162" s="19"/>
      <c r="AK162" s="21">
        <v>8.9252429373575396E-5</v>
      </c>
      <c r="AL162" s="19"/>
      <c r="AM162" s="21">
        <v>1.4843288070248699E-3</v>
      </c>
      <c r="AN162" s="19"/>
      <c r="AO162" s="21">
        <v>3.9487656287521199E-4</v>
      </c>
      <c r="AP162" s="19"/>
      <c r="AQ162" s="21">
        <v>-8.8656524243918106E-5</v>
      </c>
      <c r="AR162" s="19"/>
      <c r="AS162" s="21">
        <v>5.7369880874000095E-4</v>
      </c>
      <c r="AT162" s="19"/>
      <c r="AU162" s="21">
        <v>2.0281078851653499E-4</v>
      </c>
      <c r="AV162" s="19"/>
      <c r="AW162" s="21">
        <v>2.15936072431041E-4</v>
      </c>
      <c r="AX162" s="19"/>
      <c r="AY162" s="21">
        <v>1.8686316688112099E-5</v>
      </c>
      <c r="AZ162" s="19"/>
      <c r="BA162" s="21">
        <v>1.3980197625484701E-4</v>
      </c>
      <c r="BB162" s="19"/>
      <c r="BC162" s="21">
        <v>2.4420059198142701E-4</v>
      </c>
      <c r="BD162" s="19"/>
      <c r="BE162" s="21">
        <v>-1.0440082857261899E-4</v>
      </c>
      <c r="BF162" s="19"/>
      <c r="BG162" s="21"/>
      <c r="BH162" s="19"/>
    </row>
    <row r="163" spans="1:60" x14ac:dyDescent="0.15">
      <c r="A163" s="17">
        <v>2017</v>
      </c>
      <c r="B163" s="17">
        <v>4</v>
      </c>
      <c r="C163" s="21"/>
      <c r="D163" s="19"/>
      <c r="E163" s="21">
        <v>1.04332183716955E-2</v>
      </c>
      <c r="F163" s="19"/>
      <c r="G163" s="21">
        <v>1.06722428943949E-4</v>
      </c>
      <c r="H163" s="19"/>
      <c r="I163" s="21">
        <v>5.2981652038546399E-5</v>
      </c>
      <c r="J163" s="19"/>
      <c r="K163" s="21">
        <v>2.2628404207178801E-3</v>
      </c>
      <c r="L163" s="19"/>
      <c r="M163" s="21">
        <v>1.4132900913586201E-3</v>
      </c>
      <c r="N163" s="19"/>
      <c r="O163" s="21">
        <v>8.27834572819912E-4</v>
      </c>
      <c r="P163" s="19"/>
      <c r="Q163" s="21">
        <v>-1.3743858563303101E-4</v>
      </c>
      <c r="R163" s="19"/>
      <c r="S163" s="21">
        <v>-3.3719085741015799E-8</v>
      </c>
      <c r="T163" s="19"/>
      <c r="U163" s="21">
        <v>9.4888175121331405E-4</v>
      </c>
      <c r="V163" s="19"/>
      <c r="W163" s="21">
        <v>1.9781582742438601E-4</v>
      </c>
      <c r="X163" s="19"/>
      <c r="Y163" s="21">
        <v>-2.0574272302280501E-4</v>
      </c>
      <c r="Z163" s="19"/>
      <c r="AA163" s="21">
        <v>8.5468148332827002E-4</v>
      </c>
      <c r="AB163" s="19"/>
      <c r="AC163" s="21">
        <v>2.19719446703044E-4</v>
      </c>
      <c r="AD163" s="19"/>
      <c r="AE163" s="21">
        <v>7.7911066787980795E-4</v>
      </c>
      <c r="AF163" s="19"/>
      <c r="AG163" s="21">
        <v>2.13467884635793E-3</v>
      </c>
      <c r="AH163" s="19"/>
      <c r="AI163" s="21">
        <v>9.8265734832178511E-4</v>
      </c>
      <c r="AJ163" s="19"/>
      <c r="AK163" s="21">
        <v>2.70881032103425E-4</v>
      </c>
      <c r="AL163" s="19"/>
      <c r="AM163" s="21">
        <v>1.5099862487235301E-3</v>
      </c>
      <c r="AN163" s="19"/>
      <c r="AO163" s="21">
        <v>4.3560693561265598E-4</v>
      </c>
      <c r="AP163" s="19"/>
      <c r="AQ163" s="21">
        <v>3.6317635196842499E-4</v>
      </c>
      <c r="AR163" s="19"/>
      <c r="AS163" s="21">
        <v>4.6811010367805203E-4</v>
      </c>
      <c r="AT163" s="19"/>
      <c r="AU163" s="21">
        <v>1.6549505194578401E-4</v>
      </c>
      <c r="AV163" s="19"/>
      <c r="AW163" s="21">
        <v>-1.7299949570527299E-5</v>
      </c>
      <c r="AX163" s="19"/>
      <c r="AY163" s="21">
        <v>1.7523404852493101E-5</v>
      </c>
      <c r="AZ163" s="19"/>
      <c r="BA163" s="21">
        <v>-3.87420502163296E-4</v>
      </c>
      <c r="BB163" s="19"/>
      <c r="BC163" s="21">
        <v>-1.41836995136029E-4</v>
      </c>
      <c r="BD163" s="19"/>
      <c r="BE163" s="21">
        <v>-2.3347423178646899E-4</v>
      </c>
      <c r="BF163" s="19"/>
      <c r="BG163" s="21"/>
      <c r="BH163" s="19"/>
    </row>
    <row r="164" spans="1:60" x14ac:dyDescent="0.15">
      <c r="A164" s="17">
        <v>2018</v>
      </c>
      <c r="B164" s="17">
        <v>1</v>
      </c>
      <c r="C164" s="21"/>
      <c r="D164" s="19"/>
      <c r="E164" s="21">
        <v>1.04814661042807E-2</v>
      </c>
      <c r="F164" s="19"/>
      <c r="G164" s="21">
        <v>2.1141877752275701E-4</v>
      </c>
      <c r="H164" s="19"/>
      <c r="I164" s="21">
        <v>5.6215481767520601E-5</v>
      </c>
      <c r="J164" s="19"/>
      <c r="K164" s="21">
        <v>2.8665697836272501E-3</v>
      </c>
      <c r="L164" s="19"/>
      <c r="M164" s="21">
        <v>3.3256034270612998E-3</v>
      </c>
      <c r="N164" s="19"/>
      <c r="O164" s="21">
        <v>-4.1626366622726698E-4</v>
      </c>
      <c r="P164" s="19"/>
      <c r="Q164" s="21">
        <v>1.13295712751082E-3</v>
      </c>
      <c r="R164" s="19"/>
      <c r="S164" s="21">
        <v>1.7215961830175199E-4</v>
      </c>
      <c r="T164" s="19"/>
      <c r="U164" s="21">
        <v>4.62060166996137E-4</v>
      </c>
      <c r="V164" s="19"/>
      <c r="W164" s="21">
        <v>-3.6392405698082398E-4</v>
      </c>
      <c r="X164" s="19"/>
      <c r="Y164" s="21">
        <v>-1.3151179806727701E-4</v>
      </c>
      <c r="Z164" s="19"/>
      <c r="AA164" s="21">
        <v>7.5393217563154405E-4</v>
      </c>
      <c r="AB164" s="19"/>
      <c r="AC164" s="21">
        <v>2.9146800131880902E-4</v>
      </c>
      <c r="AD164" s="19"/>
      <c r="AE164" s="21">
        <v>7.6186029910997502E-4</v>
      </c>
      <c r="AF164" s="19"/>
      <c r="AG164" s="21">
        <v>7.5682153406703601E-4</v>
      </c>
      <c r="AH164" s="19"/>
      <c r="AI164" s="21">
        <v>-3.4359928508228199E-4</v>
      </c>
      <c r="AJ164" s="19"/>
      <c r="AK164" s="21">
        <v>4.5730623004183198E-4</v>
      </c>
      <c r="AL164" s="19"/>
      <c r="AM164" s="21">
        <v>2.78982808135237E-3</v>
      </c>
      <c r="AN164" s="19"/>
      <c r="AO164" s="21">
        <v>-1.9396166112806501E-4</v>
      </c>
      <c r="AP164" s="19"/>
      <c r="AQ164" s="21">
        <v>2.45310199230567E-5</v>
      </c>
      <c r="AR164" s="19"/>
      <c r="AS164" s="21">
        <v>8.6195731212826204E-4</v>
      </c>
      <c r="AT164" s="19"/>
      <c r="AU164" s="21">
        <v>-1.36577145951258E-4</v>
      </c>
      <c r="AV164" s="19"/>
      <c r="AW164" s="21">
        <v>3.6892519794011902E-5</v>
      </c>
      <c r="AX164" s="19"/>
      <c r="AY164" s="21">
        <v>1.6027721334496299E-5</v>
      </c>
      <c r="AZ164" s="19"/>
      <c r="BA164" s="21">
        <v>-1.48612223777752E-4</v>
      </c>
      <c r="BB164" s="19"/>
      <c r="BC164" s="21">
        <v>-1.24227455026672E-4</v>
      </c>
      <c r="BD164" s="19"/>
      <c r="BE164" s="21">
        <v>-2.58085302392558E-5</v>
      </c>
      <c r="BF164" s="19"/>
      <c r="BG164" s="21"/>
      <c r="BH164" s="19"/>
    </row>
    <row r="165" spans="1:60" x14ac:dyDescent="0.15">
      <c r="A165" s="17">
        <v>2018</v>
      </c>
      <c r="B165" s="17">
        <v>2</v>
      </c>
      <c r="C165" s="21"/>
      <c r="D165" s="19"/>
      <c r="E165" s="21">
        <v>7.4476723252428099E-3</v>
      </c>
      <c r="F165" s="19"/>
      <c r="G165" s="21">
        <v>9.5619690174217304E-5</v>
      </c>
      <c r="H165" s="19"/>
      <c r="I165" s="21">
        <v>4.7003103055193899E-5</v>
      </c>
      <c r="J165" s="19"/>
      <c r="K165" s="21">
        <v>2.4813253670643602E-3</v>
      </c>
      <c r="L165" s="19"/>
      <c r="M165" s="21">
        <v>4.1916881633268302E-4</v>
      </c>
      <c r="N165" s="19"/>
      <c r="O165" s="21">
        <v>2.0664323520490301E-3</v>
      </c>
      <c r="P165" s="19"/>
      <c r="Q165" s="21">
        <v>1.13931206154987E-3</v>
      </c>
      <c r="R165" s="19"/>
      <c r="S165" s="21">
        <v>9.0119104385073104E-5</v>
      </c>
      <c r="T165" s="19"/>
      <c r="U165" s="21">
        <v>5.08977287829317E-4</v>
      </c>
      <c r="V165" s="19"/>
      <c r="W165" s="21">
        <v>-1.5091284851929899E-3</v>
      </c>
      <c r="X165" s="19"/>
      <c r="Y165" s="21">
        <v>1.4275915659893199E-4</v>
      </c>
      <c r="Z165" s="19"/>
      <c r="AA165" s="21">
        <v>-4.5688664926397E-4</v>
      </c>
      <c r="AB165" s="19"/>
      <c r="AC165" s="21">
        <v>3.35612308564131E-4</v>
      </c>
      <c r="AD165" s="19"/>
      <c r="AE165" s="21">
        <v>5.0639832514344095E-4</v>
      </c>
      <c r="AF165" s="19"/>
      <c r="AG165" s="21">
        <v>1.23766979866853E-3</v>
      </c>
      <c r="AH165" s="19"/>
      <c r="AI165" s="21">
        <v>6.0583510315543698E-4</v>
      </c>
      <c r="AJ165" s="19"/>
      <c r="AK165" s="21">
        <v>3.0033021066628202E-4</v>
      </c>
      <c r="AL165" s="19"/>
      <c r="AM165" s="21">
        <v>2.2613459475324402E-3</v>
      </c>
      <c r="AN165" s="19"/>
      <c r="AO165" s="21">
        <v>2.13863701118512E-4</v>
      </c>
      <c r="AP165" s="19"/>
      <c r="AQ165" s="21">
        <v>2.13302018992247E-4</v>
      </c>
      <c r="AR165" s="19"/>
      <c r="AS165" s="21">
        <v>2.43752654320828E-5</v>
      </c>
      <c r="AT165" s="19"/>
      <c r="AU165" s="21">
        <v>-1.3612084586004999E-4</v>
      </c>
      <c r="AV165" s="19"/>
      <c r="AW165" s="21">
        <v>2.03368000265062E-4</v>
      </c>
      <c r="AX165" s="19"/>
      <c r="AY165" s="21">
        <v>2.0198349210926102E-5</v>
      </c>
      <c r="AZ165" s="19"/>
      <c r="BA165" s="21">
        <v>-2.22437273128852E-4</v>
      </c>
      <c r="BB165" s="19"/>
      <c r="BC165" s="21">
        <v>-1.4332961741087301E-4</v>
      </c>
      <c r="BD165" s="19"/>
      <c r="BE165" s="21">
        <v>-1.02856137955458E-4</v>
      </c>
      <c r="BF165" s="19"/>
      <c r="BG165" s="21"/>
      <c r="BH165" s="19"/>
    </row>
    <row r="166" spans="1:60" x14ac:dyDescent="0.15">
      <c r="A166" s="17">
        <v>2018</v>
      </c>
      <c r="B166" s="17">
        <v>3</v>
      </c>
      <c r="C166" s="21"/>
      <c r="D166" s="19"/>
      <c r="E166" s="21">
        <v>-1.2056559722961101E-3</v>
      </c>
      <c r="F166" s="19"/>
      <c r="G166" s="21">
        <v>2.20897290797949E-5</v>
      </c>
      <c r="H166" s="19"/>
      <c r="I166" s="21">
        <v>5.2306864810390204E-6</v>
      </c>
      <c r="J166" s="19"/>
      <c r="K166" s="21">
        <v>-1.4861001023356901E-4</v>
      </c>
      <c r="L166" s="19"/>
      <c r="M166" s="21">
        <v>1.0997202749097701E-3</v>
      </c>
      <c r="N166" s="19"/>
      <c r="O166" s="21">
        <v>-1.2483140954022199E-3</v>
      </c>
      <c r="P166" s="19"/>
      <c r="Q166" s="21">
        <v>-1.01677040321935E-3</v>
      </c>
      <c r="R166" s="19"/>
      <c r="S166" s="21">
        <v>3.4381771505339901E-5</v>
      </c>
      <c r="T166" s="19"/>
      <c r="U166" s="21">
        <v>2.7287068826771E-4</v>
      </c>
      <c r="V166" s="19"/>
      <c r="W166" s="21">
        <v>-3.16250610086884E-3</v>
      </c>
      <c r="X166" s="19"/>
      <c r="Y166" s="21">
        <v>-1.3909325626728199E-4</v>
      </c>
      <c r="Z166" s="19"/>
      <c r="AA166" s="21">
        <v>1.25499907955853E-4</v>
      </c>
      <c r="AB166" s="19"/>
      <c r="AC166" s="21">
        <v>2.0539353356305E-4</v>
      </c>
      <c r="AD166" s="19"/>
      <c r="AE166" s="21">
        <v>-2.0201917314277199E-4</v>
      </c>
      <c r="AF166" s="19"/>
      <c r="AG166" s="21">
        <v>4.38195520851901E-5</v>
      </c>
      <c r="AH166" s="19"/>
      <c r="AI166" s="21">
        <v>-4.7099212140384303E-4</v>
      </c>
      <c r="AJ166" s="19"/>
      <c r="AK166" s="21">
        <v>1.34976943998818E-4</v>
      </c>
      <c r="AL166" s="19"/>
      <c r="AM166" s="21">
        <v>1.72614630759227E-3</v>
      </c>
      <c r="AN166" s="19"/>
      <c r="AO166" s="21">
        <v>1.0155448993964199E-4</v>
      </c>
      <c r="AP166" s="19"/>
      <c r="AQ166" s="21">
        <v>-1.19505257642448E-4</v>
      </c>
      <c r="AR166" s="19"/>
      <c r="AS166" s="21">
        <v>6.0886207514458299E-4</v>
      </c>
      <c r="AT166" s="19"/>
      <c r="AU166" s="21">
        <v>1.87097708445198E-5</v>
      </c>
      <c r="AV166" s="19"/>
      <c r="AW166" s="21">
        <v>1.7664563249767399E-4</v>
      </c>
      <c r="AX166" s="19"/>
      <c r="AY166" s="21">
        <v>2.6640427510341502E-5</v>
      </c>
      <c r="AZ166" s="19"/>
      <c r="BA166" s="21">
        <v>-5.0941255809470098E-4</v>
      </c>
      <c r="BB166" s="19"/>
      <c r="BC166" s="21">
        <v>-3.3803774288634198E-4</v>
      </c>
      <c r="BD166" s="19"/>
      <c r="BE166" s="21">
        <v>-1.5306348512645501E-4</v>
      </c>
      <c r="BF166" s="19"/>
      <c r="BG166" s="21"/>
      <c r="BH166" s="19"/>
    </row>
    <row r="167" spans="1:60" x14ac:dyDescent="0.15">
      <c r="A167" s="17">
        <v>2018</v>
      </c>
      <c r="B167" s="17">
        <v>4</v>
      </c>
      <c r="C167" s="21"/>
      <c r="D167" s="19"/>
      <c r="E167" s="21">
        <v>5.8540086189386503E-3</v>
      </c>
      <c r="F167" s="19"/>
      <c r="G167" s="21">
        <v>-3.9554701276790803E-5</v>
      </c>
      <c r="H167" s="19"/>
      <c r="I167" s="21">
        <v>7.6005648663252199E-6</v>
      </c>
      <c r="J167" s="19"/>
      <c r="K167" s="21">
        <v>7.72496642561877E-3</v>
      </c>
      <c r="L167" s="19"/>
      <c r="M167" s="21">
        <v>3.82936638998888E-3</v>
      </c>
      <c r="N167" s="19"/>
      <c r="O167" s="21">
        <v>3.86993537526643E-3</v>
      </c>
      <c r="P167" s="19"/>
      <c r="Q167" s="21">
        <v>1.6143258266706101E-4</v>
      </c>
      <c r="R167" s="19"/>
      <c r="S167" s="21">
        <v>4.5473857275819597E-5</v>
      </c>
      <c r="T167" s="19"/>
      <c r="U167" s="21">
        <v>-4.9450020823580895E-4</v>
      </c>
      <c r="V167" s="19"/>
      <c r="W167" s="21">
        <v>-1.5914526558745E-3</v>
      </c>
      <c r="X167" s="19"/>
      <c r="Y167" s="21">
        <v>1.91942638232195E-4</v>
      </c>
      <c r="Z167" s="19"/>
      <c r="AA167" s="21">
        <v>1.77837366063317E-4</v>
      </c>
      <c r="AB167" s="19"/>
      <c r="AC167" s="21">
        <v>-5.75914760439382E-4</v>
      </c>
      <c r="AD167" s="19"/>
      <c r="AE167" s="21">
        <v>-1.9288963662630399E-4</v>
      </c>
      <c r="AF167" s="19"/>
      <c r="AG167" s="21">
        <v>-1.9650521281551702E-3</v>
      </c>
      <c r="AH167" s="19"/>
      <c r="AI167" s="21">
        <v>-1.67712903674001E-3</v>
      </c>
      <c r="AJ167" s="19"/>
      <c r="AK167" s="21">
        <v>-3.2525697273084999E-5</v>
      </c>
      <c r="AL167" s="19"/>
      <c r="AM167" s="21">
        <v>9.5568535108517499E-4</v>
      </c>
      <c r="AN167" s="19"/>
      <c r="AO167" s="21">
        <v>1.85470150196327E-4</v>
      </c>
      <c r="AP167" s="19"/>
      <c r="AQ167" s="21">
        <v>-3.9658887688467597E-6</v>
      </c>
      <c r="AR167" s="19"/>
      <c r="AS167" s="21">
        <v>9.6256619110802902E-4</v>
      </c>
      <c r="AT167" s="19"/>
      <c r="AU167" s="21">
        <v>1.7236237846650701E-4</v>
      </c>
      <c r="AV167" s="19"/>
      <c r="AW167" s="21">
        <v>1.13363644954547E-4</v>
      </c>
      <c r="AX167" s="19"/>
      <c r="AY167" s="21">
        <v>3.04448746111639E-5</v>
      </c>
      <c r="AZ167" s="19"/>
      <c r="BA167" s="21">
        <v>-1.8454372887110601E-4</v>
      </c>
      <c r="BB167" s="19"/>
      <c r="BC167" s="21">
        <v>-2.2965720948739701E-5</v>
      </c>
      <c r="BD167" s="19"/>
      <c r="BE167" s="21">
        <v>-1.54603015913651E-4</v>
      </c>
      <c r="BF167" s="19"/>
      <c r="BG167" s="21"/>
      <c r="BH167" s="19"/>
    </row>
    <row r="168" spans="1:60" x14ac:dyDescent="0.15">
      <c r="A168" s="17">
        <v>2019</v>
      </c>
      <c r="B168" s="17">
        <v>1</v>
      </c>
      <c r="C168" s="21"/>
      <c r="D168" s="19"/>
      <c r="E168" s="21">
        <v>1.6014835859868399E-3</v>
      </c>
      <c r="F168" s="19"/>
      <c r="G168" s="21">
        <v>-1.05279828155036E-4</v>
      </c>
      <c r="H168" s="19"/>
      <c r="I168" s="21">
        <v>-2.1801930176174499E-5</v>
      </c>
      <c r="J168" s="19"/>
      <c r="K168" s="21">
        <v>-2.2249842355893601E-4</v>
      </c>
      <c r="L168" s="19"/>
      <c r="M168" s="21">
        <v>-1.0128596162116599E-3</v>
      </c>
      <c r="N168" s="19"/>
      <c r="O168" s="21">
        <v>8.2627109056817303E-4</v>
      </c>
      <c r="P168" s="19"/>
      <c r="Q168" s="21">
        <v>4.62016015118886E-4</v>
      </c>
      <c r="R168" s="19"/>
      <c r="S168" s="21">
        <v>-9.3613570490311593E-5</v>
      </c>
      <c r="T168" s="19"/>
      <c r="U168" s="21">
        <v>3.03824930813362E-4</v>
      </c>
      <c r="V168" s="19"/>
      <c r="W168" s="21">
        <v>-2.14893878581288E-3</v>
      </c>
      <c r="X168" s="19"/>
      <c r="Y168" s="21">
        <v>1.3411363302542401E-4</v>
      </c>
      <c r="Z168" s="19"/>
      <c r="AA168" s="21">
        <v>1.2679807334685499E-3</v>
      </c>
      <c r="AB168" s="19"/>
      <c r="AC168" s="21">
        <v>1.4359563912303E-4</v>
      </c>
      <c r="AD168" s="19"/>
      <c r="AE168" s="21">
        <v>9.9285199859478802E-5</v>
      </c>
      <c r="AF168" s="19"/>
      <c r="AG168" s="21">
        <v>1.67294096202867E-5</v>
      </c>
      <c r="AH168" s="19"/>
      <c r="AI168" s="21">
        <v>4.5975248346209697E-4</v>
      </c>
      <c r="AJ168" s="19"/>
      <c r="AK168" s="21">
        <v>-2.0370298186851E-4</v>
      </c>
      <c r="AL168" s="19"/>
      <c r="AM168" s="21">
        <v>5.2666973927529605E-4</v>
      </c>
      <c r="AN168" s="19"/>
      <c r="AO168" s="21">
        <v>2.1818739746360001E-4</v>
      </c>
      <c r="AP168" s="19"/>
      <c r="AQ168" s="21">
        <v>-2.3582756456156501E-4</v>
      </c>
      <c r="AR168" s="19"/>
      <c r="AS168" s="21">
        <v>1.3201012897930101E-3</v>
      </c>
      <c r="AT168" s="19"/>
      <c r="AU168" s="21">
        <v>1.04989635004373E-4</v>
      </c>
      <c r="AV168" s="19"/>
      <c r="AW168" s="21">
        <v>1.3691031381122499E-4</v>
      </c>
      <c r="AX168" s="19"/>
      <c r="AY168" s="21">
        <v>3.4331859287735802E-5</v>
      </c>
      <c r="AZ168" s="19"/>
      <c r="BA168" s="21">
        <v>2.12213878562065E-4</v>
      </c>
      <c r="BB168" s="19"/>
      <c r="BC168" s="21">
        <v>5.5293279475809297E-5</v>
      </c>
      <c r="BD168" s="19"/>
      <c r="BE168" s="21">
        <v>1.5340501617085999E-4</v>
      </c>
      <c r="BF168" s="19"/>
      <c r="BG168" s="21"/>
      <c r="BH168" s="19"/>
    </row>
    <row r="169" spans="1:60" x14ac:dyDescent="0.15">
      <c r="A169" s="17">
        <v>2019</v>
      </c>
      <c r="B169" s="17">
        <v>2</v>
      </c>
      <c r="C169" s="21"/>
      <c r="D169" s="19"/>
      <c r="E169" s="21">
        <v>6.4781750490080399E-3</v>
      </c>
      <c r="F169" s="19"/>
      <c r="G169" s="21">
        <v>-6.4024422893424498E-5</v>
      </c>
      <c r="H169" s="19"/>
      <c r="I169" s="21">
        <v>-9.8129177685068795E-6</v>
      </c>
      <c r="J169" s="19"/>
      <c r="K169" s="21">
        <v>3.8918873473959802E-3</v>
      </c>
      <c r="L169" s="19"/>
      <c r="M169" s="21">
        <v>2.4636925592779E-3</v>
      </c>
      <c r="N169" s="19"/>
      <c r="O169" s="21">
        <v>1.3820584361605001E-3</v>
      </c>
      <c r="P169" s="19"/>
      <c r="Q169" s="21">
        <v>-3.3511001672747803E-4</v>
      </c>
      <c r="R169" s="19"/>
      <c r="S169" s="21">
        <v>-1.1766050456717E-4</v>
      </c>
      <c r="T169" s="19"/>
      <c r="U169" s="21">
        <v>2.0449564756043899E-5</v>
      </c>
      <c r="V169" s="19"/>
      <c r="W169" s="21">
        <v>6.1415343408334705E-4</v>
      </c>
      <c r="X169" s="19"/>
      <c r="Y169" s="21">
        <v>1.13480380171792E-4</v>
      </c>
      <c r="Z169" s="19"/>
      <c r="AA169" s="21">
        <v>1.18137806228144E-4</v>
      </c>
      <c r="AB169" s="19"/>
      <c r="AC169" s="21">
        <v>4.0900440044430898E-4</v>
      </c>
      <c r="AD169" s="19"/>
      <c r="AE169" s="21">
        <v>2.5449513483128501E-4</v>
      </c>
      <c r="AF169" s="19"/>
      <c r="AG169" s="21">
        <v>9.91521198144385E-4</v>
      </c>
      <c r="AH169" s="19"/>
      <c r="AI169" s="21">
        <v>9.16075710871251E-4</v>
      </c>
      <c r="AJ169" s="19"/>
      <c r="AK169" s="21">
        <v>-1.2659876852189299E-5</v>
      </c>
      <c r="AL169" s="19"/>
      <c r="AM169" s="21">
        <v>-3.8921040881991002E-4</v>
      </c>
      <c r="AN169" s="19"/>
      <c r="AO169" s="21">
        <v>3.1525811627163502E-4</v>
      </c>
      <c r="AP169" s="19"/>
      <c r="AQ169" s="21">
        <v>2.0062638596627299E-4</v>
      </c>
      <c r="AR169" s="19"/>
      <c r="AS169" s="21">
        <v>2.5749146697594402E-4</v>
      </c>
      <c r="AT169" s="19"/>
      <c r="AU169" s="21">
        <v>2.14715312370745E-4</v>
      </c>
      <c r="AV169" s="19"/>
      <c r="AW169" s="21">
        <v>4.6005921782678999E-5</v>
      </c>
      <c r="AX169" s="19"/>
      <c r="AY169" s="21">
        <v>1.7928890369835001E-5</v>
      </c>
      <c r="AZ169" s="19"/>
      <c r="BA169" s="21">
        <v>1.4131409168284401E-5</v>
      </c>
      <c r="BB169" s="19"/>
      <c r="BC169" s="21">
        <v>1.4398797410721101E-4</v>
      </c>
      <c r="BD169" s="19"/>
      <c r="BE169" s="21">
        <v>-1.2987626585961201E-4</v>
      </c>
      <c r="BF169" s="19"/>
      <c r="BG169" s="21"/>
      <c r="BH169" s="19"/>
    </row>
    <row r="170" spans="1:60" x14ac:dyDescent="0.15">
      <c r="A170" s="17">
        <v>2019</v>
      </c>
      <c r="B170" s="17">
        <v>3</v>
      </c>
      <c r="C170" s="21"/>
      <c r="D170" s="19"/>
      <c r="E170" s="21">
        <v>3.5702156947451198E-3</v>
      </c>
      <c r="F170" s="19"/>
      <c r="G170" s="21">
        <v>-4.1666526852318097E-5</v>
      </c>
      <c r="H170" s="19"/>
      <c r="I170" s="21">
        <v>-1.14767390406231E-5</v>
      </c>
      <c r="J170" s="19"/>
      <c r="K170" s="21">
        <v>2.7401173866803299E-3</v>
      </c>
      <c r="L170" s="19"/>
      <c r="M170" s="21">
        <v>3.3987080544273301E-3</v>
      </c>
      <c r="N170" s="19"/>
      <c r="O170" s="21">
        <v>-7.76219467284828E-4</v>
      </c>
      <c r="P170" s="19"/>
      <c r="Q170" s="21">
        <v>1.2552485861116499E-3</v>
      </c>
      <c r="R170" s="19"/>
      <c r="S170" s="21">
        <v>-7.3015662970676599E-6</v>
      </c>
      <c r="T170" s="19"/>
      <c r="U170" s="21">
        <v>-1.92507522695975E-5</v>
      </c>
      <c r="V170" s="19"/>
      <c r="W170" s="21">
        <v>-1.32446683140861E-3</v>
      </c>
      <c r="X170" s="19"/>
      <c r="Y170" s="21">
        <v>1.31984691541299E-4</v>
      </c>
      <c r="Z170" s="19"/>
      <c r="AA170" s="21">
        <v>-1.13653225308238E-4</v>
      </c>
      <c r="AB170" s="19"/>
      <c r="AC170" s="21">
        <v>1.5536113321225001E-4</v>
      </c>
      <c r="AD170" s="19"/>
      <c r="AE170" s="21">
        <v>8.14906812002212E-4</v>
      </c>
      <c r="AF170" s="19"/>
      <c r="AG170" s="21">
        <v>6.4117276004329205E-4</v>
      </c>
      <c r="AH170" s="19"/>
      <c r="AI170" s="21">
        <v>3.0183363875967899E-4</v>
      </c>
      <c r="AJ170" s="19"/>
      <c r="AK170" s="21">
        <v>1.6395713727103899E-4</v>
      </c>
      <c r="AL170" s="19"/>
      <c r="AM170" s="21">
        <v>2.3881107143684701E-4</v>
      </c>
      <c r="AN170" s="19"/>
      <c r="AO170" s="21">
        <v>4.1772147739120802E-4</v>
      </c>
      <c r="AP170" s="19"/>
      <c r="AQ170" s="21">
        <v>-2.2032276822795901E-4</v>
      </c>
      <c r="AR170" s="19"/>
      <c r="AS170" s="21">
        <v>-5.9862299129243501E-4</v>
      </c>
      <c r="AT170" s="19"/>
      <c r="AU170" s="21">
        <v>-1.11776532345592E-4</v>
      </c>
      <c r="AV170" s="19"/>
      <c r="AW170" s="21">
        <v>-2.5368209013412898E-4</v>
      </c>
      <c r="AX170" s="19"/>
      <c r="AY170" s="21">
        <v>5.0341287464707797E-6</v>
      </c>
      <c r="AZ170" s="19"/>
      <c r="BA170" s="21">
        <v>-6.1830529436145599E-6</v>
      </c>
      <c r="BB170" s="19"/>
      <c r="BC170" s="21">
        <v>2.0777977929000501E-4</v>
      </c>
      <c r="BD170" s="19"/>
      <c r="BE170" s="21">
        <v>-2.1764663543520201E-4</v>
      </c>
      <c r="BF170" s="19"/>
      <c r="BG170" s="21"/>
      <c r="BH170" s="19"/>
    </row>
    <row r="171" spans="1:60" x14ac:dyDescent="0.15">
      <c r="A171" s="17">
        <v>2019</v>
      </c>
      <c r="B171" s="17">
        <v>4</v>
      </c>
      <c r="C171" s="21"/>
      <c r="D171" s="19"/>
      <c r="E171" s="21">
        <v>1.9199759420839499E-3</v>
      </c>
      <c r="F171" s="19"/>
      <c r="G171" s="21">
        <v>-1.29846877813982E-5</v>
      </c>
      <c r="H171" s="19"/>
      <c r="I171" s="21">
        <v>-5.6913224509851103E-6</v>
      </c>
      <c r="J171" s="19"/>
      <c r="K171" s="21">
        <v>-3.5379052836557998E-3</v>
      </c>
      <c r="L171" s="19"/>
      <c r="M171" s="21">
        <v>-6.9507835194498196E-4</v>
      </c>
      <c r="N171" s="19"/>
      <c r="O171" s="21">
        <v>-2.8863332694972102E-3</v>
      </c>
      <c r="P171" s="19"/>
      <c r="Q171" s="21">
        <v>-1.99392688106095E-5</v>
      </c>
      <c r="R171" s="19"/>
      <c r="S171" s="21">
        <v>5.60135774383023E-5</v>
      </c>
      <c r="T171" s="19"/>
      <c r="U171" s="21">
        <v>2.58563132100497E-4</v>
      </c>
      <c r="V171" s="19"/>
      <c r="W171" s="21">
        <v>1.69571609778997E-3</v>
      </c>
      <c r="X171" s="19"/>
      <c r="Y171" s="21">
        <v>-1.5815529938380799E-4</v>
      </c>
      <c r="Z171" s="19"/>
      <c r="AA171" s="21">
        <v>3.1666644369927199E-4</v>
      </c>
      <c r="AB171" s="19"/>
      <c r="AC171" s="21">
        <v>5.7464999611931502E-5</v>
      </c>
      <c r="AD171" s="19"/>
      <c r="AE171" s="21">
        <v>-3.17347255223775E-4</v>
      </c>
      <c r="AF171" s="19"/>
      <c r="AG171" s="21">
        <v>2.3932655480280998E-3</v>
      </c>
      <c r="AH171" s="19"/>
      <c r="AI171" s="21">
        <v>1.74380268900407E-3</v>
      </c>
      <c r="AJ171" s="19"/>
      <c r="AK171" s="21">
        <v>3.31891075576092E-4</v>
      </c>
      <c r="AL171" s="19"/>
      <c r="AM171" s="21">
        <v>7.3017413772351195E-4</v>
      </c>
      <c r="AN171" s="19"/>
      <c r="AO171" s="21">
        <v>4.3843769037597402E-4</v>
      </c>
      <c r="AP171" s="19"/>
      <c r="AQ171" s="21">
        <v>2.4222041630469601E-4</v>
      </c>
      <c r="AR171" s="19"/>
      <c r="AS171" s="21">
        <v>-9.7982297136318302E-5</v>
      </c>
      <c r="AT171" s="19"/>
      <c r="AU171" s="21">
        <v>-3.1316353702612798E-4</v>
      </c>
      <c r="AV171" s="19"/>
      <c r="AW171" s="21">
        <v>-7.0777049806486697E-5</v>
      </c>
      <c r="AX171" s="19"/>
      <c r="AY171" s="21">
        <v>-1.01893007478718E-5</v>
      </c>
      <c r="AZ171" s="19"/>
      <c r="BA171" s="21">
        <v>-7.3055250246020396E-5</v>
      </c>
      <c r="BB171" s="19"/>
      <c r="BC171" s="21">
        <v>1.7242085507196799E-4</v>
      </c>
      <c r="BD171" s="19"/>
      <c r="BE171" s="21">
        <v>-2.5207021528127302E-4</v>
      </c>
      <c r="BF171" s="19"/>
      <c r="BG171" s="21"/>
      <c r="BH171" s="19"/>
    </row>
    <row r="172" spans="1:60" x14ac:dyDescent="0.15">
      <c r="A172" s="17">
        <v>2020</v>
      </c>
      <c r="B172" s="17">
        <v>1</v>
      </c>
      <c r="C172" s="21"/>
      <c r="D172" s="19"/>
      <c r="E172" s="21">
        <v>-1.0388732167821499E-2</v>
      </c>
      <c r="F172" s="19"/>
      <c r="G172" s="21">
        <v>5.5585580330856298E-5</v>
      </c>
      <c r="H172" s="19"/>
      <c r="I172" s="21">
        <v>-8.9225774752141406E-6</v>
      </c>
      <c r="J172" s="19"/>
      <c r="K172" s="21">
        <v>-3.1942095976267302E-3</v>
      </c>
      <c r="L172" s="19"/>
      <c r="M172" s="21">
        <v>9.5172352354149295E-4</v>
      </c>
      <c r="N172" s="19"/>
      <c r="O172" s="21">
        <v>-4.0849235969961503E-3</v>
      </c>
      <c r="P172" s="19"/>
      <c r="Q172" s="21">
        <v>-6.6051044217837595E-4</v>
      </c>
      <c r="R172" s="19"/>
      <c r="S172" s="21">
        <v>9.7185465636972297E-5</v>
      </c>
      <c r="T172" s="19"/>
      <c r="U172" s="21">
        <v>-4.50963346274157E-4</v>
      </c>
      <c r="V172" s="19"/>
      <c r="W172" s="21">
        <v>1.1923683899513499E-3</v>
      </c>
      <c r="X172" s="19"/>
      <c r="Y172" s="21">
        <v>-8.4100531200528904E-4</v>
      </c>
      <c r="Z172" s="19"/>
      <c r="AA172" s="21">
        <v>-2.96727691602491E-3</v>
      </c>
      <c r="AB172" s="19"/>
      <c r="AC172" s="21">
        <v>-3.8262529881267801E-3</v>
      </c>
      <c r="AD172" s="19"/>
      <c r="AE172" s="21">
        <v>-8.1619395700567198E-6</v>
      </c>
      <c r="AF172" s="19"/>
      <c r="AG172" s="21">
        <v>1.9093797026453101E-3</v>
      </c>
      <c r="AH172" s="19"/>
      <c r="AI172" s="21">
        <v>1.2334091756212699E-3</v>
      </c>
      <c r="AJ172" s="19"/>
      <c r="AK172" s="21">
        <v>4.9544510813444905E-4</v>
      </c>
      <c r="AL172" s="19"/>
      <c r="AM172" s="21">
        <v>-6.8434979756105204E-4</v>
      </c>
      <c r="AN172" s="19"/>
      <c r="AO172" s="21">
        <v>7.3850393095798101E-4</v>
      </c>
      <c r="AP172" s="19"/>
      <c r="AQ172" s="21">
        <v>4.5852636317079499E-4</v>
      </c>
      <c r="AR172" s="19"/>
      <c r="AS172" s="21">
        <v>-1.2868761726533299E-3</v>
      </c>
      <c r="AT172" s="19"/>
      <c r="AU172" s="21">
        <v>-8.3851043936021097E-4</v>
      </c>
      <c r="AV172" s="19"/>
      <c r="AW172" s="21">
        <v>-9.0749304275823998E-4</v>
      </c>
      <c r="AX172" s="19"/>
      <c r="AY172" s="21">
        <v>-2.44446784366671E-4</v>
      </c>
      <c r="AZ172" s="19"/>
      <c r="BA172" s="21">
        <v>-7.0839260631454703E-4</v>
      </c>
      <c r="BB172" s="19"/>
      <c r="BC172" s="21">
        <v>-3.94302895482982E-4</v>
      </c>
      <c r="BD172" s="19"/>
      <c r="BE172" s="21">
        <v>-3.07742457513566E-4</v>
      </c>
      <c r="BF172" s="19"/>
      <c r="BG172" s="21"/>
      <c r="BH172" s="19"/>
    </row>
    <row r="173" spans="1:60" x14ac:dyDescent="0.15">
      <c r="A173" s="17">
        <v>2020</v>
      </c>
      <c r="B173" s="17">
        <v>2</v>
      </c>
      <c r="C173" s="21"/>
      <c r="D173" s="19"/>
      <c r="E173" s="21">
        <v>-6.0535692517209798E-2</v>
      </c>
      <c r="F173" s="19"/>
      <c r="G173" s="21">
        <v>-2.0095247683541401E-5</v>
      </c>
      <c r="H173" s="19"/>
      <c r="I173" s="21">
        <v>5.4284200980312397E-6</v>
      </c>
      <c r="J173" s="19"/>
      <c r="K173" s="21">
        <v>-1.72493954980989E-2</v>
      </c>
      <c r="L173" s="19"/>
      <c r="M173" s="21">
        <v>1.25794316538689E-3</v>
      </c>
      <c r="N173" s="19"/>
      <c r="O173" s="21">
        <v>-1.8886427872557301E-2</v>
      </c>
      <c r="P173" s="19"/>
      <c r="Q173" s="21">
        <v>-1.1996778792561699E-3</v>
      </c>
      <c r="R173" s="19"/>
      <c r="S173" s="21">
        <v>1.3106371614059E-4</v>
      </c>
      <c r="T173" s="19"/>
      <c r="U173" s="21">
        <v>-3.37671151344234E-3</v>
      </c>
      <c r="V173" s="19"/>
      <c r="W173" s="21">
        <v>-3.4961103097341998E-3</v>
      </c>
      <c r="X173" s="19"/>
      <c r="Y173" s="21">
        <v>-9.0356633974309495E-4</v>
      </c>
      <c r="Z173" s="19"/>
      <c r="AA173" s="21">
        <v>-8.1992911816614403E-3</v>
      </c>
      <c r="AB173" s="19"/>
      <c r="AC173" s="21">
        <v>-1.0711057532272699E-2</v>
      </c>
      <c r="AD173" s="19"/>
      <c r="AE173" s="21">
        <v>2.5767195699800599E-6</v>
      </c>
      <c r="AF173" s="19"/>
      <c r="AG173" s="21">
        <v>-1.12391887648024E-3</v>
      </c>
      <c r="AH173" s="19"/>
      <c r="AI173" s="21">
        <v>-1.07551324358413E-3</v>
      </c>
      <c r="AJ173" s="19"/>
      <c r="AK173" s="21">
        <v>4.6120676510607501E-5</v>
      </c>
      <c r="AL173" s="19"/>
      <c r="AM173" s="21">
        <v>-9.0556248170058102E-3</v>
      </c>
      <c r="AN173" s="19"/>
      <c r="AO173" s="21">
        <v>1.53024529913992E-4</v>
      </c>
      <c r="AP173" s="19"/>
      <c r="AQ173" s="21">
        <v>-9.0081980571465805E-4</v>
      </c>
      <c r="AR173" s="19"/>
      <c r="AS173" s="21">
        <v>-2.2081676865457001E-3</v>
      </c>
      <c r="AT173" s="19"/>
      <c r="AU173" s="21">
        <v>-2.1594385812195001E-3</v>
      </c>
      <c r="AV173" s="19"/>
      <c r="AW173" s="21">
        <v>-1.16593198433923E-3</v>
      </c>
      <c r="AX173" s="19"/>
      <c r="AY173" s="21">
        <v>-8.7888600304618998E-4</v>
      </c>
      <c r="AZ173" s="19"/>
      <c r="BA173" s="21">
        <v>-2.7995918957396501E-3</v>
      </c>
      <c r="BB173" s="19"/>
      <c r="BC173" s="21">
        <v>-2.7834943788600901E-3</v>
      </c>
      <c r="BD173" s="19"/>
      <c r="BE173" s="21">
        <v>-8.2444634833728302E-6</v>
      </c>
      <c r="BF173" s="19"/>
      <c r="BG173" s="21"/>
      <c r="BH173" s="19"/>
    </row>
    <row r="174" spans="1:60" x14ac:dyDescent="0.15">
      <c r="A174" s="17">
        <v>2020</v>
      </c>
      <c r="B174" s="17">
        <v>3</v>
      </c>
      <c r="C174" s="21"/>
      <c r="D174" s="19"/>
      <c r="E174" s="21">
        <v>5.9242833684338199E-2</v>
      </c>
      <c r="F174" s="19"/>
      <c r="G174" s="21">
        <v>-7.2087423546992701E-5</v>
      </c>
      <c r="H174" s="19"/>
      <c r="I174" s="21">
        <v>5.5455065928484004E-7</v>
      </c>
      <c r="J174" s="19"/>
      <c r="K174" s="21">
        <v>1.6194086965472101E-2</v>
      </c>
      <c r="L174" s="19"/>
      <c r="M174" s="21">
        <v>-1.4991673243574301E-3</v>
      </c>
      <c r="N174" s="19"/>
      <c r="O174" s="21">
        <v>1.8205224592464299E-2</v>
      </c>
      <c r="P174" s="19"/>
      <c r="Q174" s="21">
        <v>-8.8688577634320805E-4</v>
      </c>
      <c r="R174" s="19"/>
      <c r="S174" s="21">
        <v>3.8967514238821198E-5</v>
      </c>
      <c r="T174" s="19"/>
      <c r="U174" s="21">
        <v>3.76654463833638E-3</v>
      </c>
      <c r="V174" s="19"/>
      <c r="W174" s="21">
        <v>5.8198879583101996E-3</v>
      </c>
      <c r="X174" s="19"/>
      <c r="Y174" s="21">
        <v>1.84140837255215E-3</v>
      </c>
      <c r="Z174" s="19"/>
      <c r="AA174" s="21">
        <v>5.2247089720971899E-3</v>
      </c>
      <c r="AB174" s="19"/>
      <c r="AC174" s="21">
        <v>9.2634895384419401E-3</v>
      </c>
      <c r="AD174" s="19"/>
      <c r="AE174" s="21">
        <v>5.7238887024667296E-4</v>
      </c>
      <c r="AF174" s="19"/>
      <c r="AG174" s="21">
        <v>1.20930391472144E-3</v>
      </c>
      <c r="AH174" s="19"/>
      <c r="AI174" s="21">
        <v>1.0286193238384E-3</v>
      </c>
      <c r="AJ174" s="19"/>
      <c r="AK174" s="21">
        <v>-4.1766624134127099E-4</v>
      </c>
      <c r="AL174" s="19"/>
      <c r="AM174" s="21">
        <v>9.9671705701479592E-3</v>
      </c>
      <c r="AN174" s="19"/>
      <c r="AO174" s="21">
        <v>1.16238027260609E-5</v>
      </c>
      <c r="AP174" s="19"/>
      <c r="AQ174" s="21">
        <v>4.4575530030633898E-4</v>
      </c>
      <c r="AR174" s="19"/>
      <c r="AS174" s="21">
        <v>4.0000453869583298E-3</v>
      </c>
      <c r="AT174" s="19"/>
      <c r="AU174" s="21">
        <v>2.0778566220756101E-3</v>
      </c>
      <c r="AV174" s="19"/>
      <c r="AW174" s="21">
        <v>1.5088377072686801E-3</v>
      </c>
      <c r="AX174" s="19"/>
      <c r="AY174" s="21">
        <v>8.3484546435365402E-4</v>
      </c>
      <c r="AZ174" s="19"/>
      <c r="BA174" s="21">
        <v>2.08798207313252E-3</v>
      </c>
      <c r="BB174" s="19"/>
      <c r="BC174" s="21">
        <v>2.2952722824607099E-3</v>
      </c>
      <c r="BD174" s="19"/>
      <c r="BE174" s="21">
        <v>-2.1489270120782201E-4</v>
      </c>
      <c r="BF174" s="19"/>
      <c r="BG174" s="21"/>
      <c r="BH174" s="19"/>
    </row>
    <row r="175" spans="1:60" x14ac:dyDescent="0.15">
      <c r="A175" s="17">
        <v>2020</v>
      </c>
      <c r="B175" s="17">
        <v>4</v>
      </c>
      <c r="C175" s="21"/>
      <c r="D175" s="19"/>
      <c r="E175" s="21">
        <v>9.1501802968520802E-3</v>
      </c>
      <c r="F175" s="19"/>
      <c r="G175" s="21">
        <v>-1.3738125311835199E-4</v>
      </c>
      <c r="H175" s="19"/>
      <c r="I175" s="21">
        <v>-1.02450586213259E-5</v>
      </c>
      <c r="J175" s="19"/>
      <c r="K175" s="21">
        <v>8.7420203673834306E-3</v>
      </c>
      <c r="L175" s="19"/>
      <c r="M175" s="21">
        <v>4.2654855393956604E-3</v>
      </c>
      <c r="N175" s="19"/>
      <c r="O175" s="21">
        <v>4.3981507798009504E-3</v>
      </c>
      <c r="P175" s="19"/>
      <c r="Q175" s="21">
        <v>2.2018751449740599E-4</v>
      </c>
      <c r="R175" s="19"/>
      <c r="S175" s="21">
        <v>-1.08764820816906E-4</v>
      </c>
      <c r="T175" s="19"/>
      <c r="U175" s="21">
        <v>8.0341542235555497E-5</v>
      </c>
      <c r="V175" s="19"/>
      <c r="W175" s="21">
        <v>-3.28489711443836E-3</v>
      </c>
      <c r="X175" s="19"/>
      <c r="Y175" s="21">
        <v>2.8285191565679798E-4</v>
      </c>
      <c r="Z175" s="19"/>
      <c r="AA175" s="21">
        <v>2.7861919532263602E-4</v>
      </c>
      <c r="AB175" s="19"/>
      <c r="AC175" s="21">
        <v>-3.0105705251603902E-3</v>
      </c>
      <c r="AD175" s="19"/>
      <c r="AE175" s="21">
        <v>2.0842426877246399E-3</v>
      </c>
      <c r="AF175" s="19"/>
      <c r="AG175" s="21">
        <v>1.0639773055237799E-3</v>
      </c>
      <c r="AH175" s="19"/>
      <c r="AI175" s="21">
        <v>1.5464614028979399E-3</v>
      </c>
      <c r="AJ175" s="19"/>
      <c r="AK175" s="21">
        <v>-8.3767225099695805E-4</v>
      </c>
      <c r="AL175" s="19"/>
      <c r="AM175" s="21">
        <v>1.7995482342311399E-3</v>
      </c>
      <c r="AN175" s="19"/>
      <c r="AO175" s="21">
        <v>2.33871106388489E-4</v>
      </c>
      <c r="AP175" s="19"/>
      <c r="AQ175" s="21">
        <v>1.9029591325033901E-4</v>
      </c>
      <c r="AR175" s="19"/>
      <c r="AS175" s="21">
        <v>1.13356553988338E-3</v>
      </c>
      <c r="AT175" s="19"/>
      <c r="AU175" s="21">
        <v>-1.11666563234374E-4</v>
      </c>
      <c r="AV175" s="19"/>
      <c r="AW175" s="21">
        <v>1.4173587116686999E-4</v>
      </c>
      <c r="AX175" s="19"/>
      <c r="AY175" s="21">
        <v>-2.1247801548602101E-5</v>
      </c>
      <c r="AZ175" s="19"/>
      <c r="BA175" s="21">
        <v>1.42567532442623E-4</v>
      </c>
      <c r="BB175" s="19"/>
      <c r="BC175" s="21">
        <v>2.11946931132677E-4</v>
      </c>
      <c r="BD175" s="19"/>
      <c r="BE175" s="21">
        <v>-7.0275977338503802E-5</v>
      </c>
      <c r="BF175" s="19"/>
      <c r="BG175" s="21"/>
      <c r="BH175" s="19"/>
    </row>
    <row r="176" spans="1:60" x14ac:dyDescent="0.15">
      <c r="A176" s="17">
        <v>2021</v>
      </c>
      <c r="B176" s="17">
        <v>1</v>
      </c>
      <c r="C176" s="21"/>
      <c r="D176" s="19"/>
      <c r="E176" s="21">
        <v>5.8535408861470203E-3</v>
      </c>
      <c r="F176" s="19"/>
      <c r="G176" s="21">
        <v>-3.2748782638549601E-4</v>
      </c>
      <c r="H176" s="19"/>
      <c r="I176" s="21">
        <v>-1.8989160669811301E-5</v>
      </c>
      <c r="J176" s="19"/>
      <c r="K176" s="21">
        <v>1.5754000855117599E-2</v>
      </c>
      <c r="L176" s="19"/>
      <c r="M176" s="21">
        <v>8.3057260868052794E-3</v>
      </c>
      <c r="N176" s="19"/>
      <c r="O176" s="21">
        <v>7.3348539770435603E-3</v>
      </c>
      <c r="P176" s="19"/>
      <c r="Q176" s="21">
        <v>-1.12407876961215E-3</v>
      </c>
      <c r="R176" s="19"/>
      <c r="S176" s="21">
        <v>-1.14444412248575E-4</v>
      </c>
      <c r="T176" s="19"/>
      <c r="U176" s="21">
        <v>-1.4725147816112E-5</v>
      </c>
      <c r="V176" s="19"/>
      <c r="W176" s="21">
        <v>-6.6222094386817502E-3</v>
      </c>
      <c r="X176" s="19"/>
      <c r="Y176" s="21">
        <v>-3.4666215164454802E-4</v>
      </c>
      <c r="Z176" s="19"/>
      <c r="AA176" s="21">
        <v>-9.1346623825058705E-4</v>
      </c>
      <c r="AB176" s="19"/>
      <c r="AC176" s="21">
        <v>-5.2781580034941197E-3</v>
      </c>
      <c r="AD176" s="19"/>
      <c r="AE176" s="21">
        <v>2.5689619139298599E-4</v>
      </c>
      <c r="AF176" s="19"/>
      <c r="AG176" s="21">
        <v>1.6536441368524501E-3</v>
      </c>
      <c r="AH176" s="19"/>
      <c r="AI176" s="21">
        <v>2.3605770498023098E-3</v>
      </c>
      <c r="AJ176" s="19"/>
      <c r="AK176" s="21">
        <v>-1.2964391671847701E-3</v>
      </c>
      <c r="AL176" s="19"/>
      <c r="AM176" s="21">
        <v>1.9616017836290799E-3</v>
      </c>
      <c r="AN176" s="19"/>
      <c r="AO176" s="21">
        <v>3.50721712600585E-4</v>
      </c>
      <c r="AP176" s="19"/>
      <c r="AQ176" s="21">
        <v>-1.01253838030484E-5</v>
      </c>
      <c r="AR176" s="19"/>
      <c r="AS176" s="21">
        <v>5.7607068891821797E-4</v>
      </c>
      <c r="AT176" s="19"/>
      <c r="AU176" s="21">
        <v>-6.9883022907367399E-4</v>
      </c>
      <c r="AV176" s="19"/>
      <c r="AW176" s="21">
        <v>5.1688392679070199E-5</v>
      </c>
      <c r="AX176" s="19"/>
      <c r="AY176" s="21">
        <v>-2.4472576692150899E-4</v>
      </c>
      <c r="AZ176" s="19"/>
      <c r="BA176" s="21">
        <v>-1.3963590252109501E-4</v>
      </c>
      <c r="BB176" s="19"/>
      <c r="BC176" s="21">
        <v>-2.7932818478122401E-5</v>
      </c>
      <c r="BD176" s="19"/>
      <c r="BE176" s="21">
        <v>-1.0748039449599201E-4</v>
      </c>
      <c r="BF176" s="19"/>
      <c r="BG176" s="21"/>
      <c r="BH176" s="19"/>
    </row>
    <row r="177" spans="1:60" x14ac:dyDescent="0.15">
      <c r="A177" s="17">
        <v>2021</v>
      </c>
      <c r="B177" s="17">
        <v>2</v>
      </c>
      <c r="C177" s="21"/>
      <c r="D177" s="19"/>
      <c r="E177" s="21">
        <v>2.4157656475082102E-2</v>
      </c>
      <c r="F177" s="19"/>
      <c r="G177" s="21">
        <v>-5.8478298872083398E-5</v>
      </c>
      <c r="H177" s="19"/>
      <c r="I177" s="21">
        <v>1.103188677069E-5</v>
      </c>
      <c r="J177" s="19"/>
      <c r="K177" s="21">
        <v>9.4060143567358308E-3</v>
      </c>
      <c r="L177" s="19"/>
      <c r="M177" s="21">
        <v>7.11436532527917E-3</v>
      </c>
      <c r="N177" s="19"/>
      <c r="O177" s="21">
        <v>2.2763608434492699E-3</v>
      </c>
      <c r="P177" s="19"/>
      <c r="Q177" s="21">
        <v>-1.17577721639175E-3</v>
      </c>
      <c r="R177" s="19"/>
      <c r="S177" s="21">
        <v>-3.84529327688271E-5</v>
      </c>
      <c r="T177" s="19"/>
      <c r="U177" s="21">
        <v>4.5107456458399602E-4</v>
      </c>
      <c r="V177" s="19"/>
      <c r="W177" s="21">
        <v>-3.1994432917067098E-4</v>
      </c>
      <c r="X177" s="19"/>
      <c r="Y177" s="21">
        <v>1.78641043246964E-3</v>
      </c>
      <c r="Z177" s="19"/>
      <c r="AA177" s="21">
        <v>1.6746448124742E-3</v>
      </c>
      <c r="AB177" s="19"/>
      <c r="AC177" s="21">
        <v>3.61685984062575E-3</v>
      </c>
      <c r="AD177" s="19"/>
      <c r="AE177" s="21">
        <v>1.63325227298965E-5</v>
      </c>
      <c r="AF177" s="19"/>
      <c r="AG177" s="21">
        <v>2.1816495333872102E-3</v>
      </c>
      <c r="AH177" s="19"/>
      <c r="AI177" s="21">
        <v>1.8583714737612799E-3</v>
      </c>
      <c r="AJ177" s="19"/>
      <c r="AK177" s="21">
        <v>-4.9981549281000995E-4</v>
      </c>
      <c r="AL177" s="19"/>
      <c r="AM177" s="21">
        <v>3.9595244149128999E-3</v>
      </c>
      <c r="AN177" s="19"/>
      <c r="AO177" s="21">
        <v>-1.5788729994013499E-5</v>
      </c>
      <c r="AP177" s="19"/>
      <c r="AQ177" s="21">
        <v>1.01383425477232E-5</v>
      </c>
      <c r="AR177" s="19"/>
      <c r="AS177" s="21">
        <v>1.9063180337513101E-3</v>
      </c>
      <c r="AT177" s="19"/>
      <c r="AU177" s="21">
        <v>1.08970975844966E-3</v>
      </c>
      <c r="AV177" s="19"/>
      <c r="AW177" s="21">
        <v>6.8233034427893097E-4</v>
      </c>
      <c r="AX177" s="19"/>
      <c r="AY177" s="21">
        <v>2.53951261022721E-4</v>
      </c>
      <c r="AZ177" s="19"/>
      <c r="BA177" s="21">
        <v>1.0380568098005299E-3</v>
      </c>
      <c r="BB177" s="19"/>
      <c r="BC177" s="21">
        <v>8.9907301318382601E-4</v>
      </c>
      <c r="BD177" s="19"/>
      <c r="BE177" s="21">
        <v>1.2233388935810601E-4</v>
      </c>
      <c r="BF177" s="19"/>
      <c r="BG177" s="21"/>
      <c r="BH177" s="19"/>
    </row>
    <row r="178" spans="1:60" x14ac:dyDescent="0.15">
      <c r="A178" s="17">
        <v>2021</v>
      </c>
      <c r="B178" s="17">
        <v>3</v>
      </c>
      <c r="C178" s="21"/>
      <c r="D178" s="19"/>
      <c r="E178" s="21">
        <v>1.9312451454981099E-2</v>
      </c>
      <c r="F178" s="19"/>
      <c r="G178" s="21">
        <v>7.6663642689961696E-5</v>
      </c>
      <c r="H178" s="19"/>
      <c r="I178" s="21">
        <v>-7.6403420829552392E-6</v>
      </c>
      <c r="J178" s="19"/>
      <c r="K178" s="21">
        <v>1.0133064874265201E-2</v>
      </c>
      <c r="L178" s="19"/>
      <c r="M178" s="21">
        <v>5.8278881204629996E-3</v>
      </c>
      <c r="N178" s="19"/>
      <c r="O178" s="21">
        <v>4.28414100094865E-3</v>
      </c>
      <c r="P178" s="19"/>
      <c r="Q178" s="21">
        <v>2.6214310946551901E-4</v>
      </c>
      <c r="R178" s="19"/>
      <c r="S178" s="21">
        <v>-3.8204638555175298E-5</v>
      </c>
      <c r="T178" s="19"/>
      <c r="U178" s="21">
        <v>2.4500949722918699E-4</v>
      </c>
      <c r="V178" s="19"/>
      <c r="W178" s="21">
        <v>-1.0114749543140299E-2</v>
      </c>
      <c r="X178" s="19"/>
      <c r="Y178" s="21">
        <v>-1.3422533825650099E-3</v>
      </c>
      <c r="Z178" s="19"/>
      <c r="AA178" s="21">
        <v>2.5381611177966198E-3</v>
      </c>
      <c r="AB178" s="19"/>
      <c r="AC178" s="21">
        <v>5.2060386031520696E-3</v>
      </c>
      <c r="AD178" s="19"/>
      <c r="AE178" s="21">
        <v>4.0502251536742799E-4</v>
      </c>
      <c r="AF178" s="19"/>
      <c r="AG178" s="21">
        <v>1.9103134991253299E-3</v>
      </c>
      <c r="AH178" s="19"/>
      <c r="AI178" s="21">
        <v>7.69489357804332E-4</v>
      </c>
      <c r="AJ178" s="19"/>
      <c r="AK178" s="21">
        <v>2.7439011499671301E-4</v>
      </c>
      <c r="AL178" s="19"/>
      <c r="AM178" s="21">
        <v>4.1486099536383802E-3</v>
      </c>
      <c r="AN178" s="19"/>
      <c r="AO178" s="21">
        <v>2.5267858991621798E-4</v>
      </c>
      <c r="AP178" s="19"/>
      <c r="AQ178" s="21">
        <v>-4.2092710902555101E-5</v>
      </c>
      <c r="AR178" s="19"/>
      <c r="AS178" s="21">
        <v>7.2285510827357002E-4</v>
      </c>
      <c r="AT178" s="19"/>
      <c r="AU178" s="21">
        <v>8.3406834002950204E-4</v>
      </c>
      <c r="AV178" s="19"/>
      <c r="AW178" s="21">
        <v>3.9039548059181101E-4</v>
      </c>
      <c r="AX178" s="19"/>
      <c r="AY178" s="21">
        <v>1.7636276456230101E-4</v>
      </c>
      <c r="AZ178" s="19"/>
      <c r="BA178" s="21">
        <v>6.8059861253483701E-4</v>
      </c>
      <c r="BB178" s="19"/>
      <c r="BC178" s="21">
        <v>7.4865671960504796E-4</v>
      </c>
      <c r="BD178" s="19"/>
      <c r="BE178" s="21">
        <v>-8.1925649135544904E-5</v>
      </c>
      <c r="BF178" s="19"/>
      <c r="BG178" s="21"/>
      <c r="BH178" s="19"/>
    </row>
    <row r="179" spans="1:60" x14ac:dyDescent="0.15">
      <c r="A179" s="17">
        <v>2021</v>
      </c>
      <c r="B179" s="17">
        <v>4</v>
      </c>
      <c r="C179" s="21"/>
      <c r="D179" s="19"/>
      <c r="E179" s="21">
        <v>1.0360356251275399E-2</v>
      </c>
      <c r="F179" s="19"/>
      <c r="G179" s="21">
        <v>1.74429438120364E-4</v>
      </c>
      <c r="H179" s="19"/>
      <c r="I179" s="21">
        <v>-3.7201928061117598E-5</v>
      </c>
      <c r="J179" s="19"/>
      <c r="K179" s="21">
        <v>7.1153962458893301E-3</v>
      </c>
      <c r="L179" s="19"/>
      <c r="M179" s="21">
        <v>5.5786057546377502E-3</v>
      </c>
      <c r="N179" s="19"/>
      <c r="O179" s="21">
        <v>1.4523874853932699E-3</v>
      </c>
      <c r="P179" s="19"/>
      <c r="Q179" s="21">
        <v>-2.8094288280517099E-4</v>
      </c>
      <c r="R179" s="19"/>
      <c r="S179" s="21">
        <v>7.4830631622707994E-5</v>
      </c>
      <c r="T179" s="19"/>
      <c r="U179" s="21">
        <v>-7.3586324859970702E-4</v>
      </c>
      <c r="V179" s="19"/>
      <c r="W179" s="21">
        <v>-2.1829575444206198E-3</v>
      </c>
      <c r="X179" s="19"/>
      <c r="Y179" s="21">
        <v>1.30708198395074E-3</v>
      </c>
      <c r="Z179" s="19"/>
      <c r="AA179" s="21">
        <v>6.9308162260279301E-4</v>
      </c>
      <c r="AB179" s="19"/>
      <c r="AC179" s="21">
        <v>4.7499891541493501E-4</v>
      </c>
      <c r="AD179" s="19"/>
      <c r="AE179" s="21">
        <v>6.8127898214723496E-4</v>
      </c>
      <c r="AF179" s="19"/>
      <c r="AG179" s="21">
        <v>-3.4242914162394399E-5</v>
      </c>
      <c r="AH179" s="19"/>
      <c r="AI179" s="21">
        <v>-1.43085241253709E-3</v>
      </c>
      <c r="AJ179" s="19"/>
      <c r="AK179" s="21">
        <v>1.01556654073477E-3</v>
      </c>
      <c r="AL179" s="19"/>
      <c r="AM179" s="21">
        <v>1.9768803623030199E-3</v>
      </c>
      <c r="AN179" s="19"/>
      <c r="AO179" s="21">
        <v>2.38961091837745E-4</v>
      </c>
      <c r="AP179" s="19"/>
      <c r="AQ179" s="21">
        <v>9.5574389490517302E-5</v>
      </c>
      <c r="AR179" s="19"/>
      <c r="AS179" s="21">
        <v>9.1731048387295295E-4</v>
      </c>
      <c r="AT179" s="19"/>
      <c r="AU179" s="21">
        <v>3.5651633166592099E-4</v>
      </c>
      <c r="AV179" s="19"/>
      <c r="AW179" s="21">
        <v>1.6199864744670999E-4</v>
      </c>
      <c r="AX179" s="19"/>
      <c r="AY179" s="21">
        <v>9.4386628683808196E-6</v>
      </c>
      <c r="AZ179" s="19"/>
      <c r="BA179" s="21">
        <v>1.08539122510219E-4</v>
      </c>
      <c r="BB179" s="19"/>
      <c r="BC179" s="21">
        <v>3.4737062027893602E-4</v>
      </c>
      <c r="BD179" s="19"/>
      <c r="BE179" s="21">
        <v>-2.33908437904077E-4</v>
      </c>
      <c r="BF179" s="19"/>
      <c r="BG179" s="21"/>
      <c r="BH179" s="19"/>
    </row>
    <row r="180" spans="1:60" x14ac:dyDescent="0.15">
      <c r="A180" s="17">
        <v>2022</v>
      </c>
      <c r="B180" s="17">
        <v>1</v>
      </c>
      <c r="C180" s="21"/>
      <c r="D180" s="19"/>
      <c r="E180" s="21">
        <v>2.4036852571062998E-3</v>
      </c>
      <c r="F180" s="19"/>
      <c r="G180" s="21">
        <v>2.9847021678034601E-4</v>
      </c>
      <c r="H180" s="19"/>
      <c r="I180" s="21">
        <v>-4.9682339922439998E-5</v>
      </c>
      <c r="J180" s="19"/>
      <c r="K180" s="21">
        <v>1.5644791432030199E-4</v>
      </c>
      <c r="L180" s="19"/>
      <c r="M180" s="21">
        <v>-2.8204340657156201E-3</v>
      </c>
      <c r="N180" s="19"/>
      <c r="O180" s="21">
        <v>3.12927233296261E-3</v>
      </c>
      <c r="P180" s="19"/>
      <c r="Q180" s="21">
        <v>1.7266461942466501E-3</v>
      </c>
      <c r="R180" s="19"/>
      <c r="S180" s="21">
        <v>6.9965837354276695E-5</v>
      </c>
      <c r="T180" s="19"/>
      <c r="U180" s="21">
        <v>-7.5404601582127005E-4</v>
      </c>
      <c r="V180" s="19"/>
      <c r="W180" s="21">
        <v>-3.7757618645508102E-3</v>
      </c>
      <c r="X180" s="19"/>
      <c r="Y180" s="21">
        <v>-7.2375905355472395E-4</v>
      </c>
      <c r="Z180" s="19"/>
      <c r="AA180" s="21">
        <v>7.5574047803191405E-4</v>
      </c>
      <c r="AB180" s="19"/>
      <c r="AC180" s="21">
        <v>7.6014865069609703E-4</v>
      </c>
      <c r="AD180" s="19"/>
      <c r="AE180" s="21">
        <v>8.0518556343988701E-4</v>
      </c>
      <c r="AF180" s="19"/>
      <c r="AG180" s="21">
        <v>1.8033202730621399E-3</v>
      </c>
      <c r="AH180" s="19"/>
      <c r="AI180" s="21">
        <v>-1.7421174803268101E-4</v>
      </c>
      <c r="AJ180" s="19"/>
      <c r="AK180" s="21">
        <v>1.7565303446319899E-3</v>
      </c>
      <c r="AL180" s="19"/>
      <c r="AM180" s="21">
        <v>-7.0274124680787801E-5</v>
      </c>
      <c r="AN180" s="19"/>
      <c r="AO180" s="21">
        <v>3.6962438895261402E-4</v>
      </c>
      <c r="AP180" s="19"/>
      <c r="AQ180" s="21">
        <v>2.38919904096901E-4</v>
      </c>
      <c r="AR180" s="19"/>
      <c r="AS180" s="21">
        <v>9.6293140002371401E-4</v>
      </c>
      <c r="AT180" s="19"/>
      <c r="AU180" s="21">
        <v>4.9118449230936795E-4</v>
      </c>
      <c r="AV180" s="19"/>
      <c r="AW180" s="21">
        <v>1.21437574945004E-4</v>
      </c>
      <c r="AX180" s="19"/>
      <c r="AY180" s="21">
        <v>-1.1993692967553399E-5</v>
      </c>
      <c r="AZ180" s="19"/>
      <c r="BA180" s="21">
        <v>1.4915046030726601E-4</v>
      </c>
      <c r="BB180" s="19"/>
      <c r="BC180" s="21">
        <v>4.6982409202125897E-4</v>
      </c>
      <c r="BD180" s="19"/>
      <c r="BE180" s="21">
        <v>-3.10205654813677E-4</v>
      </c>
      <c r="BF180" s="19"/>
      <c r="BG180" s="21"/>
      <c r="BH180" s="19"/>
    </row>
    <row r="181" spans="1:60" x14ac:dyDescent="0.15">
      <c r="A181" s="17">
        <v>2022</v>
      </c>
      <c r="B181" s="17">
        <v>2</v>
      </c>
      <c r="C181" s="21"/>
      <c r="D181" s="19"/>
      <c r="E181" s="21">
        <v>5.7916313221845501E-3</v>
      </c>
      <c r="F181" s="19"/>
      <c r="G181" s="21">
        <v>1.90927405663153E-4</v>
      </c>
      <c r="H181" s="19"/>
      <c r="I181" s="21">
        <v>-1.23312910050143E-5</v>
      </c>
      <c r="J181" s="19"/>
      <c r="K181" s="21">
        <v>7.4676855207655296E-4</v>
      </c>
      <c r="L181" s="19"/>
      <c r="M181" s="21">
        <v>-1.64712783022229E-3</v>
      </c>
      <c r="N181" s="19"/>
      <c r="O181" s="21">
        <v>2.4399181825395001E-3</v>
      </c>
      <c r="P181" s="19"/>
      <c r="Q181" s="21">
        <v>6.4452273625499503E-4</v>
      </c>
      <c r="R181" s="19"/>
      <c r="S181" s="21">
        <v>4.2035785533006101E-5</v>
      </c>
      <c r="T181" s="19"/>
      <c r="U181" s="21">
        <v>-6.47085942083984E-4</v>
      </c>
      <c r="V181" s="19"/>
      <c r="W181" s="21">
        <v>-2.0352449979721601E-3</v>
      </c>
      <c r="X181" s="19"/>
      <c r="Y181" s="21">
        <v>-1.3050347866286899E-4</v>
      </c>
      <c r="Z181" s="19"/>
      <c r="AA181" s="21">
        <v>4.6545074249706802E-4</v>
      </c>
      <c r="AB181" s="19"/>
      <c r="AC181" s="21">
        <v>2.0485658093521101E-3</v>
      </c>
      <c r="AD181" s="19"/>
      <c r="AE181" s="21">
        <v>1.2362686944556299E-3</v>
      </c>
      <c r="AF181" s="19"/>
      <c r="AG181" s="21">
        <v>4.4016252486980199E-4</v>
      </c>
      <c r="AH181" s="19"/>
      <c r="AI181" s="21">
        <v>-8.7538344648715105E-4</v>
      </c>
      <c r="AJ181" s="19"/>
      <c r="AK181" s="21">
        <v>1.29985003894704E-3</v>
      </c>
      <c r="AL181" s="19"/>
      <c r="AM181" s="21">
        <v>3.15075366470144E-4</v>
      </c>
      <c r="AN181" s="19"/>
      <c r="AO181" s="21">
        <v>1.4726974052988099E-4</v>
      </c>
      <c r="AP181" s="19"/>
      <c r="AQ181" s="21">
        <v>3.6279802847149199E-4</v>
      </c>
      <c r="AR181" s="19"/>
      <c r="AS181" s="21">
        <v>6.0597129671115799E-4</v>
      </c>
      <c r="AT181" s="19"/>
      <c r="AU181" s="21">
        <v>3.8564869568008899E-4</v>
      </c>
      <c r="AV181" s="19"/>
      <c r="AW181" s="21">
        <v>2.0750841029249699E-4</v>
      </c>
      <c r="AX181" s="19"/>
      <c r="AY181" s="21">
        <v>5.1875679542526498E-5</v>
      </c>
      <c r="AZ181" s="19"/>
      <c r="BA181" s="21">
        <v>2.5205511531812099E-4</v>
      </c>
      <c r="BB181" s="19"/>
      <c r="BC181" s="21">
        <v>3.8463003973721797E-4</v>
      </c>
      <c r="BD181" s="19"/>
      <c r="BE181" s="21">
        <v>-1.3280806045627599E-4</v>
      </c>
      <c r="BF181" s="19"/>
      <c r="BG181" s="21"/>
      <c r="BH181" s="19"/>
    </row>
    <row r="182" spans="1:60" x14ac:dyDescent="0.15">
      <c r="A182" s="17">
        <v>2022</v>
      </c>
      <c r="B182" s="17">
        <v>3</v>
      </c>
      <c r="C182" s="21"/>
      <c r="D182" s="19"/>
      <c r="E182" s="21">
        <v>5.0914605637137197E-3</v>
      </c>
      <c r="F182" s="19"/>
      <c r="G182" s="21">
        <v>9.5586201460818001E-5</v>
      </c>
      <c r="H182" s="19"/>
      <c r="I182" s="21">
        <v>-3.3347024062751098E-5</v>
      </c>
      <c r="J182" s="19"/>
      <c r="K182" s="21">
        <v>-4.06525951841071E-4</v>
      </c>
      <c r="L182" s="19"/>
      <c r="M182" s="21">
        <v>3.2738549007756601E-4</v>
      </c>
      <c r="N182" s="19"/>
      <c r="O182" s="21">
        <v>-7.5151084403618398E-4</v>
      </c>
      <c r="P182" s="19"/>
      <c r="Q182" s="21">
        <v>-1.41908967969599E-4</v>
      </c>
      <c r="R182" s="19"/>
      <c r="S182" s="21">
        <v>1.7562386851459501E-4</v>
      </c>
      <c r="T182" s="19"/>
      <c r="U182" s="21">
        <v>-8.5677450948222597E-4</v>
      </c>
      <c r="V182" s="19"/>
      <c r="W182" s="21">
        <v>2.0121080419299099E-3</v>
      </c>
      <c r="X182" s="19"/>
      <c r="Y182" s="21">
        <v>9.1532451058006894E-5</v>
      </c>
      <c r="Z182" s="19"/>
      <c r="AA182" s="21">
        <v>-2.0300458347105699E-4</v>
      </c>
      <c r="AB182" s="19"/>
      <c r="AC182" s="21">
        <v>9.1524278083644805E-4</v>
      </c>
      <c r="AD182" s="19"/>
      <c r="AE182" s="21">
        <v>1.15581404549985E-3</v>
      </c>
      <c r="AF182" s="19"/>
      <c r="AG182" s="21">
        <v>-1.00172561248955E-5</v>
      </c>
      <c r="AH182" s="19"/>
      <c r="AI182" s="21">
        <v>-9.84492759189017E-4</v>
      </c>
      <c r="AJ182" s="19"/>
      <c r="AK182" s="21">
        <v>8.9358181690367801E-4</v>
      </c>
      <c r="AL182" s="19"/>
      <c r="AM182" s="21">
        <v>1.2413428952492199E-3</v>
      </c>
      <c r="AN182" s="19"/>
      <c r="AO182" s="21">
        <v>1.9794695448128701E-4</v>
      </c>
      <c r="AP182" s="19"/>
      <c r="AQ182" s="21">
        <v>4.6839938625588799E-4</v>
      </c>
      <c r="AR182" s="19"/>
      <c r="AS182" s="21">
        <v>5.8653083783747099E-4</v>
      </c>
      <c r="AT182" s="19"/>
      <c r="AU182" s="21">
        <v>-3.03272637808634E-5</v>
      </c>
      <c r="AV182" s="19"/>
      <c r="AW182" s="21">
        <v>-4.1107228644269402E-5</v>
      </c>
      <c r="AX182" s="19"/>
      <c r="AY182" s="21">
        <v>3.5352144439112902E-5</v>
      </c>
      <c r="AZ182" s="19"/>
      <c r="BA182" s="21">
        <v>2.56375864000996E-4</v>
      </c>
      <c r="BB182" s="19"/>
      <c r="BC182" s="21">
        <v>2.0289596087390299E-4</v>
      </c>
      <c r="BD182" s="19"/>
      <c r="BE182" s="21">
        <v>5.4447253584214197E-5</v>
      </c>
      <c r="BF182" s="19"/>
      <c r="BG182" s="21"/>
      <c r="BH182" s="19"/>
    </row>
    <row r="183" spans="1:60" x14ac:dyDescent="0.15">
      <c r="A183" s="17">
        <v>2022</v>
      </c>
      <c r="B183" s="17">
        <v>4</v>
      </c>
      <c r="C183" s="21"/>
      <c r="D183" s="19"/>
      <c r="E183" s="21">
        <v>2.2374673952857299E-3</v>
      </c>
      <c r="F183" s="19"/>
      <c r="G183" s="21">
        <v>1.92613224873082E-5</v>
      </c>
      <c r="H183" s="19"/>
      <c r="I183" s="21">
        <v>-1.7162794572438701E-5</v>
      </c>
      <c r="J183" s="19"/>
      <c r="K183" s="21">
        <v>-1.6780080736154301E-3</v>
      </c>
      <c r="L183" s="19"/>
      <c r="M183" s="21">
        <v>9.2488894065418195E-4</v>
      </c>
      <c r="N183" s="19"/>
      <c r="O183" s="21">
        <v>-2.7211616487032701E-3</v>
      </c>
      <c r="P183" s="19"/>
      <c r="Q183" s="21">
        <v>3.3110256177591599E-4</v>
      </c>
      <c r="R183" s="19"/>
      <c r="S183" s="21">
        <v>8.9515348991682598E-5</v>
      </c>
      <c r="T183" s="19"/>
      <c r="U183" s="21">
        <v>6.8930120150740098E-5</v>
      </c>
      <c r="V183" s="19"/>
      <c r="W183" s="21">
        <v>1.0429880757431499E-3</v>
      </c>
      <c r="X183" s="19"/>
      <c r="Y183" s="21">
        <v>-2.17998436362542E-4</v>
      </c>
      <c r="Z183" s="19"/>
      <c r="AA183" s="21">
        <v>8.8326540968797901E-4</v>
      </c>
      <c r="AB183" s="19"/>
      <c r="AC183" s="21">
        <v>2.5488279631684599E-5</v>
      </c>
      <c r="AD183" s="19"/>
      <c r="AE183" s="21">
        <v>-1.11819441616821E-4</v>
      </c>
      <c r="AF183" s="19"/>
      <c r="AG183" s="21">
        <v>3.4453128274980401E-4</v>
      </c>
      <c r="AH183" s="19"/>
      <c r="AI183" s="21">
        <v>-5.6129329586484503E-4</v>
      </c>
      <c r="AJ183" s="19"/>
      <c r="AK183" s="21">
        <v>5.1776726262067101E-4</v>
      </c>
      <c r="AL183" s="19"/>
      <c r="AM183" s="21">
        <v>1.5053332783703099E-4</v>
      </c>
      <c r="AN183" s="19"/>
      <c r="AO183" s="21">
        <v>2.32353619370991E-5</v>
      </c>
      <c r="AP183" s="19"/>
      <c r="AQ183" s="21">
        <v>3.81163434318751E-4</v>
      </c>
      <c r="AR183" s="19"/>
      <c r="AS183" s="21">
        <v>3.1340897455334302E-4</v>
      </c>
      <c r="AT183" s="19"/>
      <c r="AU183" s="21">
        <v>4.5151672489590199E-4</v>
      </c>
      <c r="AV183" s="19"/>
      <c r="AW183" s="21">
        <v>4.77065702733632E-5</v>
      </c>
      <c r="AX183" s="19"/>
      <c r="AY183" s="21">
        <v>3.8440606513356897E-5</v>
      </c>
      <c r="AZ183" s="19"/>
      <c r="BA183" s="21">
        <v>-2.99159370125499E-4</v>
      </c>
      <c r="BB183" s="19"/>
      <c r="BC183" s="21">
        <v>-9.5220457495219605E-5</v>
      </c>
      <c r="BD183" s="19"/>
      <c r="BE183" s="21">
        <v>-2.11470568413573E-4</v>
      </c>
      <c r="BF183" s="19"/>
      <c r="BG183" s="21"/>
      <c r="BH183" s="19"/>
    </row>
    <row r="184" spans="1:60" x14ac:dyDescent="0.15">
      <c r="A184" s="17">
        <v>2023</v>
      </c>
      <c r="B184" s="17">
        <v>1</v>
      </c>
      <c r="C184" s="21"/>
      <c r="D184" s="19"/>
      <c r="E184" s="21">
        <v>8.0256287502242403E-3</v>
      </c>
      <c r="F184" s="19"/>
      <c r="G184" s="21">
        <v>2.5013239709195499E-5</v>
      </c>
      <c r="H184" s="19"/>
      <c r="I184" s="21">
        <v>2.7247069671873799E-5</v>
      </c>
      <c r="J184" s="19"/>
      <c r="K184" s="21">
        <v>8.5841729467102303E-4</v>
      </c>
      <c r="L184" s="19"/>
      <c r="M184" s="21">
        <v>-4.2335876612420301E-4</v>
      </c>
      <c r="N184" s="19"/>
      <c r="O184" s="21">
        <v>1.36578171919284E-3</v>
      </c>
      <c r="P184" s="19"/>
      <c r="Q184" s="21">
        <v>-1.5409624419206399E-3</v>
      </c>
      <c r="R184" s="19"/>
      <c r="S184" s="21">
        <v>9.9896492381125706E-5</v>
      </c>
      <c r="T184" s="19"/>
      <c r="U184" s="21">
        <v>7.2801136260367298E-5</v>
      </c>
      <c r="V184" s="19"/>
      <c r="W184" s="21">
        <v>5.6057929586499199E-3</v>
      </c>
      <c r="X184" s="19"/>
      <c r="Y184" s="21">
        <v>-3.82365118226753E-4</v>
      </c>
      <c r="Z184" s="19"/>
      <c r="AA184" s="21">
        <v>1.23288703820633E-3</v>
      </c>
      <c r="AB184" s="19"/>
      <c r="AC184" s="21">
        <v>2.4047611401675599E-4</v>
      </c>
      <c r="AD184" s="19"/>
      <c r="AE184" s="21">
        <v>9.1885293865236E-4</v>
      </c>
      <c r="AF184" s="19"/>
      <c r="AG184" s="21">
        <v>-1.28580831864884E-3</v>
      </c>
      <c r="AH184" s="19"/>
      <c r="AI184" s="21">
        <v>-1.9371932564464999E-3</v>
      </c>
      <c r="AJ184" s="19"/>
      <c r="AK184" s="21">
        <v>4.4406185100626002E-4</v>
      </c>
      <c r="AL184" s="19"/>
      <c r="AM184" s="21">
        <v>7.1180450403490704E-4</v>
      </c>
      <c r="AN184" s="19"/>
      <c r="AO184" s="21">
        <v>-1.54248149966097E-4</v>
      </c>
      <c r="AP184" s="19"/>
      <c r="AQ184" s="21">
        <v>1.94954438571817E-4</v>
      </c>
      <c r="AR184" s="19"/>
      <c r="AS184" s="21">
        <v>4.0903197175534001E-4</v>
      </c>
      <c r="AT184" s="19"/>
      <c r="AU184" s="21">
        <v>2.6649663619143798E-4</v>
      </c>
      <c r="AV184" s="19"/>
      <c r="AW184" s="21">
        <v>7.5826553299132099E-5</v>
      </c>
      <c r="AX184" s="19"/>
      <c r="AY184" s="21">
        <v>4.9792662299837898E-5</v>
      </c>
      <c r="AZ184" s="19"/>
      <c r="BA184" s="21">
        <v>-9.0991117197714095E-5</v>
      </c>
      <c r="BB184" s="19"/>
      <c r="BC184" s="21">
        <v>1.09525469236152E-4</v>
      </c>
      <c r="BD184" s="19"/>
      <c r="BE184" s="21">
        <v>-2.02563354579578E-4</v>
      </c>
      <c r="BF184" s="19"/>
      <c r="BG184" s="21"/>
      <c r="BH184" s="19"/>
    </row>
    <row r="185" spans="1:60" x14ac:dyDescent="0.15">
      <c r="A185" s="17">
        <v>2023</v>
      </c>
      <c r="B185" s="17">
        <v>2</v>
      </c>
      <c r="C185" s="21"/>
      <c r="D185" s="19"/>
      <c r="E185" s="21">
        <v>-2.9090725107521901E-3</v>
      </c>
      <c r="F185" s="19"/>
      <c r="G185" s="21">
        <v>-4.4694281099286401E-5</v>
      </c>
      <c r="H185" s="19"/>
      <c r="I185" s="21">
        <v>-9.9396258515908999E-7</v>
      </c>
      <c r="J185" s="19"/>
      <c r="K185" s="21">
        <v>-6.0394067312249198E-3</v>
      </c>
      <c r="L185" s="19"/>
      <c r="M185" s="21">
        <v>-2.8012190884311701E-4</v>
      </c>
      <c r="N185" s="19"/>
      <c r="O185" s="21">
        <v>-5.91503736277579E-3</v>
      </c>
      <c r="P185" s="19"/>
      <c r="Q185" s="21">
        <v>-1.1719248854740901E-3</v>
      </c>
      <c r="R185" s="19"/>
      <c r="S185" s="21">
        <v>1.14583536249465E-4</v>
      </c>
      <c r="T185" s="19"/>
      <c r="U185" s="21">
        <v>-3.5114042565745303E-4</v>
      </c>
      <c r="V185" s="19"/>
      <c r="W185" s="21">
        <v>3.7246403214153301E-3</v>
      </c>
      <c r="X185" s="19"/>
      <c r="Y185" s="21">
        <v>2.5591935188489699E-4</v>
      </c>
      <c r="Z185" s="19"/>
      <c r="AA185" s="21">
        <v>-3.43399892437989E-4</v>
      </c>
      <c r="AB185" s="19"/>
      <c r="AC185" s="21">
        <v>8.1140851918554594E-5</v>
      </c>
      <c r="AD185" s="19"/>
      <c r="AE185" s="21">
        <v>1.6708306724708401E-4</v>
      </c>
      <c r="AF185" s="19"/>
      <c r="AG185" s="21">
        <v>-5.8197803773931203E-4</v>
      </c>
      <c r="AH185" s="19"/>
      <c r="AI185" s="21">
        <v>-1.2262954318425501E-3</v>
      </c>
      <c r="AJ185" s="19"/>
      <c r="AK185" s="21">
        <v>3.16388863563398E-4</v>
      </c>
      <c r="AL185" s="19"/>
      <c r="AM185" s="21">
        <v>9.3103403392197901E-4</v>
      </c>
      <c r="AN185" s="19"/>
      <c r="AO185" s="21">
        <v>-2.8473232535713403E-4</v>
      </c>
      <c r="AP185" s="19"/>
      <c r="AQ185" s="21">
        <v>-1.2540706066617899E-4</v>
      </c>
      <c r="AR185" s="19"/>
      <c r="AS185" s="21">
        <v>2.8262320076384399E-4</v>
      </c>
      <c r="AT185" s="19"/>
      <c r="AU185" s="21">
        <v>1.1233997610352601E-4</v>
      </c>
      <c r="AV185" s="19"/>
      <c r="AW185" s="21">
        <v>7.7565526769731696E-5</v>
      </c>
      <c r="AX185" s="19"/>
      <c r="AY185" s="21">
        <v>2.8125783223462898E-5</v>
      </c>
      <c r="AZ185" s="19"/>
      <c r="BA185" s="21">
        <v>-3.5845022487032902E-4</v>
      </c>
      <c r="BB185" s="19"/>
      <c r="BC185" s="21">
        <v>-2.0657241329435501E-4</v>
      </c>
      <c r="BD185" s="19"/>
      <c r="BE185" s="21">
        <v>-1.6151109638929201E-4</v>
      </c>
      <c r="BF185" s="19"/>
      <c r="BG185" s="21"/>
      <c r="BH185" s="19"/>
    </row>
    <row r="186" spans="1:60" x14ac:dyDescent="0.15">
      <c r="A186" s="17">
        <v>2023</v>
      </c>
      <c r="B186" s="17">
        <v>3</v>
      </c>
      <c r="C186" s="21"/>
      <c r="D186" s="19"/>
      <c r="E186" s="21">
        <v>3.5296954727275201E-3</v>
      </c>
      <c r="F186" s="19"/>
      <c r="G186" s="21">
        <v>-8.1463836250392395E-5</v>
      </c>
      <c r="H186" s="19"/>
      <c r="I186" s="21">
        <v>9.4620197949661798E-6</v>
      </c>
      <c r="J186" s="19"/>
      <c r="K186" s="21">
        <v>1.3533355370598701E-3</v>
      </c>
      <c r="L186" s="19"/>
      <c r="M186" s="21">
        <v>2.6045405871506899E-3</v>
      </c>
      <c r="N186" s="19"/>
      <c r="O186" s="21">
        <v>-1.5727909655628401E-3</v>
      </c>
      <c r="P186" s="19"/>
      <c r="Q186" s="21">
        <v>1.6154174847830401E-4</v>
      </c>
      <c r="R186" s="19"/>
      <c r="S186" s="21">
        <v>1.13804275546437E-4</v>
      </c>
      <c r="T186" s="19"/>
      <c r="U186" s="21">
        <v>-1.2314210251100399E-4</v>
      </c>
      <c r="V186" s="19"/>
      <c r="W186" s="21">
        <v>7.6784895669777505E-4</v>
      </c>
      <c r="X186" s="19"/>
      <c r="Y186" s="21">
        <v>-2.13718513180296E-4</v>
      </c>
      <c r="Z186" s="19"/>
      <c r="AA186" s="21">
        <v>-3.8755216589069798E-4</v>
      </c>
      <c r="AB186" s="19"/>
      <c r="AC186" s="21">
        <v>4.8781323245338502E-5</v>
      </c>
      <c r="AD186" s="19"/>
      <c r="AE186" s="21">
        <v>4.27410484055855E-4</v>
      </c>
      <c r="AF186" s="19"/>
      <c r="AG186" s="21">
        <v>-4.9227878100073898E-4</v>
      </c>
      <c r="AH186" s="19"/>
      <c r="AI186" s="21">
        <v>-6.4546502644762698E-4</v>
      </c>
      <c r="AJ186" s="19"/>
      <c r="AK186" s="21">
        <v>3.1266497833523399E-4</v>
      </c>
      <c r="AL186" s="19"/>
      <c r="AM186" s="21">
        <v>6.3641466976309695E-4</v>
      </c>
      <c r="AN186" s="19"/>
      <c r="AO186" s="21">
        <v>2.67168140357901E-4</v>
      </c>
      <c r="AP186" s="19"/>
      <c r="AQ186" s="21">
        <v>5.3296249636210899E-5</v>
      </c>
      <c r="AR186" s="19"/>
      <c r="AS186" s="21">
        <v>6.8608229527076495E-4</v>
      </c>
      <c r="AT186" s="19"/>
      <c r="AU186" s="21">
        <v>3.7830085431056898E-5</v>
      </c>
      <c r="AV186" s="19"/>
      <c r="AW186" s="21">
        <v>-2.28326170635379E-6</v>
      </c>
      <c r="AX186" s="19"/>
      <c r="AY186" s="21">
        <v>4.8255792506375904E-6</v>
      </c>
      <c r="AZ186" s="19"/>
      <c r="BA186" s="21">
        <v>-1.00745337616876E-4</v>
      </c>
      <c r="BB186" s="19"/>
      <c r="BC186" s="21">
        <v>6.1644977463543301E-5</v>
      </c>
      <c r="BD186" s="19"/>
      <c r="BE186" s="21">
        <v>-1.6827021500100199E-4</v>
      </c>
      <c r="BF186" s="19"/>
      <c r="BG186" s="21"/>
      <c r="BH186" s="19"/>
    </row>
    <row r="187" spans="1:60" x14ac:dyDescent="0.15">
      <c r="A187" s="17">
        <v>2023</v>
      </c>
      <c r="B187" s="17">
        <v>4</v>
      </c>
      <c r="C187" s="21"/>
      <c r="D187" s="19"/>
      <c r="E187" s="21">
        <v>5.69976992218301E-3</v>
      </c>
      <c r="F187" s="19"/>
      <c r="G187" s="21">
        <v>-1.2317120249224101E-4</v>
      </c>
      <c r="H187" s="19"/>
      <c r="I187" s="21">
        <v>2.11411092062327E-5</v>
      </c>
      <c r="J187" s="19"/>
      <c r="K187" s="21">
        <v>4.7958619480647699E-4</v>
      </c>
      <c r="L187" s="19"/>
      <c r="M187" s="21">
        <v>1.0113094754779E-4</v>
      </c>
      <c r="N187" s="19"/>
      <c r="O187" s="21">
        <v>3.9201898013158202E-4</v>
      </c>
      <c r="P187" s="19"/>
      <c r="Q187" s="21">
        <v>3.4231570345013403E-5</v>
      </c>
      <c r="R187" s="19"/>
      <c r="S187" s="21">
        <v>4.6728409099769703E-5</v>
      </c>
      <c r="T187" s="19"/>
      <c r="U187" s="21">
        <v>4.6564171542459799E-5</v>
      </c>
      <c r="V187" s="19"/>
      <c r="W187" s="21">
        <v>8.8885160354808398E-4</v>
      </c>
      <c r="X187" s="19"/>
      <c r="Y187" s="21">
        <v>2.0370009115238701E-4</v>
      </c>
      <c r="Z187" s="19"/>
      <c r="AA187" s="21">
        <v>2.4786737455824198E-4</v>
      </c>
      <c r="AB187" s="19"/>
      <c r="AC187" s="21">
        <v>-2.1331611773829301E-4</v>
      </c>
      <c r="AD187" s="19"/>
      <c r="AE187" s="21">
        <v>1.1606668880296499E-3</v>
      </c>
      <c r="AF187" s="19"/>
      <c r="AG187" s="21">
        <v>-6.3609170330355199E-4</v>
      </c>
      <c r="AH187" s="19"/>
      <c r="AI187" s="21">
        <v>-6.58653674595744E-4</v>
      </c>
      <c r="AJ187" s="19"/>
      <c r="AK187" s="21">
        <v>3.10774959808951E-4</v>
      </c>
      <c r="AL187" s="19"/>
      <c r="AM187" s="21">
        <v>1.49635728914222E-3</v>
      </c>
      <c r="AN187" s="19"/>
      <c r="AO187" s="21">
        <v>4.2190536421336599E-4</v>
      </c>
      <c r="AP187" s="19"/>
      <c r="AQ187" s="21">
        <v>4.6415610922275098E-4</v>
      </c>
      <c r="AR187" s="19"/>
      <c r="AS187" s="21">
        <v>1.13849042993378E-3</v>
      </c>
      <c r="AT187" s="19"/>
      <c r="AU187" s="21">
        <v>5.2487597444341599E-5</v>
      </c>
      <c r="AV187" s="19"/>
      <c r="AW187" s="21">
        <v>6.6327421779256598E-5</v>
      </c>
      <c r="AX187" s="19"/>
      <c r="AY187" s="21">
        <v>-1.8013450344163699E-5</v>
      </c>
      <c r="AZ187" s="19"/>
      <c r="BA187" s="21">
        <v>-3.48003864560082E-6</v>
      </c>
      <c r="BB187" s="19"/>
      <c r="BC187" s="21">
        <v>1.08553630064739E-4</v>
      </c>
      <c r="BD187" s="19"/>
      <c r="BE187" s="21">
        <v>-1.14973637244958E-4</v>
      </c>
      <c r="BF187" s="19"/>
      <c r="BG187" s="21"/>
      <c r="BH187" s="19"/>
    </row>
    <row r="188" spans="1:60" x14ac:dyDescent="0.15">
      <c r="A188" s="17">
        <v>2024</v>
      </c>
      <c r="B188" s="17">
        <v>1</v>
      </c>
      <c r="C188" s="21"/>
      <c r="D188" s="19"/>
      <c r="E188" s="21">
        <v>-7.9713292591435299E-4</v>
      </c>
      <c r="F188" s="19"/>
      <c r="G188" s="21">
        <v>-1.8456105864009199E-4</v>
      </c>
      <c r="H188" s="19"/>
      <c r="I188" s="21">
        <v>5.3357498173977701E-5</v>
      </c>
      <c r="J188" s="19"/>
      <c r="K188" s="21">
        <v>4.9109283378647601E-5</v>
      </c>
      <c r="L188" s="19"/>
      <c r="M188" s="21">
        <v>1.8447678785720499E-3</v>
      </c>
      <c r="N188" s="19"/>
      <c r="O188" s="21">
        <v>-1.63062071091808E-3</v>
      </c>
      <c r="P188" s="19"/>
      <c r="Q188" s="21">
        <v>-1.1014156156885101E-3</v>
      </c>
      <c r="R188" s="19"/>
      <c r="S188" s="21">
        <v>7.8910025355631699E-5</v>
      </c>
      <c r="T188" s="19"/>
      <c r="U188" s="21">
        <v>2.0470267209954601E-4</v>
      </c>
      <c r="V188" s="19"/>
      <c r="W188" s="21">
        <v>-2.43736124743752E-3</v>
      </c>
      <c r="X188" s="19"/>
      <c r="Y188" s="21">
        <v>5.27801430845037E-4</v>
      </c>
      <c r="Z188" s="19"/>
      <c r="AA188" s="21">
        <v>2.9807335755073201E-4</v>
      </c>
      <c r="AB188" s="19"/>
      <c r="AC188" s="21">
        <v>-4.6954601724781802E-5</v>
      </c>
      <c r="AD188" s="19"/>
      <c r="AE188" s="21">
        <v>6.6702720358184403E-4</v>
      </c>
      <c r="AF188" s="19"/>
      <c r="AG188" s="21">
        <v>-5.9482737440880397E-6</v>
      </c>
      <c r="AH188" s="19"/>
      <c r="AI188" s="21">
        <v>-2.5677426570756601E-4</v>
      </c>
      <c r="AJ188" s="19"/>
      <c r="AK188" s="21">
        <v>3.11913698547627E-4</v>
      </c>
      <c r="AL188" s="19"/>
      <c r="AM188" s="21">
        <v>1.1034331849385901E-3</v>
      </c>
      <c r="AN188" s="19"/>
      <c r="AO188" s="21">
        <v>1.7335889004542799E-4</v>
      </c>
      <c r="AP188" s="19"/>
      <c r="AQ188" s="21">
        <v>2.6345922435726601E-5</v>
      </c>
      <c r="AR188" s="19"/>
      <c r="AS188" s="21">
        <v>6.7161468523731498E-4</v>
      </c>
      <c r="AT188" s="19"/>
      <c r="AU188" s="21">
        <v>-1.06811452374357E-5</v>
      </c>
      <c r="AV188" s="19"/>
      <c r="AW188" s="21">
        <v>1.3120947492013099E-5</v>
      </c>
      <c r="AX188" s="19"/>
      <c r="AY188" s="21">
        <v>-4.1625916574181701E-5</v>
      </c>
      <c r="AZ188" s="19"/>
      <c r="BA188" s="21">
        <v>-3.7843829510164601E-4</v>
      </c>
      <c r="BB188" s="19"/>
      <c r="BC188" s="21">
        <v>-1.8126949287377301E-4</v>
      </c>
      <c r="BD188" s="19"/>
      <c r="BE188" s="21">
        <v>-1.8838490389604299E-4</v>
      </c>
      <c r="BF188" s="19"/>
      <c r="BG188" s="21"/>
      <c r="BH188" s="19"/>
    </row>
    <row r="189" spans="1:60" x14ac:dyDescent="0.15">
      <c r="A189" s="17">
        <v>2024</v>
      </c>
      <c r="B189" s="17">
        <v>2</v>
      </c>
      <c r="C189" s="21"/>
      <c r="D189" s="19"/>
      <c r="E189" s="21">
        <v>7.1282108836710498E-3</v>
      </c>
      <c r="F189" s="19"/>
      <c r="G189" s="21">
        <v>-8.6237089405863593E-5</v>
      </c>
      <c r="H189" s="19"/>
      <c r="I189" s="21">
        <v>2.2213033517253001E-7</v>
      </c>
      <c r="J189" s="19"/>
      <c r="K189" s="21">
        <v>4.1075185123432096E-3</v>
      </c>
      <c r="L189" s="19"/>
      <c r="M189" s="21">
        <v>3.1552240263476201E-3</v>
      </c>
      <c r="N189" s="19"/>
      <c r="O189" s="21">
        <v>8.5096123437987696E-4</v>
      </c>
      <c r="P189" s="19"/>
      <c r="Q189" s="21">
        <v>-1.05672474532862E-3</v>
      </c>
      <c r="R189" s="19"/>
      <c r="S189" s="21">
        <v>4.8565757256635998E-5</v>
      </c>
      <c r="T189" s="19"/>
      <c r="U189" s="21">
        <v>4.1067563726743001E-4</v>
      </c>
      <c r="V189" s="19"/>
      <c r="W189" s="21">
        <v>-2.0017904216830498E-3</v>
      </c>
      <c r="X189" s="19"/>
      <c r="Y189" s="21">
        <v>4.9704486481492199E-5</v>
      </c>
      <c r="Z189" s="19"/>
      <c r="AA189" s="21">
        <v>1.7438238801784301E-4</v>
      </c>
      <c r="AB189" s="19"/>
      <c r="AC189" s="21">
        <v>-3.8524340526844602E-5</v>
      </c>
      <c r="AD189" s="19"/>
      <c r="AE189" s="21">
        <v>7.8512879207651696E-4</v>
      </c>
      <c r="AF189" s="19"/>
      <c r="AG189" s="21">
        <v>1.0901922951897099E-3</v>
      </c>
      <c r="AH189" s="19"/>
      <c r="AI189" s="21">
        <v>5.64632187300697E-4</v>
      </c>
      <c r="AJ189" s="19"/>
      <c r="AK189" s="21">
        <v>4.3682808017550301E-4</v>
      </c>
      <c r="AL189" s="19"/>
      <c r="AM189" s="21">
        <v>1.72875671978884E-3</v>
      </c>
      <c r="AN189" s="19"/>
      <c r="AO189" s="21">
        <v>1.21105098965906E-4</v>
      </c>
      <c r="AP189" s="19"/>
      <c r="AQ189" s="21">
        <v>1.20290673575589E-4</v>
      </c>
      <c r="AR189" s="19"/>
      <c r="AS189" s="21">
        <v>1.4924047445440201E-3</v>
      </c>
      <c r="AT189" s="19"/>
      <c r="AU189" s="21">
        <v>1.3840711333824301E-4</v>
      </c>
      <c r="AV189" s="19"/>
      <c r="AW189" s="21">
        <v>8.3823118610306896E-6</v>
      </c>
      <c r="AX189" s="19"/>
      <c r="AY189" s="21">
        <v>-4.0056826156760899E-5</v>
      </c>
      <c r="AZ189" s="19"/>
      <c r="BA189" s="21">
        <v>1.11011703769E-4</v>
      </c>
      <c r="BB189" s="19"/>
      <c r="BC189" s="21">
        <v>3.3519375131359002E-4</v>
      </c>
      <c r="BD189" s="19"/>
      <c r="BE189" s="21">
        <v>-2.21139191786329E-4</v>
      </c>
      <c r="BF189" s="19"/>
      <c r="BG189" s="21"/>
      <c r="BH189" s="19"/>
    </row>
    <row r="190" spans="1:60" x14ac:dyDescent="0.15">
      <c r="A190" s="17">
        <v>2024</v>
      </c>
      <c r="B190" s="17">
        <v>3</v>
      </c>
      <c r="C190" s="21"/>
      <c r="D190" s="19"/>
      <c r="E190" s="21">
        <v>3.3346336473640001E-3</v>
      </c>
      <c r="F190" s="19"/>
      <c r="G190" s="21">
        <v>2.89069896856336E-5</v>
      </c>
      <c r="H190" s="19"/>
      <c r="I190" s="21">
        <v>2.1553237610995399E-5</v>
      </c>
      <c r="J190" s="19"/>
      <c r="K190" s="21">
        <v>-1.3282125688922201E-3</v>
      </c>
      <c r="L190" s="19"/>
      <c r="M190" s="21">
        <v>2.0545613364937299E-3</v>
      </c>
      <c r="N190" s="19"/>
      <c r="O190" s="21">
        <v>-3.4662676851014902E-3</v>
      </c>
      <c r="P190" s="19"/>
      <c r="Q190" s="21">
        <v>1.79874189781322E-3</v>
      </c>
      <c r="R190" s="19"/>
      <c r="S190" s="21">
        <v>1.98044631996889E-5</v>
      </c>
      <c r="T190" s="19"/>
      <c r="U190" s="21">
        <v>6.9203372144967105E-4</v>
      </c>
      <c r="V190" s="19"/>
      <c r="W190" s="21">
        <v>2.8589362360180898E-4</v>
      </c>
      <c r="X190" s="19"/>
      <c r="Y190" s="21">
        <v>5.3340879769219905E-4</v>
      </c>
      <c r="Z190" s="19"/>
      <c r="AA190" s="21">
        <v>3.6912292495972198E-4</v>
      </c>
      <c r="AB190" s="19"/>
      <c r="AC190" s="21">
        <v>-4.40645112615116E-4</v>
      </c>
      <c r="AD190" s="19"/>
      <c r="AE190" s="21">
        <v>1.47081354338039E-4</v>
      </c>
      <c r="AF190" s="19"/>
      <c r="AG190" s="21">
        <v>2.2888567272892101E-4</v>
      </c>
      <c r="AH190" s="19"/>
      <c r="AI190" s="21">
        <v>-4.7410595261411498E-4</v>
      </c>
      <c r="AJ190" s="19"/>
      <c r="AK190" s="21">
        <v>5.6788603862309905E-4</v>
      </c>
      <c r="AL190" s="19"/>
      <c r="AM190" s="21">
        <v>7.65061529591694E-4</v>
      </c>
      <c r="AN190" s="19"/>
      <c r="AO190" s="21">
        <v>2.4152633422232399E-4</v>
      </c>
      <c r="AP190" s="19"/>
      <c r="AQ190" s="21">
        <v>2.3980787652753399E-4</v>
      </c>
      <c r="AR190" s="19"/>
      <c r="AS190" s="21">
        <v>7.5138829260632401E-4</v>
      </c>
      <c r="AT190" s="19"/>
      <c r="AU190" s="21">
        <v>-2.6230957662023502E-4</v>
      </c>
      <c r="AV190" s="19"/>
      <c r="AW190" s="21">
        <v>9.1799629947052902E-5</v>
      </c>
      <c r="AX190" s="19"/>
      <c r="AY190" s="21">
        <v>-3.5358743765135197E-5</v>
      </c>
      <c r="AZ190" s="19"/>
      <c r="BA190" s="21">
        <v>-6.8072237711818797E-5</v>
      </c>
      <c r="BB190" s="19"/>
      <c r="BC190" s="21">
        <v>1.9462161383707499E-4</v>
      </c>
      <c r="BD190" s="19"/>
      <c r="BE190" s="21">
        <v>-2.5478089996115602E-4</v>
      </c>
      <c r="BF190" s="19"/>
      <c r="BG190" s="21"/>
      <c r="BH190" s="19"/>
    </row>
    <row r="191" spans="1:60" x14ac:dyDescent="0.15">
      <c r="A191" s="17">
        <v>2024</v>
      </c>
      <c r="B191" s="17">
        <v>4</v>
      </c>
      <c r="C191" s="21"/>
      <c r="D191" s="19"/>
      <c r="E191" s="21">
        <v>6.4767830192812596E-3</v>
      </c>
      <c r="F191" s="19"/>
      <c r="G191" s="21">
        <v>1.2033506322733901E-4</v>
      </c>
      <c r="H191" s="19"/>
      <c r="I191" s="21">
        <v>1.6085847565538999E-5</v>
      </c>
      <c r="J191" s="19"/>
      <c r="K191" s="21">
        <v>4.8597234564702703E-3</v>
      </c>
      <c r="L191" s="19"/>
      <c r="M191" s="21">
        <v>3.7851958489538498E-3</v>
      </c>
      <c r="N191" s="19"/>
      <c r="O191" s="21">
        <v>9.6117563311838995E-4</v>
      </c>
      <c r="P191" s="19"/>
      <c r="Q191" s="21">
        <v>-1.78570383556365E-3</v>
      </c>
      <c r="R191" s="19"/>
      <c r="S191" s="21">
        <v>3.0512269624687599E-5</v>
      </c>
      <c r="T191" s="19"/>
      <c r="U191" s="21">
        <v>-1.16148259555727E-4</v>
      </c>
      <c r="V191" s="19"/>
      <c r="W191" s="21">
        <v>6.0724135724208195E-4</v>
      </c>
      <c r="X191" s="19"/>
      <c r="Y191" s="21">
        <v>2.4335410709192101E-4</v>
      </c>
      <c r="Z191" s="19"/>
      <c r="AA191" s="21">
        <v>-2.5312016142683199E-6</v>
      </c>
      <c r="AB191" s="19"/>
      <c r="AC191" s="21">
        <v>3.6000403358808802E-4</v>
      </c>
      <c r="AD191" s="19"/>
      <c r="AE191" s="21">
        <v>-4.9452087381076198E-5</v>
      </c>
      <c r="AF191" s="19"/>
      <c r="AG191" s="21">
        <v>1.4997801894889001E-3</v>
      </c>
      <c r="AH191" s="19"/>
      <c r="AI191" s="21">
        <v>1.0034189423928799E-3</v>
      </c>
      <c r="AJ191" s="19"/>
      <c r="AK191" s="21">
        <v>7.1289592805501105E-4</v>
      </c>
      <c r="AL191" s="19"/>
      <c r="AM191" s="21">
        <v>-4.4733713897758998E-4</v>
      </c>
      <c r="AN191" s="19"/>
      <c r="AO191" s="21">
        <v>1.8420908881390199E-4</v>
      </c>
      <c r="AP191" s="19"/>
      <c r="AQ191" s="21">
        <v>5.1289223178064398E-4</v>
      </c>
      <c r="AR191" s="19"/>
      <c r="AS191" s="21">
        <v>9.37531179108839E-4</v>
      </c>
      <c r="AT191" s="19"/>
      <c r="AU191" s="21">
        <v>-5.3533469725537003E-4</v>
      </c>
      <c r="AV191" s="19"/>
      <c r="AW191" s="21">
        <v>-3.3606159353337502E-5</v>
      </c>
      <c r="AX191" s="19"/>
      <c r="AY191" s="21">
        <v>-3.5412903070907001E-5</v>
      </c>
      <c r="AZ191" s="19"/>
      <c r="BA191" s="21">
        <v>9.4063889951882503E-5</v>
      </c>
      <c r="BB191" s="19"/>
      <c r="BC191" s="21">
        <v>3.2984813655975199E-4</v>
      </c>
      <c r="BD191" s="19"/>
      <c r="BE191" s="21">
        <v>-2.3168609733696801E-4</v>
      </c>
      <c r="BF191" s="19"/>
      <c r="BG191" s="21"/>
      <c r="BH191" s="19"/>
    </row>
    <row r="192" spans="1:60" x14ac:dyDescent="0.15">
      <c r="A192" s="17">
        <v>2025</v>
      </c>
      <c r="B192" s="17">
        <v>1</v>
      </c>
      <c r="C192" s="21"/>
      <c r="D192" s="19"/>
      <c r="E192" s="21">
        <v>9.8627249343156802E-3</v>
      </c>
      <c r="F192" s="19"/>
      <c r="G192" s="21">
        <v>2.2611386181591199E-4</v>
      </c>
      <c r="H192" s="19"/>
      <c r="I192" s="21">
        <v>4.3431880451793896E-6</v>
      </c>
      <c r="J192" s="19"/>
      <c r="K192" s="21">
        <v>4.1370859098905496E-3</v>
      </c>
      <c r="L192" s="19"/>
      <c r="M192" s="21">
        <v>4.9377986481515899E-3</v>
      </c>
      <c r="N192" s="19"/>
      <c r="O192" s="21">
        <v>-6.11880064094642E-4</v>
      </c>
      <c r="P192" s="19"/>
      <c r="Q192" s="21">
        <v>-4.6713058687487602E-4</v>
      </c>
      <c r="R192" s="19"/>
      <c r="S192" s="21">
        <v>8.6117464936798804E-6</v>
      </c>
      <c r="T192" s="19"/>
      <c r="U192" s="21">
        <v>3.3858340968567302E-4</v>
      </c>
      <c r="V192" s="19"/>
      <c r="W192" s="21">
        <v>4.2948391112728398E-3</v>
      </c>
      <c r="X192" s="19"/>
      <c r="Y192" s="21">
        <v>1.4590395254406399E-4</v>
      </c>
      <c r="Z192" s="19"/>
      <c r="AA192" s="21">
        <v>-1.76258040548579E-4</v>
      </c>
      <c r="AB192" s="19"/>
      <c r="AC192" s="21">
        <v>-2.5955128513978099E-4</v>
      </c>
      <c r="AD192" s="19"/>
      <c r="AE192" s="21">
        <v>-2.7741722432321898E-4</v>
      </c>
      <c r="AF192" s="19"/>
      <c r="AG192" s="21">
        <v>2.28046969018215E-3</v>
      </c>
      <c r="AH192" s="19"/>
      <c r="AI192" s="21">
        <v>1.0701213763467301E-3</v>
      </c>
      <c r="AJ192" s="19"/>
      <c r="AK192" s="21">
        <v>8.7732091697213105E-4</v>
      </c>
      <c r="AL192" s="19"/>
      <c r="AM192" s="21">
        <v>-6.1451496201441304E-4</v>
      </c>
      <c r="AN192" s="19"/>
      <c r="AO192" s="21">
        <v>-4.4204294810224902E-4</v>
      </c>
      <c r="AP192" s="19"/>
      <c r="AQ192" s="21">
        <v>1.8373461311815701E-5</v>
      </c>
      <c r="AR192" s="19"/>
      <c r="AS192" s="21">
        <v>1.4924210928757E-3</v>
      </c>
      <c r="AT192" s="19"/>
      <c r="AU192" s="21">
        <v>-4.3638973845792499E-4</v>
      </c>
      <c r="AV192" s="19"/>
      <c r="AW192" s="21">
        <v>-1.33327350307696E-4</v>
      </c>
      <c r="AX192" s="19"/>
      <c r="AY192" s="21">
        <v>-3.5439018106233402E-5</v>
      </c>
      <c r="AZ192" s="19"/>
      <c r="BA192" s="21">
        <v>1.92299742475201E-4</v>
      </c>
      <c r="BB192" s="19"/>
      <c r="BC192" s="21">
        <v>5.0314959540469499E-4</v>
      </c>
      <c r="BD192" s="19"/>
      <c r="BE192" s="21">
        <v>-3.1822104104573798E-4</v>
      </c>
      <c r="BF192" s="19"/>
      <c r="BG192" s="21"/>
      <c r="BH192" s="19"/>
    </row>
    <row r="193" spans="1:60" x14ac:dyDescent="0.15">
      <c r="A193" s="17">
        <v>2025</v>
      </c>
      <c r="B193" s="17">
        <v>2</v>
      </c>
      <c r="C193" s="21"/>
      <c r="D193" s="19"/>
      <c r="E193" s="21">
        <v>1.9330691878531399E-4</v>
      </c>
      <c r="F193" s="19"/>
      <c r="G193" s="21">
        <v>1.2511263446465001E-4</v>
      </c>
      <c r="H193" s="19"/>
      <c r="I193" s="21">
        <v>-1.4564247301303999E-7</v>
      </c>
      <c r="J193" s="19"/>
      <c r="K193" s="21">
        <v>-1.70781090605699E-3</v>
      </c>
      <c r="L193" s="19"/>
      <c r="M193" s="21">
        <v>-1.7825128899030501E-3</v>
      </c>
      <c r="N193" s="19"/>
      <c r="O193" s="21">
        <v>6.7945717896184299E-5</v>
      </c>
      <c r="P193" s="19"/>
      <c r="Q193" s="21">
        <v>6.6497499510854605E-5</v>
      </c>
      <c r="R193" s="19"/>
      <c r="S193" s="21">
        <v>-1.7993155379022801E-5</v>
      </c>
      <c r="T193" s="19"/>
      <c r="U193" s="21">
        <v>-4.2534575504941696E-6</v>
      </c>
      <c r="V193" s="19"/>
      <c r="W193" s="21">
        <v>1.9532039858219299E-3</v>
      </c>
      <c r="X193" s="19"/>
      <c r="Y193" s="21">
        <v>5.7849560057954197E-5</v>
      </c>
      <c r="Z193" s="19"/>
      <c r="AA193" s="21">
        <v>1.45159739864671E-4</v>
      </c>
      <c r="AB193" s="19"/>
      <c r="AC193" s="21">
        <v>1.06536588558099E-4</v>
      </c>
      <c r="AD193" s="19"/>
      <c r="AE193" s="21">
        <v>-3.7634180564757603E-5</v>
      </c>
      <c r="AF193" s="19"/>
      <c r="AG193" s="21">
        <v>4.2200772221788599E-4</v>
      </c>
      <c r="AH193" s="19"/>
      <c r="AI193" s="21">
        <v>1.9860321096306399E-4</v>
      </c>
      <c r="AJ193" s="19"/>
      <c r="AK193" s="21">
        <v>5.5922882329404702E-4</v>
      </c>
      <c r="AL193" s="19"/>
      <c r="AM193" s="21">
        <v>-1.43519698421825E-3</v>
      </c>
      <c r="AN193" s="19"/>
      <c r="AO193" s="21">
        <v>2.4766613947238602E-4</v>
      </c>
      <c r="AP193" s="19"/>
      <c r="AQ193" s="21">
        <v>1.7582905759497701E-4</v>
      </c>
      <c r="AR193" s="19"/>
      <c r="AS193" s="21">
        <v>5.9838607233228297E-4</v>
      </c>
      <c r="AT193" s="19"/>
      <c r="AU193" s="21">
        <v>-4.0278781926585502E-4</v>
      </c>
      <c r="AV193" s="19"/>
      <c r="AW193" s="21">
        <v>-1.04212443136757E-4</v>
      </c>
      <c r="AX193" s="19"/>
      <c r="AY193" s="21">
        <v>-1.5162977000505E-5</v>
      </c>
      <c r="AZ193" s="19"/>
      <c r="BA193" s="21">
        <v>-3.1113900665316699E-4</v>
      </c>
      <c r="BB193" s="19"/>
      <c r="BC193" s="21">
        <v>-6.9713501069838699E-5</v>
      </c>
      <c r="BD193" s="19"/>
      <c r="BE193" s="21">
        <v>-2.38212068382129E-4</v>
      </c>
      <c r="BF193" s="19"/>
      <c r="BG193" s="21"/>
      <c r="BH193" s="19"/>
    </row>
    <row r="194" spans="1:60" x14ac:dyDescent="0.15">
      <c r="A194" s="17">
        <v>2025</v>
      </c>
      <c r="B194" s="17">
        <v>3</v>
      </c>
      <c r="C194" s="21"/>
      <c r="D194" s="19"/>
      <c r="E194" s="21">
        <v>-3.8793150465325599E-3</v>
      </c>
      <c r="F194" s="19"/>
      <c r="G194" s="21">
        <v>3.9561979532224703E-5</v>
      </c>
      <c r="H194" s="19"/>
      <c r="I194" s="21">
        <v>1.18147040534167E-7</v>
      </c>
      <c r="J194" s="19"/>
      <c r="K194" s="21">
        <v>-5.1746685629264801E-3</v>
      </c>
      <c r="L194" s="19"/>
      <c r="M194" s="21">
        <v>-5.7369779038339798E-3</v>
      </c>
      <c r="N194" s="19"/>
      <c r="O194" s="21">
        <v>6.9896009813254201E-4</v>
      </c>
      <c r="P194" s="19"/>
      <c r="Q194" s="21">
        <v>-1.5150941059711299E-3</v>
      </c>
      <c r="R194" s="19"/>
      <c r="S194" s="21">
        <v>-2.20509223949919E-5</v>
      </c>
      <c r="T194" s="19"/>
      <c r="U194" s="21">
        <v>3.7143566864936002E-6</v>
      </c>
      <c r="V194" s="19"/>
      <c r="W194" s="21">
        <v>2.2079960547660201E-3</v>
      </c>
      <c r="X194" s="19"/>
      <c r="Y194" s="21">
        <v>1.29814722279592E-4</v>
      </c>
      <c r="Z194" s="19"/>
      <c r="AA194" s="21">
        <v>-2.9531403126025998E-5</v>
      </c>
      <c r="AB194" s="19"/>
      <c r="AC194" s="21">
        <v>1.36991277725659E-4</v>
      </c>
      <c r="AD194" s="19"/>
      <c r="AE194" s="21">
        <v>6.1189487643631096E-5</v>
      </c>
      <c r="AF194" s="19"/>
      <c r="AG194" s="21">
        <v>2.2130577074755001E-3</v>
      </c>
      <c r="AH194" s="19"/>
      <c r="AI194" s="21">
        <v>1.75281777137205E-3</v>
      </c>
      <c r="AJ194" s="19"/>
      <c r="AK194" s="21">
        <v>2.5365613768367799E-4</v>
      </c>
      <c r="AL194" s="19"/>
      <c r="AM194" s="21">
        <v>-1.1073663251618901E-3</v>
      </c>
      <c r="AN194" s="19"/>
      <c r="AO194" s="21">
        <v>-4.4737290761551998E-4</v>
      </c>
      <c r="AP194" s="19"/>
      <c r="AQ194" s="21">
        <v>-1.0343915460234801E-3</v>
      </c>
      <c r="AR194" s="19"/>
      <c r="AS194" s="21">
        <v>7.2095459961876902E-4</v>
      </c>
      <c r="AT194" s="19"/>
      <c r="AU194" s="21">
        <v>5.3902410584061297E-5</v>
      </c>
      <c r="AV194" s="19"/>
      <c r="AW194" s="21">
        <v>-4.0417080322870503E-5</v>
      </c>
      <c r="AX194" s="19"/>
      <c r="AY194" s="21">
        <v>-2.0758560098277099E-6</v>
      </c>
      <c r="AZ194" s="19"/>
      <c r="BA194" s="21">
        <v>-1.93763545262292E-4</v>
      </c>
      <c r="BB194" s="19"/>
      <c r="BC194" s="21">
        <v>-3.5451919015486897E-5</v>
      </c>
      <c r="BD194" s="19"/>
      <c r="BE194" s="21">
        <v>-1.54165619422923E-4</v>
      </c>
      <c r="BF194" s="19"/>
      <c r="BG194" s="21"/>
      <c r="BH194" s="19"/>
    </row>
    <row r="195" spans="1:60" x14ac:dyDescent="0.15">
      <c r="A195" s="17">
        <v>2025</v>
      </c>
      <c r="B195" s="17">
        <v>4</v>
      </c>
      <c r="C195" s="21"/>
      <c r="D195" s="19"/>
      <c r="E195" s="21">
        <v>5.1439401600961703E-3</v>
      </c>
      <c r="F195" s="19"/>
      <c r="G195" s="21">
        <v>-3.4955429597553101E-5</v>
      </c>
      <c r="H195" s="19"/>
      <c r="I195" s="21">
        <v>2.3690881346108101E-6</v>
      </c>
      <c r="J195" s="19"/>
      <c r="K195" s="21">
        <v>1.13230358124686E-3</v>
      </c>
      <c r="L195" s="19"/>
      <c r="M195" s="21">
        <v>2.5691192518752801E-3</v>
      </c>
      <c r="N195" s="19"/>
      <c r="O195" s="21">
        <v>-1.5411403242117901E-3</v>
      </c>
      <c r="P195" s="19"/>
      <c r="Q195" s="21">
        <v>-1.4545110996526199E-4</v>
      </c>
      <c r="R195" s="19"/>
      <c r="S195" s="21">
        <v>-7.1044476814934303E-6</v>
      </c>
      <c r="T195" s="19"/>
      <c r="U195" s="21">
        <v>5.9365768900081402E-4</v>
      </c>
      <c r="V195" s="19"/>
      <c r="W195" s="21">
        <v>2.3684809272397599E-3</v>
      </c>
      <c r="X195" s="19"/>
      <c r="Y195" s="21">
        <v>6.63326265922198E-4</v>
      </c>
      <c r="Z195" s="19"/>
      <c r="AA195" s="21">
        <v>-2.7291144476700798E-4</v>
      </c>
      <c r="AB195" s="19"/>
      <c r="AC195" s="21">
        <v>3.6116324855182502E-4</v>
      </c>
      <c r="AD195" s="19"/>
      <c r="AE195" s="21">
        <v>-2.54539617760612E-4</v>
      </c>
      <c r="AF195" s="19"/>
      <c r="AG195" s="21">
        <v>1.0334644825475501E-3</v>
      </c>
      <c r="AH195" s="19"/>
      <c r="AI195" s="21">
        <v>5.7019157218790302E-4</v>
      </c>
      <c r="AJ195" s="19"/>
      <c r="AK195" s="21">
        <v>-5.3507061871295997E-5</v>
      </c>
      <c r="AL195" s="19"/>
      <c r="AM195" s="21">
        <v>-1.07802100260843E-4</v>
      </c>
      <c r="AN195" s="19"/>
      <c r="AO195" s="21">
        <v>2.2662572453026699E-4</v>
      </c>
      <c r="AP195" s="19"/>
      <c r="AQ195" s="21">
        <v>8.1124246993512006E-5</v>
      </c>
      <c r="AR195" s="19"/>
      <c r="AS195" s="21">
        <v>-2.7521375101994201E-5</v>
      </c>
      <c r="AT195" s="19"/>
      <c r="AU195" s="21">
        <v>2.7307768723153003E-4</v>
      </c>
      <c r="AV195" s="19"/>
      <c r="AW195" s="21">
        <v>-1.6003843318306501E-4</v>
      </c>
      <c r="AX195" s="19"/>
      <c r="AY195" s="21">
        <v>8.8244638649430307E-6</v>
      </c>
      <c r="AZ195" s="19"/>
      <c r="BA195" s="21">
        <v>1.0957508404257E-4</v>
      </c>
      <c r="BB195" s="19"/>
      <c r="BC195" s="21">
        <v>1.3612397778205E-4</v>
      </c>
      <c r="BD195" s="19"/>
      <c r="BE195" s="21">
        <v>-2.72960436486727E-5</v>
      </c>
      <c r="BF195" s="19"/>
      <c r="BG195" s="21"/>
      <c r="BH195" s="19"/>
    </row>
    <row r="196" spans="1:60" x14ac:dyDescent="0.15">
      <c r="A196" s="17">
        <v>2026</v>
      </c>
      <c r="B196" s="17">
        <v>1</v>
      </c>
      <c r="C196" s="21"/>
      <c r="D196" s="19"/>
      <c r="E196" s="21">
        <v>4.5637796141439696E-3</v>
      </c>
      <c r="F196" s="19"/>
      <c r="G196" s="21">
        <v>-1.14353692991653E-4</v>
      </c>
      <c r="H196" s="19"/>
      <c r="I196" s="21">
        <v>-1.49924182804896E-5</v>
      </c>
      <c r="J196" s="19"/>
      <c r="K196" s="21">
        <v>3.3207342092629898E-3</v>
      </c>
      <c r="L196" s="19"/>
      <c r="M196" s="21">
        <v>-1.26835248722366E-3</v>
      </c>
      <c r="N196" s="19"/>
      <c r="O196" s="21">
        <v>4.6544970007929296E-3</v>
      </c>
      <c r="P196" s="19"/>
      <c r="Q196" s="21">
        <v>6.5382641797698596E-5</v>
      </c>
      <c r="R196" s="19"/>
      <c r="S196" s="21">
        <v>-3.3865179702429001E-6</v>
      </c>
      <c r="T196" s="19"/>
      <c r="U196" s="21">
        <v>4.8079849851748798E-4</v>
      </c>
      <c r="V196" s="19"/>
      <c r="W196" s="21">
        <v>-3.23565923940665E-3</v>
      </c>
      <c r="X196" s="19"/>
      <c r="Y196" s="21">
        <v>-2.9372732246281402E-4</v>
      </c>
      <c r="Z196" s="19"/>
      <c r="AA196" s="21">
        <v>6.43920580817978E-4</v>
      </c>
      <c r="AB196" s="19"/>
      <c r="AC196" s="21">
        <v>6.7037786480876805E-5</v>
      </c>
      <c r="AD196" s="19"/>
      <c r="AE196" s="21">
        <v>-3.2892216998326502E-6</v>
      </c>
      <c r="AF196" s="19"/>
      <c r="AG196" s="21">
        <v>5.0648584180607503E-4</v>
      </c>
      <c r="AH196" s="19"/>
      <c r="AI196" s="21">
        <v>4.3873599551267299E-4</v>
      </c>
      <c r="AJ196" s="19"/>
      <c r="AK196" s="21">
        <v>-3.6592048595085198E-4</v>
      </c>
      <c r="AL196" s="19"/>
      <c r="AM196" s="21">
        <v>1.1299903493250699E-3</v>
      </c>
      <c r="AN196" s="19"/>
      <c r="AO196" s="21">
        <v>6.9230708553446002E-4</v>
      </c>
      <c r="AP196" s="19"/>
      <c r="AQ196" s="21">
        <v>3.42666808561707E-4</v>
      </c>
      <c r="AR196" s="19"/>
      <c r="AS196" s="21">
        <v>3.1592124883017E-4</v>
      </c>
      <c r="AT196" s="19"/>
      <c r="AU196" s="21">
        <v>3.1717278532590099E-4</v>
      </c>
      <c r="AV196" s="19"/>
      <c r="AW196" s="21">
        <v>1.4858257195997699E-4</v>
      </c>
      <c r="AX196" s="19"/>
      <c r="AY196" s="21">
        <v>2.3520613211053399E-5</v>
      </c>
      <c r="AZ196" s="19"/>
      <c r="BA196" s="21">
        <v>2.3689652669419499E-4</v>
      </c>
      <c r="BB196" s="19"/>
      <c r="BC196" s="21">
        <v>2.2965484738126399E-4</v>
      </c>
      <c r="BD196" s="19"/>
      <c r="BE196" s="21">
        <v>7.7839221184993404E-6</v>
      </c>
      <c r="BF196" s="19"/>
      <c r="BG196" s="21"/>
      <c r="BH196" s="19"/>
    </row>
    <row r="197" spans="1:60" x14ac:dyDescent="0.15">
      <c r="A197" s="17">
        <v>2026</v>
      </c>
      <c r="B197" s="17">
        <v>2</v>
      </c>
      <c r="C197" s="21"/>
      <c r="D197" s="19"/>
      <c r="E197" s="21">
        <v>1.48422795322696E-2</v>
      </c>
      <c r="F197" s="19"/>
      <c r="G197" s="21">
        <v>-8.2088305242453198E-5</v>
      </c>
      <c r="H197" s="19"/>
      <c r="I197" s="21">
        <v>-4.9494170205929297E-5</v>
      </c>
      <c r="J197" s="19"/>
      <c r="K197" s="21">
        <v>8.1718669720920699E-3</v>
      </c>
      <c r="L197" s="19"/>
      <c r="M197" s="21">
        <v>7.2373053191809597E-3</v>
      </c>
      <c r="N197" s="19"/>
      <c r="O197" s="21">
        <v>8.2903933847605605E-4</v>
      </c>
      <c r="P197" s="19"/>
      <c r="Q197" s="21">
        <v>1.1885394525094301E-3</v>
      </c>
      <c r="R197" s="19"/>
      <c r="S197" s="21">
        <v>-5.79808842304382E-6</v>
      </c>
      <c r="T197" s="19"/>
      <c r="U197" s="21">
        <v>1.75020504139908E-4</v>
      </c>
      <c r="V197" s="19"/>
      <c r="W197" s="21">
        <v>1.22120761173563E-3</v>
      </c>
      <c r="X197" s="19"/>
      <c r="Y197" s="21">
        <v>3.66752014996019E-4</v>
      </c>
      <c r="Z197" s="19"/>
      <c r="AA197" s="21">
        <v>6.7852488242208496E-4</v>
      </c>
      <c r="AB197" s="19"/>
      <c r="AC197" s="21">
        <v>2.4529572464013699E-4</v>
      </c>
      <c r="AD197" s="19"/>
      <c r="AE197" s="21">
        <v>4.9331157533187E-4</v>
      </c>
      <c r="AF197" s="19"/>
      <c r="AG197" s="21">
        <v>6.6725443990342699E-4</v>
      </c>
      <c r="AH197" s="19"/>
      <c r="AI197" s="21">
        <v>7.1480136185974198E-4</v>
      </c>
      <c r="AJ197" s="19"/>
      <c r="AK197" s="21">
        <v>-2.7680028547971599E-4</v>
      </c>
      <c r="AL197" s="19"/>
      <c r="AM197" s="21">
        <v>9.0952323613844005E-4</v>
      </c>
      <c r="AN197" s="19"/>
      <c r="AO197" s="21">
        <v>2.3748755467933099E-4</v>
      </c>
      <c r="AP197" s="19"/>
      <c r="AQ197" s="21">
        <v>1.2901658255740999E-5</v>
      </c>
      <c r="AR197" s="19"/>
      <c r="AS197" s="21">
        <v>5.5187398962668803E-4</v>
      </c>
      <c r="AT197" s="19"/>
      <c r="AU197" s="21">
        <v>2.7568464190025701E-4</v>
      </c>
      <c r="AV197" s="19"/>
      <c r="AW197" s="21">
        <v>-9.3786938109093702E-5</v>
      </c>
      <c r="AX197" s="19"/>
      <c r="AY197" s="21">
        <v>2.5792718827996099E-5</v>
      </c>
      <c r="AZ197" s="19"/>
      <c r="BA197" s="21">
        <v>5.7007566236042895E-4</v>
      </c>
      <c r="BB197" s="19"/>
      <c r="BC197" s="21">
        <v>5.7717492321500299E-4</v>
      </c>
      <c r="BD197" s="19"/>
      <c r="BE197" s="21">
        <v>-2.59809348349264E-5</v>
      </c>
      <c r="BF197" s="19"/>
      <c r="BG197" s="21"/>
      <c r="BH197" s="19"/>
    </row>
    <row r="198" spans="1:60" x14ac:dyDescent="0.15">
      <c r="A198" s="17"/>
      <c r="B198" s="17"/>
      <c r="C198" s="21"/>
      <c r="D198" s="19"/>
      <c r="E198" s="21"/>
      <c r="F198" s="19"/>
      <c r="G198" s="21"/>
      <c r="H198" s="19"/>
      <c r="I198" s="21"/>
      <c r="J198" s="19"/>
      <c r="K198" s="21"/>
      <c r="L198" s="19"/>
      <c r="M198" s="21"/>
      <c r="N198" s="19"/>
      <c r="O198" s="21"/>
      <c r="P198" s="19"/>
      <c r="Q198" s="21"/>
      <c r="R198" s="19"/>
      <c r="S198" s="21"/>
      <c r="T198" s="19"/>
      <c r="U198" s="21"/>
      <c r="V198" s="19"/>
      <c r="W198" s="21"/>
      <c r="X198" s="19"/>
      <c r="Y198" s="21"/>
      <c r="Z198" s="19"/>
      <c r="AA198" s="21"/>
      <c r="AB198" s="19"/>
      <c r="AC198" s="21"/>
      <c r="AD198" s="19"/>
      <c r="AE198" s="21"/>
      <c r="AF198" s="19"/>
      <c r="AG198" s="21"/>
      <c r="AH198" s="19"/>
      <c r="AI198" s="21"/>
      <c r="AJ198" s="19"/>
      <c r="AK198" s="21"/>
      <c r="AL198" s="19"/>
      <c r="AM198" s="21"/>
      <c r="AN198" s="19"/>
      <c r="AO198" s="21"/>
      <c r="AP198" s="19"/>
      <c r="AQ198" s="21"/>
      <c r="AR198" s="19"/>
      <c r="AS198" s="21"/>
      <c r="AT198" s="19"/>
      <c r="AU198" s="21"/>
      <c r="AV198" s="19"/>
      <c r="AW198" s="21"/>
      <c r="AX198" s="19"/>
      <c r="AY198" s="21"/>
      <c r="AZ198" s="19"/>
      <c r="BA198" s="21"/>
      <c r="BB198" s="19"/>
      <c r="BC198" s="21"/>
      <c r="BD198" s="19"/>
      <c r="BE198" s="21"/>
      <c r="BF198" s="19"/>
      <c r="BG198" s="21"/>
      <c r="BH198" s="19"/>
    </row>
  </sheetData>
  <sheetProtection password="DD0B" sheet="1"/>
  <mergeCells count="66">
    <mergeCell ref="AC6:AD10"/>
    <mergeCell ref="AC11:AD11"/>
    <mergeCell ref="C5:D10"/>
    <mergeCell ref="E6:F10"/>
    <mergeCell ref="C11:D11"/>
    <mergeCell ref="E11:F11"/>
    <mergeCell ref="M8:N10"/>
    <mergeCell ref="Y8:Z10"/>
    <mergeCell ref="AA6:AB10"/>
    <mergeCell ref="G11:H11"/>
    <mergeCell ref="I11:J11"/>
    <mergeCell ref="K11:L11"/>
    <mergeCell ref="M11:N11"/>
    <mergeCell ref="C4:BF4"/>
    <mergeCell ref="E5:AZ5"/>
    <mergeCell ref="BA5:BF5"/>
    <mergeCell ref="G6:H10"/>
    <mergeCell ref="I6:J10"/>
    <mergeCell ref="K6:L10"/>
    <mergeCell ref="M6:N7"/>
    <mergeCell ref="Q6:R10"/>
    <mergeCell ref="S6:T10"/>
    <mergeCell ref="U6:V10"/>
    <mergeCell ref="W6:X10"/>
    <mergeCell ref="Y6:Z7"/>
    <mergeCell ref="AY6:AZ10"/>
    <mergeCell ref="BA6:BB10"/>
    <mergeCell ref="BC6:BD10"/>
    <mergeCell ref="BE6:BF10"/>
    <mergeCell ref="AO6:AP10"/>
    <mergeCell ref="AQ6:AR10"/>
    <mergeCell ref="AS6:AT10"/>
    <mergeCell ref="AU6:AV10"/>
    <mergeCell ref="AW6:AX10"/>
    <mergeCell ref="AG6:AH10"/>
    <mergeCell ref="AM6:AN10"/>
    <mergeCell ref="O6:P6"/>
    <mergeCell ref="U11:V11"/>
    <mergeCell ref="W11:X11"/>
    <mergeCell ref="Y11:Z11"/>
    <mergeCell ref="AA11:AB11"/>
    <mergeCell ref="Q11:R11"/>
    <mergeCell ref="O11:P11"/>
    <mergeCell ref="O7:P7"/>
    <mergeCell ref="O8:P10"/>
    <mergeCell ref="AG11:AH11"/>
    <mergeCell ref="AI11:AJ11"/>
    <mergeCell ref="S11:T11"/>
    <mergeCell ref="AE11:AF11"/>
    <mergeCell ref="AE6:AF10"/>
    <mergeCell ref="BC11:BD11"/>
    <mergeCell ref="BE11:BF11"/>
    <mergeCell ref="AM11:AN11"/>
    <mergeCell ref="AO11:AP11"/>
    <mergeCell ref="AQ11:AR11"/>
    <mergeCell ref="AS11:AT11"/>
    <mergeCell ref="AU11:AV11"/>
    <mergeCell ref="AW11:AX11"/>
    <mergeCell ref="AY11:AZ11"/>
    <mergeCell ref="AK6:AL6"/>
    <mergeCell ref="AK7:AL7"/>
    <mergeCell ref="AK11:AL11"/>
    <mergeCell ref="AI6:AJ6"/>
    <mergeCell ref="AI7:AJ7"/>
    <mergeCell ref="AI8:AJ10"/>
    <mergeCell ref="AK8:AL10"/>
  </mergeCell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le07"/>
  <dimension ref="A1:BH58"/>
  <sheetViews>
    <sheetView showGridLines="0" zoomScaleNormal="100" workbookViewId="0">
      <pane xSplit="2" ySplit="11" topLeftCell="C12" activePane="bottomRight" state="frozen"/>
      <selection activeCell="AG1" sqref="AG1:AH1048576"/>
      <selection pane="topRight" activeCell="AG1" sqref="AG1:AH1048576"/>
      <selection pane="bottomLeft" activeCell="AG1" sqref="AG1:AH1048576"/>
      <selection pane="bottomRight" activeCell="AG1" sqref="AG1:AH1048576"/>
    </sheetView>
  </sheetViews>
  <sheetFormatPr baseColWidth="10" defaultRowHeight="11" x14ac:dyDescent="0.15"/>
  <cols>
    <col min="1" max="1" width="9.75" customWidth="1"/>
    <col min="2" max="2" width="2.75" customWidth="1"/>
    <col min="3" max="60" width="9.75" customWidth="1"/>
  </cols>
  <sheetData>
    <row r="1" spans="1:60" ht="11.25" customHeight="1" x14ac:dyDescent="0.15">
      <c r="A1" s="6" t="str">
        <f ca="1">INDIRECT("beschriftung!"&amp;ADDRESS(beschriftung!$C$1*12+ROW(beschriftung!$A1)-1,COLUMN(beschriftung!A$1)))</f>
        <v xml:space="preserve">ESA 2010, Quarterly aggregates of Gross Domestic Product, production approach, seasonally, calendar and sport event adjusted data. Background information on sport event adjustment can be found in the publication “Konjunkturtendenzen” (“Economic Trends”) from autumn 2022 and in the technical note from 5 September 2022 on the website www.seco.admin.ch. </v>
      </c>
      <c r="C1" s="9"/>
      <c r="E1" s="9"/>
    </row>
    <row r="2" spans="1:60" ht="11.25" customHeight="1" x14ac:dyDescent="0.15">
      <c r="A2" s="7" t="str">
        <f ca="1">INDIRECT("beschriftung!"&amp;ADDRESS(beschriftung!$C$1*12+ROW(beschriftung!$A2)-1,COLUMN(beschriftung!B$1)))</f>
        <v>In Mio. Swiss Francs, at current prices, percentage change to previous year</v>
      </c>
      <c r="C2" s="9"/>
      <c r="E2" s="9"/>
    </row>
    <row r="3" spans="1:60" ht="11.25" customHeight="1" x14ac:dyDescent="0.15">
      <c r="C3" s="9"/>
      <c r="E3" s="9"/>
    </row>
    <row r="4" spans="1:60" ht="11.25" customHeight="1" x14ac:dyDescent="0.15">
      <c r="A4" s="5"/>
      <c r="C4" s="46" t="str">
        <f ca="1">INDIRECT("beschriftung!"&amp;ADDRESS(beschriftung!$C$1*12+ROW(beschriftung!$A5)-1,COLUMN(beschriftung!C$1)))</f>
        <v>Gross domestic product</v>
      </c>
      <c r="D4" s="47" t="e">
        <f ca="1">IF(INDIRECT("beschriftung.!"&amp;ADDRESS(#REF!*12+ROW($A5)-1,COLUMN(D$1)))="","",INDIRECT("beschriftung.!"&amp;ADDRESS(#REF!*12+ROW($A5)-1,COLUMN(D$1))))</f>
        <v>#REF!</v>
      </c>
      <c r="E4" s="47" t="e">
        <f ca="1">IF(INDIRECT("beschriftung.!"&amp;ADDRESS(#REF!*12+ROW($A5)-1,COLUMN(E$1)))="","",INDIRECT("beschriftung.!"&amp;ADDRESS(#REF!*12+ROW($A5)-1,COLUMN(E$1))))</f>
        <v>#REF!</v>
      </c>
      <c r="F4" s="47" t="e">
        <f ca="1">IF(INDIRECT("beschriftung.!"&amp;ADDRESS(#REF!*12+ROW($A5)-1,COLUMN(F$1)))="","",INDIRECT("beschriftung.!"&amp;ADDRESS(#REF!*12+ROW($A5)-1,COLUMN(F$1))))</f>
        <v>#REF!</v>
      </c>
      <c r="G4" s="47" t="e">
        <f ca="1">IF(INDIRECT("beschriftung.!"&amp;ADDRESS(#REF!*12+ROW($A5)-1,COLUMN(G$1)))="","",INDIRECT("beschriftung.!"&amp;ADDRESS(#REF!*12+ROW($A5)-1,COLUMN(G$1))))</f>
        <v>#REF!</v>
      </c>
      <c r="H4" s="47" t="e">
        <f ca="1">IF(INDIRECT("beschriftung.!"&amp;ADDRESS(#REF!*12+ROW($A5)-1,COLUMN(H$1)))="","",INDIRECT("beschriftung.!"&amp;ADDRESS(#REF!*12+ROW($A5)-1,COLUMN(H$1))))</f>
        <v>#REF!</v>
      </c>
      <c r="I4" s="47" t="e">
        <f ca="1">IF(INDIRECT("beschriftung.!"&amp;ADDRESS(#REF!*12+ROW($A5)-1,COLUMN(I$1)))="","",INDIRECT("beschriftung.!"&amp;ADDRESS(#REF!*12+ROW($A5)-1,COLUMN(I$1))))</f>
        <v>#REF!</v>
      </c>
      <c r="J4" s="47" t="e">
        <f ca="1">IF(INDIRECT("beschriftung.!"&amp;ADDRESS(#REF!*12+ROW($A5)-1,COLUMN(J$1)))="","",INDIRECT("beschriftung.!"&amp;ADDRESS(#REF!*12+ROW($A5)-1,COLUMN(J$1))))</f>
        <v>#REF!</v>
      </c>
      <c r="K4" s="47" t="e">
        <f ca="1">IF(INDIRECT("beschriftung.!"&amp;ADDRESS(#REF!*12+ROW($A5)-1,COLUMN(K$1)))="","",INDIRECT("beschriftung.!"&amp;ADDRESS(#REF!*12+ROW($A5)-1,COLUMN(K$1))))</f>
        <v>#REF!</v>
      </c>
      <c r="L4" s="47" t="e">
        <f ca="1">IF(INDIRECT("beschriftung.!"&amp;ADDRESS(#REF!*12+ROW($A5)-1,COLUMN(L$1)))="","",INDIRECT("beschriftung.!"&amp;ADDRESS(#REF!*12+ROW($A5)-1,COLUMN(L$1))))</f>
        <v>#REF!</v>
      </c>
      <c r="M4" s="47"/>
      <c r="N4" s="47"/>
      <c r="O4" s="47"/>
      <c r="P4" s="47"/>
      <c r="Q4" s="47" t="e">
        <f ca="1">IF(INDIRECT("beschriftung.!"&amp;ADDRESS(#REF!*12+ROW($A5)-1,COLUMN(Q$1)))="","",INDIRECT("beschriftung.!"&amp;ADDRESS(#REF!*12+ROW($A5)-1,COLUMN(Q$1))))</f>
        <v>#REF!</v>
      </c>
      <c r="R4" s="47" t="e">
        <f ca="1">IF(INDIRECT("beschriftung.!"&amp;ADDRESS(#REF!*12+ROW($A5)-1,COLUMN(R$1)))="","",INDIRECT("beschriftung.!"&amp;ADDRESS(#REF!*12+ROW($A5)-1,COLUMN(R$1))))</f>
        <v>#REF!</v>
      </c>
      <c r="S4" s="47"/>
      <c r="T4" s="47"/>
      <c r="U4" s="47" t="e">
        <f ca="1">IF(INDIRECT("beschriftung.!"&amp;ADDRESS(#REF!*12+ROW($A5)-1,COLUMN(U$1)))="","",INDIRECT("beschriftung.!"&amp;ADDRESS(#REF!*12+ROW($A5)-1,COLUMN(U$1))))</f>
        <v>#REF!</v>
      </c>
      <c r="V4" s="47" t="e">
        <f ca="1">IF(INDIRECT("beschriftung.!"&amp;ADDRESS(#REF!*12+ROW($A5)-1,COLUMN(V$1)))="","",INDIRECT("beschriftung.!"&amp;ADDRESS(#REF!*12+ROW($A5)-1,COLUMN(V$1))))</f>
        <v>#REF!</v>
      </c>
      <c r="W4" s="47" t="e">
        <f ca="1">IF(INDIRECT("beschriftung.!"&amp;ADDRESS(#REF!*12+ROW($A5)-1,COLUMN(W$1)))="","",INDIRECT("beschriftung.!"&amp;ADDRESS(#REF!*12+ROW($A5)-1,COLUMN(W$1))))</f>
        <v>#REF!</v>
      </c>
      <c r="X4" s="47" t="e">
        <f ca="1">IF(INDIRECT("beschriftung.!"&amp;ADDRESS(#REF!*12+ROW($A5)-1,COLUMN(X$1)))="","",INDIRECT("beschriftung.!"&amp;ADDRESS(#REF!*12+ROW($A5)-1,COLUMN(X$1))))</f>
        <v>#REF!</v>
      </c>
      <c r="Y4" s="47"/>
      <c r="Z4" s="47"/>
      <c r="AA4" s="47" t="e">
        <f ca="1">IF(INDIRECT("beschriftung.!"&amp;ADDRESS(#REF!*12+ROW($A5)-1,COLUMN(AA$1)))="","",INDIRECT("beschriftung.!"&amp;ADDRESS(#REF!*12+ROW($A5)-1,COLUMN(AA$1))))</f>
        <v>#REF!</v>
      </c>
      <c r="AB4" s="47" t="e">
        <f ca="1">IF(INDIRECT("beschriftung.!"&amp;ADDRESS(#REF!*12+ROW($A5)-1,COLUMN(AB$1)))="","",INDIRECT("beschriftung.!"&amp;ADDRESS(#REF!*12+ROW($A5)-1,COLUMN(AB$1))))</f>
        <v>#REF!</v>
      </c>
      <c r="AC4" s="47"/>
      <c r="AD4" s="47"/>
      <c r="AE4" s="47"/>
      <c r="AF4" s="47"/>
      <c r="AG4" s="47" t="e">
        <f ca="1">IF(INDIRECT("beschriftung.!"&amp;ADDRESS(#REF!*12+ROW($A5)-1,COLUMN(AG$1)))="","",INDIRECT("beschriftung.!"&amp;ADDRESS(#REF!*12+ROW($A5)-1,COLUMN(AG$1))))</f>
        <v>#REF!</v>
      </c>
      <c r="AH4" s="47" t="e">
        <f ca="1">IF(INDIRECT("beschriftung.!"&amp;ADDRESS(#REF!*12+ROW($A5)-1,COLUMN(AH$1)))="","",INDIRECT("beschriftung.!"&amp;ADDRESS(#REF!*12+ROW($A5)-1,COLUMN(AH$1))))</f>
        <v>#REF!</v>
      </c>
      <c r="AI4" s="47" t="e">
        <f ca="1">IF(INDIRECT("beschriftung.!"&amp;ADDRESS(#REF!*12+ROW($A5)-1,COLUMN(AI$1)))="","",INDIRECT("beschriftung.!"&amp;ADDRESS(#REF!*12+ROW($A5)-1,COLUMN(AI$1))))</f>
        <v>#REF!</v>
      </c>
      <c r="AJ4" s="47" t="e">
        <f ca="1">IF(INDIRECT("beschriftung.!"&amp;ADDRESS(#REF!*12+ROW($A5)-1,COLUMN(AJ$1)))="","",INDIRECT("beschriftung.!"&amp;ADDRESS(#REF!*12+ROW($A5)-1,COLUMN(AJ$1))))</f>
        <v>#REF!</v>
      </c>
      <c r="AK4" s="47"/>
      <c r="AL4" s="47"/>
      <c r="AM4" s="47" t="e">
        <f ca="1">IF(INDIRECT("beschriftung.!"&amp;ADDRESS(#REF!*12+ROW($A5)-1,COLUMN(AM$1)))="","",INDIRECT("beschriftung.!"&amp;ADDRESS(#REF!*12+ROW($A5)-1,COLUMN(AM$1))))</f>
        <v>#REF!</v>
      </c>
      <c r="AN4" s="47" t="e">
        <f ca="1">IF(INDIRECT("beschriftung.!"&amp;ADDRESS(#REF!*12+ROW($A5)-1,COLUMN(AN$1)))="","",INDIRECT("beschriftung.!"&amp;ADDRESS(#REF!*12+ROW($A5)-1,COLUMN(AN$1))))</f>
        <v>#REF!</v>
      </c>
      <c r="AO4" s="47" t="e">
        <f ca="1">IF(INDIRECT("beschriftung.!"&amp;ADDRESS(#REF!*12+ROW($A5)-1,COLUMN(AO$1)))="","",INDIRECT("beschriftung.!"&amp;ADDRESS(#REF!*12+ROW($A5)-1,COLUMN(AO$1))))</f>
        <v>#REF!</v>
      </c>
      <c r="AP4" s="47" t="e">
        <f ca="1">IF(INDIRECT("beschriftung.!"&amp;ADDRESS(#REF!*12+ROW($A5)-1,COLUMN(AP$1)))="","",INDIRECT("beschriftung.!"&amp;ADDRESS(#REF!*12+ROW($A5)-1,COLUMN(AP$1))))</f>
        <v>#REF!</v>
      </c>
      <c r="AQ4" s="47" t="e">
        <f ca="1">IF(INDIRECT("beschriftung.!"&amp;ADDRESS(#REF!*12+ROW($A5)-1,COLUMN(AQ$1)))="","",INDIRECT("beschriftung.!"&amp;ADDRESS(#REF!*12+ROW($A5)-1,COLUMN(AQ$1))))</f>
        <v>#REF!</v>
      </c>
      <c r="AR4" s="47" t="e">
        <f ca="1">IF(INDIRECT("beschriftung.!"&amp;ADDRESS(#REF!*12+ROW($A5)-1,COLUMN(AR$1)))="","",INDIRECT("beschriftung.!"&amp;ADDRESS(#REF!*12+ROW($A5)-1,COLUMN(AR$1))))</f>
        <v>#REF!</v>
      </c>
      <c r="AS4" s="47" t="e">
        <f ca="1">IF(INDIRECT("beschriftung.!"&amp;ADDRESS(#REF!*12+ROW($A5)-1,COLUMN(AS$1)))="","",INDIRECT("beschriftung.!"&amp;ADDRESS(#REF!*12+ROW($A5)-1,COLUMN(AS$1))))</f>
        <v>#REF!</v>
      </c>
      <c r="AT4" s="47" t="e">
        <f ca="1">IF(INDIRECT("beschriftung.!"&amp;ADDRESS(#REF!*12+ROW($A5)-1,COLUMN(AT$1)))="","",INDIRECT("beschriftung.!"&amp;ADDRESS(#REF!*12+ROW($A5)-1,COLUMN(AT$1))))</f>
        <v>#REF!</v>
      </c>
      <c r="AU4" s="47" t="e">
        <f ca="1">IF(INDIRECT("beschriftung.!"&amp;ADDRESS(#REF!*12+ROW($A5)-1,COLUMN(AU$1)))="","",INDIRECT("beschriftung.!"&amp;ADDRESS(#REF!*12+ROW($A5)-1,COLUMN(AU$1))))</f>
        <v>#REF!</v>
      </c>
      <c r="AV4" s="47" t="e">
        <f ca="1">IF(INDIRECT("beschriftung.!"&amp;ADDRESS(#REF!*12+ROW($A5)-1,COLUMN(AV$1)))="","",INDIRECT("beschriftung.!"&amp;ADDRESS(#REF!*12+ROW($A5)-1,COLUMN(AV$1))))</f>
        <v>#REF!</v>
      </c>
      <c r="AW4" s="47"/>
      <c r="AX4" s="47"/>
      <c r="AY4" s="47" t="e">
        <f ca="1">IF(INDIRECT("beschriftung.!"&amp;ADDRESS(#REF!*12+ROW($A5)-1,COLUMN(AY$1)))="","",INDIRECT("beschriftung.!"&amp;ADDRESS(#REF!*12+ROW($A5)-1,COLUMN(AY$1))))</f>
        <v>#REF!</v>
      </c>
      <c r="AZ4" s="47" t="e">
        <f ca="1">IF(INDIRECT("beschriftung.!"&amp;ADDRESS(#REF!*12+ROW($A5)-1,COLUMN(AZ$1)))="","",INDIRECT("beschriftung.!"&amp;ADDRESS(#REF!*12+ROW($A5)-1,COLUMN(AZ$1))))</f>
        <v>#REF!</v>
      </c>
      <c r="BA4" s="47" t="e">
        <f ca="1">IF(INDIRECT("beschriftung.!"&amp;ADDRESS(#REF!*12+ROW($A5)-1,COLUMN(BA$1)))="","",INDIRECT("beschriftung.!"&amp;ADDRESS(#REF!*12+ROW($A5)-1,COLUMN(BA$1))))</f>
        <v>#REF!</v>
      </c>
      <c r="BB4" s="47" t="e">
        <f ca="1">IF(INDIRECT("beschriftung.!"&amp;ADDRESS(#REF!*12+ROW($A5)-1,COLUMN(BB$1)))="","",INDIRECT("beschriftung.!"&amp;ADDRESS(#REF!*12+ROW($A5)-1,COLUMN(BB$1))))</f>
        <v>#REF!</v>
      </c>
      <c r="BC4" s="47" t="e">
        <f ca="1">IF(INDIRECT("beschriftung.!"&amp;ADDRESS(#REF!*12+ROW($A5)-1,COLUMN(BC$1)))="","",INDIRECT("beschriftung.!"&amp;ADDRESS(#REF!*12+ROW($A5)-1,COLUMN(BC$1))))</f>
        <v>#REF!</v>
      </c>
      <c r="BD4" s="47" t="e">
        <f ca="1">IF(INDIRECT("beschriftung.!"&amp;ADDRESS(#REF!*12+ROW($A5)-1,COLUMN(BD$1)))="","",INDIRECT("beschriftung.!"&amp;ADDRESS(#REF!*12+ROW($A5)-1,COLUMN(BD$1))))</f>
        <v>#REF!</v>
      </c>
      <c r="BE4" s="47" t="e">
        <f ca="1">IF(INDIRECT("beschriftung.!"&amp;ADDRESS(#REF!*12+ROW($A5)-1,COLUMN(BE$1)))="","",INDIRECT("beschriftung.!"&amp;ADDRESS(#REF!*12+ROW($A5)-1,COLUMN(BE$1))))</f>
        <v>#REF!</v>
      </c>
      <c r="BF4" s="48" t="e">
        <f ca="1">IF(INDIRECT("beschriftung.!"&amp;ADDRESS(#REF!*12+ROW($A5)-1,COLUMN(BF$1)))="","",INDIRECT("beschriftung.!"&amp;ADDRESS(#REF!*12+ROW($A5)-1,COLUMN(BF$1))))</f>
        <v>#REF!</v>
      </c>
    </row>
    <row r="5" spans="1:60" ht="11.25" customHeight="1" x14ac:dyDescent="0.15">
      <c r="A5" s="5"/>
      <c r="C5" s="65"/>
      <c r="D5" s="66"/>
      <c r="E5" s="49" t="str">
        <f ca="1">INDIRECT("beschriftung!"&amp;ADDRESS(beschriftung!$C$1*12+ROW(beschriftung!$A6)-1,COLUMN(beschriftung!D$1)))</f>
        <v>Gross value added before adjustments</v>
      </c>
      <c r="F5" s="47" t="e">
        <f ca="1">IF(INDIRECT("beschriftung.!"&amp;ADDRESS(#REF!*12+ROW($A6)-1,COLUMN(F$1)))="","",INDIRECT("beschriftung.!"&amp;ADDRESS(#REF!*12+ROW($A6)-1,COLUMN(F$1))))</f>
        <v>#REF!</v>
      </c>
      <c r="G5" s="47" t="e">
        <f ca="1">IF(INDIRECT("beschriftung.!"&amp;ADDRESS(#REF!*12+ROW($A6)-1,COLUMN(G$1)))="","",INDIRECT("beschriftung.!"&amp;ADDRESS(#REF!*12+ROW($A6)-1,COLUMN(G$1))))</f>
        <v>#REF!</v>
      </c>
      <c r="H5" s="47" t="e">
        <f ca="1">IF(INDIRECT("beschriftung.!"&amp;ADDRESS(#REF!*12+ROW($A6)-1,COLUMN(H$1)))="","",INDIRECT("beschriftung.!"&amp;ADDRESS(#REF!*12+ROW($A6)-1,COLUMN(H$1))))</f>
        <v>#REF!</v>
      </c>
      <c r="I5" s="47" t="e">
        <f ca="1">IF(INDIRECT("beschriftung.!"&amp;ADDRESS(#REF!*12+ROW($A6)-1,COLUMN(I$1)))="","",INDIRECT("beschriftung.!"&amp;ADDRESS(#REF!*12+ROW($A6)-1,COLUMN(I$1))))</f>
        <v>#REF!</v>
      </c>
      <c r="J5" s="47" t="e">
        <f ca="1">IF(INDIRECT("beschriftung.!"&amp;ADDRESS(#REF!*12+ROW($A6)-1,COLUMN(J$1)))="","",INDIRECT("beschriftung.!"&amp;ADDRESS(#REF!*12+ROW($A6)-1,COLUMN(J$1))))</f>
        <v>#REF!</v>
      </c>
      <c r="K5" s="47" t="e">
        <f ca="1">IF(INDIRECT("beschriftung.!"&amp;ADDRESS(#REF!*12+ROW($A6)-1,COLUMN(K$1)))="","",INDIRECT("beschriftung.!"&amp;ADDRESS(#REF!*12+ROW($A6)-1,COLUMN(K$1))))</f>
        <v>#REF!</v>
      </c>
      <c r="L5" s="47" t="e">
        <f ca="1">IF(INDIRECT("beschriftung.!"&amp;ADDRESS(#REF!*12+ROW($A6)-1,COLUMN(L$1)))="","",INDIRECT("beschriftung.!"&amp;ADDRESS(#REF!*12+ROW($A6)-1,COLUMN(L$1))))</f>
        <v>#REF!</v>
      </c>
      <c r="M5" s="47"/>
      <c r="N5" s="47"/>
      <c r="O5" s="47"/>
      <c r="P5" s="47"/>
      <c r="Q5" s="47" t="e">
        <f ca="1">IF(INDIRECT("beschriftung.!"&amp;ADDRESS(#REF!*12+ROW($A6)-1,COLUMN(Q$1)))="","",INDIRECT("beschriftung.!"&amp;ADDRESS(#REF!*12+ROW($A6)-1,COLUMN(Q$1))))</f>
        <v>#REF!</v>
      </c>
      <c r="R5" s="47" t="e">
        <f ca="1">IF(INDIRECT("beschriftung.!"&amp;ADDRESS(#REF!*12+ROW($A6)-1,COLUMN(R$1)))="","",INDIRECT("beschriftung.!"&amp;ADDRESS(#REF!*12+ROW($A6)-1,COLUMN(R$1))))</f>
        <v>#REF!</v>
      </c>
      <c r="S5" s="47"/>
      <c r="T5" s="47"/>
      <c r="U5" s="47" t="e">
        <f ca="1">IF(INDIRECT("beschriftung.!"&amp;ADDRESS(#REF!*12+ROW($A6)-1,COLUMN(U$1)))="","",INDIRECT("beschriftung.!"&amp;ADDRESS(#REF!*12+ROW($A6)-1,COLUMN(U$1))))</f>
        <v>#REF!</v>
      </c>
      <c r="V5" s="47" t="e">
        <f ca="1">IF(INDIRECT("beschriftung.!"&amp;ADDRESS(#REF!*12+ROW($A6)-1,COLUMN(V$1)))="","",INDIRECT("beschriftung.!"&amp;ADDRESS(#REF!*12+ROW($A6)-1,COLUMN(V$1))))</f>
        <v>#REF!</v>
      </c>
      <c r="W5" s="47" t="e">
        <f ca="1">IF(INDIRECT("beschriftung.!"&amp;ADDRESS(#REF!*12+ROW($A6)-1,COLUMN(W$1)))="","",INDIRECT("beschriftung.!"&amp;ADDRESS(#REF!*12+ROW($A6)-1,COLUMN(W$1))))</f>
        <v>#REF!</v>
      </c>
      <c r="X5" s="47" t="e">
        <f ca="1">IF(INDIRECT("beschriftung.!"&amp;ADDRESS(#REF!*12+ROW($A6)-1,COLUMN(X$1)))="","",INDIRECT("beschriftung.!"&amp;ADDRESS(#REF!*12+ROW($A6)-1,COLUMN(X$1))))</f>
        <v>#REF!</v>
      </c>
      <c r="Y5" s="47"/>
      <c r="Z5" s="47"/>
      <c r="AA5" s="47" t="e">
        <f ca="1">IF(INDIRECT("beschriftung.!"&amp;ADDRESS(#REF!*12+ROW($A6)-1,COLUMN(AA$1)))="","",INDIRECT("beschriftung.!"&amp;ADDRESS(#REF!*12+ROW($A6)-1,COLUMN(AA$1))))</f>
        <v>#REF!</v>
      </c>
      <c r="AB5" s="47" t="e">
        <f ca="1">IF(INDIRECT("beschriftung.!"&amp;ADDRESS(#REF!*12+ROW($A6)-1,COLUMN(AB$1)))="","",INDIRECT("beschriftung.!"&amp;ADDRESS(#REF!*12+ROW($A6)-1,COLUMN(AB$1))))</f>
        <v>#REF!</v>
      </c>
      <c r="AC5" s="47"/>
      <c r="AD5" s="47"/>
      <c r="AE5" s="47"/>
      <c r="AF5" s="47"/>
      <c r="AG5" s="47" t="e">
        <f ca="1">IF(INDIRECT("beschriftung.!"&amp;ADDRESS(#REF!*12+ROW($A6)-1,COLUMN(AG$1)))="","",INDIRECT("beschriftung.!"&amp;ADDRESS(#REF!*12+ROW($A6)-1,COLUMN(AG$1))))</f>
        <v>#REF!</v>
      </c>
      <c r="AH5" s="47" t="e">
        <f ca="1">IF(INDIRECT("beschriftung.!"&amp;ADDRESS(#REF!*12+ROW($A6)-1,COLUMN(AH$1)))="","",INDIRECT("beschriftung.!"&amp;ADDRESS(#REF!*12+ROW($A6)-1,COLUMN(AH$1))))</f>
        <v>#REF!</v>
      </c>
      <c r="AI5" s="47" t="e">
        <f ca="1">IF(INDIRECT("beschriftung.!"&amp;ADDRESS(#REF!*12+ROW($A6)-1,COLUMN(AI$1)))="","",INDIRECT("beschriftung.!"&amp;ADDRESS(#REF!*12+ROW($A6)-1,COLUMN(AI$1))))</f>
        <v>#REF!</v>
      </c>
      <c r="AJ5" s="47" t="e">
        <f ca="1">IF(INDIRECT("beschriftung.!"&amp;ADDRESS(#REF!*12+ROW($A6)-1,COLUMN(AJ$1)))="","",INDIRECT("beschriftung.!"&amp;ADDRESS(#REF!*12+ROW($A6)-1,COLUMN(AJ$1))))</f>
        <v>#REF!</v>
      </c>
      <c r="AK5" s="47"/>
      <c r="AL5" s="47"/>
      <c r="AM5" s="47" t="e">
        <f ca="1">IF(INDIRECT("beschriftung.!"&amp;ADDRESS(#REF!*12+ROW($A6)-1,COLUMN(AM$1)))="","",INDIRECT("beschriftung.!"&amp;ADDRESS(#REF!*12+ROW($A6)-1,COLUMN(AM$1))))</f>
        <v>#REF!</v>
      </c>
      <c r="AN5" s="47" t="e">
        <f ca="1">IF(INDIRECT("beschriftung.!"&amp;ADDRESS(#REF!*12+ROW($A6)-1,COLUMN(AN$1)))="","",INDIRECT("beschriftung.!"&amp;ADDRESS(#REF!*12+ROW($A6)-1,COLUMN(AN$1))))</f>
        <v>#REF!</v>
      </c>
      <c r="AO5" s="47" t="e">
        <f ca="1">IF(INDIRECT("beschriftung.!"&amp;ADDRESS(#REF!*12+ROW($A6)-1,COLUMN(AO$1)))="","",INDIRECT("beschriftung.!"&amp;ADDRESS(#REF!*12+ROW($A6)-1,COLUMN(AO$1))))</f>
        <v>#REF!</v>
      </c>
      <c r="AP5" s="47" t="e">
        <f ca="1">IF(INDIRECT("beschriftung.!"&amp;ADDRESS(#REF!*12+ROW($A6)-1,COLUMN(AP$1)))="","",INDIRECT("beschriftung.!"&amp;ADDRESS(#REF!*12+ROW($A6)-1,COLUMN(AP$1))))</f>
        <v>#REF!</v>
      </c>
      <c r="AQ5" s="47" t="e">
        <f ca="1">IF(INDIRECT("beschriftung.!"&amp;ADDRESS(#REF!*12+ROW($A6)-1,COLUMN(AQ$1)))="","",INDIRECT("beschriftung.!"&amp;ADDRESS(#REF!*12+ROW($A6)-1,COLUMN(AQ$1))))</f>
        <v>#REF!</v>
      </c>
      <c r="AR5" s="47" t="e">
        <f ca="1">IF(INDIRECT("beschriftung.!"&amp;ADDRESS(#REF!*12+ROW($A6)-1,COLUMN(AR$1)))="","",INDIRECT("beschriftung.!"&amp;ADDRESS(#REF!*12+ROW($A6)-1,COLUMN(AR$1))))</f>
        <v>#REF!</v>
      </c>
      <c r="AS5" s="47" t="e">
        <f ca="1">IF(INDIRECT("beschriftung.!"&amp;ADDRESS(#REF!*12+ROW($A6)-1,COLUMN(AS$1)))="","",INDIRECT("beschriftung.!"&amp;ADDRESS(#REF!*12+ROW($A6)-1,COLUMN(AS$1))))</f>
        <v>#REF!</v>
      </c>
      <c r="AT5" s="47" t="e">
        <f ca="1">IF(INDIRECT("beschriftung.!"&amp;ADDRESS(#REF!*12+ROW($A6)-1,COLUMN(AT$1)))="","",INDIRECT("beschriftung.!"&amp;ADDRESS(#REF!*12+ROW($A6)-1,COLUMN(AT$1))))</f>
        <v>#REF!</v>
      </c>
      <c r="AU5" s="47" t="e">
        <f ca="1">IF(INDIRECT("beschriftung.!"&amp;ADDRESS(#REF!*12+ROW($A6)-1,COLUMN(AU$1)))="","",INDIRECT("beschriftung.!"&amp;ADDRESS(#REF!*12+ROW($A6)-1,COLUMN(AU$1))))</f>
        <v>#REF!</v>
      </c>
      <c r="AV5" s="47" t="e">
        <f ca="1">IF(INDIRECT("beschriftung.!"&amp;ADDRESS(#REF!*12+ROW($A6)-1,COLUMN(AV$1)))="","",INDIRECT("beschriftung.!"&amp;ADDRESS(#REF!*12+ROW($A6)-1,COLUMN(AV$1))))</f>
        <v>#REF!</v>
      </c>
      <c r="AW5" s="47"/>
      <c r="AX5" s="47"/>
      <c r="AY5" s="47" t="e">
        <f ca="1">IF(INDIRECT("beschriftung.!"&amp;ADDRESS(#REF!*12+ROW($A6)-1,COLUMN(AY$1)))="","",INDIRECT("beschriftung.!"&amp;ADDRESS(#REF!*12+ROW($A6)-1,COLUMN(AY$1))))</f>
        <v>#REF!</v>
      </c>
      <c r="AZ5" s="50" t="e">
        <f ca="1">IF(INDIRECT("beschriftung.!"&amp;ADDRESS(#REF!*12+ROW($A6)-1,COLUMN(AZ$1)))="","",INDIRECT("beschriftung.!"&amp;ADDRESS(#REF!*12+ROW($A6)-1,COLUMN(AZ$1))))</f>
        <v>#REF!</v>
      </c>
      <c r="BA5" s="49" t="str">
        <f ca="1">INDIRECT("beschriftung!"&amp;ADDRESS(beschriftung!$C$1*12+ROW(beschriftung!$A6)-1,COLUMN(beschriftung!AS$1)))</f>
        <v>Adjustments</v>
      </c>
      <c r="BB5" s="47" t="e">
        <f ca="1">IF(INDIRECT("beschriftung.!"&amp;ADDRESS(#REF!*12+ROW($A6)-1,COLUMN(BB$1)))="","",INDIRECT("beschriftung.!"&amp;ADDRESS(#REF!*12+ROW($A6)-1,COLUMN(BB$1))))</f>
        <v>#REF!</v>
      </c>
      <c r="BC5" s="47" t="e">
        <f ca="1">IF(INDIRECT("beschriftung.!"&amp;ADDRESS(#REF!*12+ROW($A6)-1,COLUMN(BC$1)))="","",INDIRECT("beschriftung.!"&amp;ADDRESS(#REF!*12+ROW($A6)-1,COLUMN(BC$1))))</f>
        <v>#REF!</v>
      </c>
      <c r="BD5" s="47" t="e">
        <f ca="1">IF(INDIRECT("beschriftung.!"&amp;ADDRESS(#REF!*12+ROW($A6)-1,COLUMN(BD$1)))="","",INDIRECT("beschriftung.!"&amp;ADDRESS(#REF!*12+ROW($A6)-1,COLUMN(BD$1))))</f>
        <v>#REF!</v>
      </c>
      <c r="BE5" s="47" t="e">
        <f ca="1">IF(INDIRECT("beschriftung.!"&amp;ADDRESS(#REF!*12+ROW($A6)-1,COLUMN(BE$1)))="","",INDIRECT("beschriftung.!"&amp;ADDRESS(#REF!*12+ROW($A6)-1,COLUMN(BE$1))))</f>
        <v>#REF!</v>
      </c>
      <c r="BF5" s="50" t="e">
        <f ca="1">IF(INDIRECT("beschriftung.!"&amp;ADDRESS(#REF!*12+ROW($A6)-1,COLUMN(BF$1)))="","",INDIRECT("beschriftung.!"&amp;ADDRESS(#REF!*12+ROW($A6)-1,COLUMN(BF$1))))</f>
        <v>#REF!</v>
      </c>
    </row>
    <row r="6" spans="1:60" ht="11.25" customHeight="1" x14ac:dyDescent="0.15">
      <c r="A6" s="5"/>
      <c r="C6" s="67"/>
      <c r="D6" s="55"/>
      <c r="E6" s="60" t="s">
        <v>3</v>
      </c>
      <c r="F6" s="29"/>
      <c r="G6" s="36" t="str">
        <f ca="1">INDIRECT("beschriftung!"&amp;ADDRESS(beschriftung!$C$1*12+ROW(beschriftung!$A7)-1,COLUMN(beschriftung!E$1)))</f>
        <v xml:space="preserve">Agriculture, forestry and fishing </v>
      </c>
      <c r="H6" s="36"/>
      <c r="I6" s="36" t="str">
        <f ca="1">INDIRECT("beschriftung!"&amp;ADDRESS(beschriftung!$C$1*12+ROW(beschriftung!$A7)-1,COLUMN(beschriftung!G$1)))</f>
        <v>Mining and quarrying</v>
      </c>
      <c r="J6" s="36"/>
      <c r="K6" s="36" t="str">
        <f ca="1">INDIRECT("beschriftung!"&amp;ADDRESS(beschriftung!$C$1*12+ROW(beschriftung!$A7)-1,COLUMN(beschriftung!I$1)))</f>
        <v>Manufacturing</v>
      </c>
      <c r="L6" s="37"/>
      <c r="M6" s="42"/>
      <c r="N6" s="42"/>
      <c r="O6" s="42"/>
      <c r="P6" s="43"/>
      <c r="Q6" s="41" t="str">
        <f ca="1">INDIRECT("beschriftung!"&amp;ADDRESS(beschriftung!$C$1*12+ROW(beschriftung!$A7)-1,COLUMN(beschriftung!M$1)))</f>
        <v>Electricity, gas, steam and air conditioning supply</v>
      </c>
      <c r="R6" s="36"/>
      <c r="S6" s="36" t="str">
        <f ca="1">INDIRECT("beschriftung!"&amp;ADDRESS(beschriftung!$C$1*12+ROW(beschriftung!$A7)-1,COLUMN(beschriftung!O$1)))</f>
        <v>Water supply, sewerage, waste management and remediation activities</v>
      </c>
      <c r="T6" s="36"/>
      <c r="U6" s="36" t="str">
        <f ca="1">INDIRECT("beschriftung!"&amp;ADDRESS(beschriftung!$C$1*12+ROW(beschriftung!$A7)-1,COLUMN(beschriftung!Q$1)))</f>
        <v>Construction</v>
      </c>
      <c r="V6" s="36"/>
      <c r="W6" s="36" t="str">
        <f ca="1">INDIRECT("beschriftung!"&amp;ADDRESS(beschriftung!$C$1*12+ROW(beschriftung!$A7)-1,COLUMN(beschriftung!S$1)))</f>
        <v>Trade, repair of motor vehicles and motorcycles</v>
      </c>
      <c r="X6" s="37"/>
      <c r="Y6" s="51"/>
      <c r="Z6" s="52"/>
      <c r="AA6" s="36" t="str">
        <f ca="1">INDIRECT("beschriftung!"&amp;ADDRESS(beschriftung!$C$1*12+ROW(beschriftung!$A7)-1,COLUMN(beschriftung!W$1)))</f>
        <v>Transportation and storage</v>
      </c>
      <c r="AB6" s="36"/>
      <c r="AC6" s="36" t="str">
        <f ca="1">INDIRECT("beschriftung!"&amp;ADDRESS(beschriftung!$C$1*12+ROW(beschriftung!$A7)-1,COLUMN(beschriftung!Y$1)))</f>
        <v>Accommodation and food service activities</v>
      </c>
      <c r="AD6" s="36"/>
      <c r="AE6" s="37" t="str">
        <f ca="1">INDIRECT("beschriftung!"&amp;ADDRESS(beschriftung!$C$1*12+ROW(beschriftung!$A7)-1,COLUMN(beschriftung!X$1)))</f>
        <v>Information and communication</v>
      </c>
      <c r="AF6" s="41"/>
      <c r="AG6" s="36" t="str">
        <f ca="1">INDIRECT("beschriftung!"&amp;ADDRESS(beschriftung!$C$1*12+ROW(beschriftung!$A7)-1,COLUMN(beschriftung!AA$1)))</f>
        <v>Financial and insurance activities</v>
      </c>
      <c r="AH6" s="37"/>
      <c r="AI6" s="22"/>
      <c r="AJ6" s="22"/>
      <c r="AK6" s="22"/>
      <c r="AL6" s="23"/>
      <c r="AM6" s="41" t="str">
        <f ca="1">INDIRECT("beschriftung!"&amp;ADDRESS(beschriftung!$C$1*12+ROW(beschriftung!$A7)-1,COLUMN(beschriftung!AE$1)))</f>
        <v>Real estate, professional, scientific, technical activities and administrative services</v>
      </c>
      <c r="AN6" s="36"/>
      <c r="AO6" s="36" t="str">
        <f ca="1">INDIRECT("beschriftung!"&amp;ADDRESS(beschriftung!$C$1*12+ROW(beschriftung!$A7)-1,COLUMN(beschriftung!AG$1)))</f>
        <v>Public administration</v>
      </c>
      <c r="AP6" s="36"/>
      <c r="AQ6" s="36" t="str">
        <f ca="1">INDIRECT("beschriftung!"&amp;ADDRESS(beschriftung!$C$1*12+ROW(beschriftung!$A7)-1,COLUMN(beschriftung!AI$1)))</f>
        <v>Education</v>
      </c>
      <c r="AR6" s="36"/>
      <c r="AS6" s="36" t="str">
        <f ca="1">INDIRECT("beschriftung!"&amp;ADDRESS(beschriftung!$C$1*12+ROW(beschriftung!$A7)-1,COLUMN(beschriftung!AK$1)))</f>
        <v>Human health and social work activities</v>
      </c>
      <c r="AT6" s="36"/>
      <c r="AU6" s="36" t="str">
        <f ca="1">INDIRECT("beschriftung!"&amp;ADDRESS(beschriftung!$C$1*12+ROW(beschriftung!$A7)-1,COLUMN(beschriftung!AM$1)))</f>
        <v xml:space="preserve">Arts, entertainment and recreation </v>
      </c>
      <c r="AV6" s="36"/>
      <c r="AW6" s="36" t="str">
        <f ca="1">INDIRECT("beschriftung!"&amp;ADDRESS(beschriftung!$C$1*12+ROW(beschriftung!$A7)-1,COLUMN(beschriftung!AO$1)))</f>
        <v>Other service activities</v>
      </c>
      <c r="AX6" s="36"/>
      <c r="AY6" s="36" t="str">
        <f ca="1">INDIRECT("beschriftung!"&amp;ADDRESS(beschriftung!$C$1*12+ROW(beschriftung!$A7)-1,COLUMN(beschriftung!AQ$1)))</f>
        <v>Activities of housholds as employers and producers for own use</v>
      </c>
      <c r="AZ6" s="36"/>
      <c r="BA6" s="55"/>
      <c r="BB6" s="55"/>
      <c r="BC6" s="36" t="str">
        <f ca="1">INDIRECT("beschriftung!"&amp;ADDRESS(beschriftung!$C$1*12+ROW(beschriftung!$A7)-1,COLUMN(beschriftung!AU$1)))</f>
        <v>Taxes on products</v>
      </c>
      <c r="BD6" s="36"/>
      <c r="BE6" s="36" t="str">
        <f ca="1">INDIRECT("beschriftung!"&amp;ADDRESS(beschriftung!$C$1*12+ROW(beschriftung!$A7)-1,COLUMN(beschriftung!AW$1)))</f>
        <v>Subsidies on products</v>
      </c>
      <c r="BF6" s="36"/>
    </row>
    <row r="7" spans="1:60" ht="11.25" customHeight="1" x14ac:dyDescent="0.15">
      <c r="A7" s="8"/>
      <c r="B7" s="8"/>
      <c r="C7" s="67"/>
      <c r="D7" s="55"/>
      <c r="E7" s="60"/>
      <c r="F7" s="29"/>
      <c r="G7" s="38"/>
      <c r="H7" s="38"/>
      <c r="I7" s="38"/>
      <c r="J7" s="38"/>
      <c r="K7" s="38"/>
      <c r="L7" s="28"/>
      <c r="M7" s="44"/>
      <c r="N7" s="44"/>
      <c r="O7" s="44"/>
      <c r="P7" s="45"/>
      <c r="Q7" s="29"/>
      <c r="R7" s="38"/>
      <c r="S7" s="38"/>
      <c r="T7" s="38"/>
      <c r="U7" s="38"/>
      <c r="V7" s="38"/>
      <c r="W7" s="38"/>
      <c r="X7" s="28"/>
      <c r="Y7" s="53"/>
      <c r="Z7" s="54"/>
      <c r="AA7" s="38"/>
      <c r="AB7" s="38"/>
      <c r="AC7" s="38"/>
      <c r="AD7" s="38"/>
      <c r="AE7" s="28"/>
      <c r="AF7" s="29"/>
      <c r="AG7" s="38"/>
      <c r="AH7" s="28"/>
      <c r="AI7" s="24"/>
      <c r="AJ7" s="24"/>
      <c r="AK7" s="24"/>
      <c r="AL7" s="25"/>
      <c r="AM7" s="29"/>
      <c r="AN7" s="38"/>
      <c r="AO7" s="38"/>
      <c r="AP7" s="38"/>
      <c r="AQ7" s="38"/>
      <c r="AR7" s="38"/>
      <c r="AS7" s="38"/>
      <c r="AT7" s="38"/>
      <c r="AU7" s="38"/>
      <c r="AV7" s="38"/>
      <c r="AW7" s="38"/>
      <c r="AX7" s="38"/>
      <c r="AY7" s="38"/>
      <c r="AZ7" s="38"/>
      <c r="BA7" s="55"/>
      <c r="BB7" s="55"/>
      <c r="BC7" s="38"/>
      <c r="BD7" s="38"/>
      <c r="BE7" s="38"/>
      <c r="BF7" s="38"/>
    </row>
    <row r="8" spans="1:60" ht="11.25" customHeight="1" x14ac:dyDescent="0.15">
      <c r="A8" s="2"/>
      <c r="B8" s="2"/>
      <c r="C8" s="67"/>
      <c r="D8" s="55"/>
      <c r="E8" s="61"/>
      <c r="F8" s="62"/>
      <c r="G8" s="39"/>
      <c r="H8" s="39"/>
      <c r="I8" s="39"/>
      <c r="J8" s="39"/>
      <c r="K8" s="39"/>
      <c r="L8" s="39"/>
      <c r="M8" s="28" t="str">
        <f ca="1">INDIRECT("beschriftung!"&amp;ADDRESS(beschriftung!$C$1*12+ROW(beschriftung!$A7),COLUMN(beschriftung!J$1)))</f>
        <v>thereof chemicals and pharmaceuticals</v>
      </c>
      <c r="N8" s="29"/>
      <c r="O8" s="28" t="str">
        <f ca="1">INDIRECT("beschriftung!"&amp;ADDRESS(beschriftung!$C$1*12+ROW(beschriftung!$A7),COLUMN(beschriftung!K$1)))</f>
        <v xml:space="preserve">thereof other manufacturing </v>
      </c>
      <c r="P8" s="29"/>
      <c r="Q8" s="39"/>
      <c r="R8" s="39"/>
      <c r="S8" s="39"/>
      <c r="T8" s="39"/>
      <c r="U8" s="39"/>
      <c r="V8" s="39"/>
      <c r="W8" s="39"/>
      <c r="X8" s="39"/>
      <c r="Y8" s="28" t="str">
        <f ca="1">INDIRECT("beschriftung!"&amp;ADDRESS(beschriftung!$C$1*12+ROW(beschriftung!$A7),COLUMN(beschriftung!U$1)))</f>
        <v>thereof retail trade</v>
      </c>
      <c r="Z8" s="29"/>
      <c r="AA8" s="39"/>
      <c r="AB8" s="39"/>
      <c r="AC8" s="39"/>
      <c r="AD8" s="39"/>
      <c r="AE8" s="28"/>
      <c r="AF8" s="29"/>
      <c r="AG8" s="39"/>
      <c r="AH8" s="39"/>
      <c r="AI8" s="28" t="str">
        <f ca="1">INDIRECT("beschriftung!"&amp;ADDRESS(beschriftung!$C$1*12+ROW(beschriftung!$A7),COLUMN(beschriftung!AB$1)))</f>
        <v>thereof financial activities</v>
      </c>
      <c r="AJ8" s="29"/>
      <c r="AK8" s="28" t="str">
        <f ca="1">INDIRECT("beschriftung!"&amp;ADDRESS(beschriftung!$C$1*12+ROW(beschriftung!$A7),COLUMN(beschriftung!AC$1)))</f>
        <v>thereof insurance activities</v>
      </c>
      <c r="AL8" s="29"/>
      <c r="AM8" s="39"/>
      <c r="AN8" s="39"/>
      <c r="AO8" s="39"/>
      <c r="AP8" s="39"/>
      <c r="AQ8" s="39"/>
      <c r="AR8" s="39"/>
      <c r="AS8" s="39"/>
      <c r="AT8" s="39"/>
      <c r="AU8" s="39"/>
      <c r="AV8" s="39"/>
      <c r="AW8" s="39"/>
      <c r="AX8" s="39"/>
      <c r="AY8" s="39"/>
      <c r="AZ8" s="39"/>
      <c r="BA8" s="55"/>
      <c r="BB8" s="55"/>
      <c r="BC8" s="39"/>
      <c r="BD8" s="39"/>
      <c r="BE8" s="39"/>
      <c r="BF8" s="39"/>
    </row>
    <row r="9" spans="1:60" ht="11.25" customHeight="1" x14ac:dyDescent="0.15">
      <c r="A9" s="2"/>
      <c r="B9" s="2"/>
      <c r="C9" s="67"/>
      <c r="D9" s="55"/>
      <c r="E9" s="61"/>
      <c r="F9" s="62"/>
      <c r="G9" s="39"/>
      <c r="H9" s="39"/>
      <c r="I9" s="39"/>
      <c r="J9" s="39"/>
      <c r="K9" s="39"/>
      <c r="L9" s="39"/>
      <c r="M9" s="28"/>
      <c r="N9" s="29"/>
      <c r="O9" s="28"/>
      <c r="P9" s="29"/>
      <c r="Q9" s="39"/>
      <c r="R9" s="39"/>
      <c r="S9" s="39"/>
      <c r="T9" s="39"/>
      <c r="U9" s="39"/>
      <c r="V9" s="39"/>
      <c r="W9" s="39"/>
      <c r="X9" s="39"/>
      <c r="Y9" s="28"/>
      <c r="Z9" s="29"/>
      <c r="AA9" s="39"/>
      <c r="AB9" s="39"/>
      <c r="AC9" s="39"/>
      <c r="AD9" s="39"/>
      <c r="AE9" s="28"/>
      <c r="AF9" s="29"/>
      <c r="AG9" s="39"/>
      <c r="AH9" s="39"/>
      <c r="AI9" s="28"/>
      <c r="AJ9" s="29"/>
      <c r="AK9" s="28"/>
      <c r="AL9" s="29"/>
      <c r="AM9" s="39"/>
      <c r="AN9" s="39"/>
      <c r="AO9" s="39"/>
      <c r="AP9" s="39"/>
      <c r="AQ9" s="39"/>
      <c r="AR9" s="39"/>
      <c r="AS9" s="39"/>
      <c r="AT9" s="39"/>
      <c r="AU9" s="39"/>
      <c r="AV9" s="39"/>
      <c r="AW9" s="39"/>
      <c r="AX9" s="39"/>
      <c r="AY9" s="39"/>
      <c r="AZ9" s="39"/>
      <c r="BA9" s="55"/>
      <c r="BB9" s="55"/>
      <c r="BC9" s="39"/>
      <c r="BD9" s="39"/>
      <c r="BE9" s="39"/>
      <c r="BF9" s="39"/>
    </row>
    <row r="10" spans="1:60" ht="11.25" customHeight="1" x14ac:dyDescent="0.15">
      <c r="A10" s="2"/>
      <c r="B10" s="8"/>
      <c r="C10" s="68"/>
      <c r="D10" s="69"/>
      <c r="E10" s="63"/>
      <c r="F10" s="64"/>
      <c r="G10" s="40"/>
      <c r="H10" s="40"/>
      <c r="I10" s="40"/>
      <c r="J10" s="40"/>
      <c r="K10" s="40"/>
      <c r="L10" s="40"/>
      <c r="M10" s="30"/>
      <c r="N10" s="31"/>
      <c r="O10" s="30"/>
      <c r="P10" s="31"/>
      <c r="Q10" s="40"/>
      <c r="R10" s="40"/>
      <c r="S10" s="40"/>
      <c r="T10" s="40"/>
      <c r="U10" s="40"/>
      <c r="V10" s="40"/>
      <c r="W10" s="40"/>
      <c r="X10" s="40"/>
      <c r="Y10" s="30"/>
      <c r="Z10" s="31"/>
      <c r="AA10" s="40"/>
      <c r="AB10" s="40"/>
      <c r="AC10" s="40"/>
      <c r="AD10" s="40"/>
      <c r="AE10" s="30"/>
      <c r="AF10" s="31"/>
      <c r="AG10" s="40"/>
      <c r="AH10" s="40"/>
      <c r="AI10" s="30"/>
      <c r="AJ10" s="31"/>
      <c r="AK10" s="30"/>
      <c r="AL10" s="31"/>
      <c r="AM10" s="40"/>
      <c r="AN10" s="40"/>
      <c r="AO10" s="40"/>
      <c r="AP10" s="40"/>
      <c r="AQ10" s="40"/>
      <c r="AR10" s="40"/>
      <c r="AS10" s="40"/>
      <c r="AT10" s="40"/>
      <c r="AU10" s="40"/>
      <c r="AV10" s="40"/>
      <c r="AW10" s="40"/>
      <c r="AX10" s="40"/>
      <c r="AY10" s="40"/>
      <c r="AZ10" s="40"/>
      <c r="BA10" s="55"/>
      <c r="BB10" s="55"/>
      <c r="BC10" s="40"/>
      <c r="BD10" s="40"/>
      <c r="BE10" s="40"/>
      <c r="BF10" s="40"/>
    </row>
    <row r="11" spans="1:60" ht="11.25" customHeight="1" x14ac:dyDescent="0.15">
      <c r="A11" s="2"/>
      <c r="B11" s="8"/>
      <c r="C11" s="58" t="s">
        <v>201</v>
      </c>
      <c r="D11" s="59"/>
      <c r="E11" s="56" t="s">
        <v>202</v>
      </c>
      <c r="F11" s="57"/>
      <c r="G11" s="34" t="s">
        <v>113</v>
      </c>
      <c r="H11" s="35"/>
      <c r="I11" s="34" t="s">
        <v>114</v>
      </c>
      <c r="J11" s="35"/>
      <c r="K11" s="34" t="s">
        <v>115</v>
      </c>
      <c r="L11" s="35"/>
      <c r="M11" s="34" t="s">
        <v>116</v>
      </c>
      <c r="N11" s="35"/>
      <c r="O11" s="26" t="s">
        <v>195</v>
      </c>
      <c r="P11" s="27"/>
      <c r="Q11" s="34" t="s">
        <v>117</v>
      </c>
      <c r="R11" s="35"/>
      <c r="S11" s="34" t="s">
        <v>118</v>
      </c>
      <c r="T11" s="35"/>
      <c r="U11" s="34" t="s">
        <v>119</v>
      </c>
      <c r="V11" s="35"/>
      <c r="W11" s="34" t="s">
        <v>120</v>
      </c>
      <c r="X11" s="35"/>
      <c r="Y11" s="34" t="s">
        <v>121</v>
      </c>
      <c r="Z11" s="35"/>
      <c r="AA11" s="34" t="s">
        <v>196</v>
      </c>
      <c r="AB11" s="35"/>
      <c r="AC11" s="34" t="s">
        <v>122</v>
      </c>
      <c r="AD11" s="35"/>
      <c r="AE11" s="26" t="s">
        <v>197</v>
      </c>
      <c r="AF11" s="27"/>
      <c r="AG11" s="34" t="s">
        <v>198</v>
      </c>
      <c r="AH11" s="35"/>
      <c r="AI11" s="34" t="s">
        <v>123</v>
      </c>
      <c r="AJ11" s="35"/>
      <c r="AK11" s="26" t="s">
        <v>124</v>
      </c>
      <c r="AL11" s="27"/>
      <c r="AM11" s="34" t="s">
        <v>125</v>
      </c>
      <c r="AN11" s="35"/>
      <c r="AO11" s="34" t="s">
        <v>126</v>
      </c>
      <c r="AP11" s="35"/>
      <c r="AQ11" s="34" t="s">
        <v>127</v>
      </c>
      <c r="AR11" s="35"/>
      <c r="AS11" s="34" t="s">
        <v>128</v>
      </c>
      <c r="AT11" s="34"/>
      <c r="AU11" s="34" t="s">
        <v>96</v>
      </c>
      <c r="AV11" s="35"/>
      <c r="AW11" s="34" t="s">
        <v>129</v>
      </c>
      <c r="AX11" s="35"/>
      <c r="AY11" s="34" t="s">
        <v>130</v>
      </c>
      <c r="AZ11" s="35"/>
      <c r="BA11" s="10"/>
      <c r="BB11" s="11"/>
      <c r="BC11" s="32" t="s">
        <v>199</v>
      </c>
      <c r="BD11" s="33"/>
      <c r="BE11" s="32" t="s">
        <v>200</v>
      </c>
      <c r="BF11" s="33"/>
    </row>
    <row r="12" spans="1:60" x14ac:dyDescent="0.15">
      <c r="A12" s="17">
        <v>1980</v>
      </c>
      <c r="B12" s="17"/>
      <c r="C12" s="18">
        <v>208312.980499664</v>
      </c>
      <c r="D12" s="19"/>
      <c r="E12" s="18"/>
      <c r="F12" s="19"/>
      <c r="G12" s="18"/>
      <c r="H12" s="19"/>
      <c r="I12" s="18"/>
      <c r="J12" s="19"/>
      <c r="K12" s="18"/>
      <c r="L12" s="19"/>
      <c r="M12" s="18"/>
      <c r="N12" s="19"/>
      <c r="O12" s="18"/>
      <c r="P12" s="19"/>
      <c r="Q12" s="18"/>
      <c r="R12" s="19"/>
      <c r="S12" s="18"/>
      <c r="T12" s="19"/>
      <c r="U12" s="18"/>
      <c r="V12" s="19"/>
      <c r="W12" s="18"/>
      <c r="X12" s="19"/>
      <c r="Y12" s="18"/>
      <c r="Z12" s="19"/>
      <c r="AA12" s="18"/>
      <c r="AB12" s="19"/>
      <c r="AC12" s="18"/>
      <c r="AD12" s="19"/>
      <c r="AE12" s="18"/>
      <c r="AF12" s="19"/>
      <c r="AG12" s="18"/>
      <c r="AH12" s="19"/>
      <c r="AI12" s="18"/>
      <c r="AJ12" s="19"/>
      <c r="AK12" s="18"/>
      <c r="AL12" s="19"/>
      <c r="AM12" s="18"/>
      <c r="AN12" s="19"/>
      <c r="AO12" s="18"/>
      <c r="AP12" s="19"/>
      <c r="AQ12" s="18"/>
      <c r="AR12" s="19"/>
      <c r="AS12" s="18"/>
      <c r="AT12" s="19"/>
      <c r="AU12" s="18"/>
      <c r="AV12" s="19"/>
      <c r="AW12" s="18"/>
      <c r="AX12" s="19"/>
      <c r="AY12" s="18"/>
      <c r="AZ12" s="19"/>
      <c r="BA12" s="18"/>
      <c r="BB12" s="19"/>
      <c r="BC12" s="18"/>
      <c r="BD12" s="19"/>
      <c r="BE12" s="18"/>
      <c r="BF12" s="19"/>
      <c r="BG12" s="18"/>
      <c r="BH12" s="19"/>
    </row>
    <row r="13" spans="1:60" x14ac:dyDescent="0.15">
      <c r="A13" s="17">
        <v>1981</v>
      </c>
      <c r="B13" s="17"/>
      <c r="C13" s="18">
        <v>223845.53850474299</v>
      </c>
      <c r="D13" s="19">
        <v>7.4563562807376596E-2</v>
      </c>
      <c r="E13" s="18"/>
      <c r="F13" s="19"/>
      <c r="G13" s="18"/>
      <c r="H13" s="19"/>
      <c r="I13" s="18"/>
      <c r="J13" s="19"/>
      <c r="K13" s="18"/>
      <c r="L13" s="19"/>
      <c r="M13" s="18"/>
      <c r="N13" s="19"/>
      <c r="O13" s="18"/>
      <c r="P13" s="19"/>
      <c r="Q13" s="18"/>
      <c r="R13" s="19"/>
      <c r="S13" s="18"/>
      <c r="T13" s="19"/>
      <c r="U13" s="18"/>
      <c r="V13" s="19"/>
      <c r="W13" s="18"/>
      <c r="X13" s="19"/>
      <c r="Y13" s="18"/>
      <c r="Z13" s="19"/>
      <c r="AA13" s="18"/>
      <c r="AB13" s="19"/>
      <c r="AC13" s="18"/>
      <c r="AD13" s="19"/>
      <c r="AE13" s="18"/>
      <c r="AF13" s="19"/>
      <c r="AG13" s="18"/>
      <c r="AH13" s="19"/>
      <c r="AI13" s="18"/>
      <c r="AJ13" s="19"/>
      <c r="AK13" s="18"/>
      <c r="AL13" s="19"/>
      <c r="AM13" s="18"/>
      <c r="AN13" s="19"/>
      <c r="AO13" s="18"/>
      <c r="AP13" s="19"/>
      <c r="AQ13" s="18"/>
      <c r="AR13" s="19"/>
      <c r="AS13" s="18"/>
      <c r="AT13" s="19"/>
      <c r="AU13" s="18"/>
      <c r="AV13" s="19"/>
      <c r="AW13" s="18"/>
      <c r="AX13" s="19"/>
      <c r="AY13" s="18"/>
      <c r="AZ13" s="19"/>
      <c r="BA13" s="18"/>
      <c r="BB13" s="19"/>
      <c r="BC13" s="18"/>
      <c r="BD13" s="19"/>
      <c r="BE13" s="18"/>
      <c r="BF13" s="19"/>
      <c r="BG13" s="18"/>
      <c r="BH13" s="19"/>
    </row>
    <row r="14" spans="1:60" x14ac:dyDescent="0.15">
      <c r="A14" s="17">
        <v>1982</v>
      </c>
      <c r="B14" s="17"/>
      <c r="C14" s="18">
        <v>237053.18131537401</v>
      </c>
      <c r="D14" s="19">
        <v>5.9003377502433202E-2</v>
      </c>
      <c r="E14" s="18"/>
      <c r="F14" s="19"/>
      <c r="G14" s="18"/>
      <c r="H14" s="19"/>
      <c r="I14" s="18"/>
      <c r="J14" s="19"/>
      <c r="K14" s="18"/>
      <c r="L14" s="19"/>
      <c r="M14" s="18"/>
      <c r="N14" s="19"/>
      <c r="O14" s="18"/>
      <c r="P14" s="19"/>
      <c r="Q14" s="18"/>
      <c r="R14" s="19"/>
      <c r="S14" s="18"/>
      <c r="T14" s="19"/>
      <c r="U14" s="18"/>
      <c r="V14" s="19"/>
      <c r="W14" s="18"/>
      <c r="X14" s="19"/>
      <c r="Y14" s="18"/>
      <c r="Z14" s="19"/>
      <c r="AA14" s="18"/>
      <c r="AB14" s="19"/>
      <c r="AC14" s="18"/>
      <c r="AD14" s="19"/>
      <c r="AE14" s="18"/>
      <c r="AF14" s="19"/>
      <c r="AG14" s="18"/>
      <c r="AH14" s="19"/>
      <c r="AI14" s="18"/>
      <c r="AJ14" s="19"/>
      <c r="AK14" s="18"/>
      <c r="AL14" s="19"/>
      <c r="AM14" s="18"/>
      <c r="AN14" s="19"/>
      <c r="AO14" s="18"/>
      <c r="AP14" s="19"/>
      <c r="AQ14" s="18"/>
      <c r="AR14" s="19"/>
      <c r="AS14" s="18"/>
      <c r="AT14" s="19"/>
      <c r="AU14" s="18"/>
      <c r="AV14" s="19"/>
      <c r="AW14" s="18"/>
      <c r="AX14" s="19"/>
      <c r="AY14" s="18"/>
      <c r="AZ14" s="19"/>
      <c r="BA14" s="18"/>
      <c r="BB14" s="19"/>
      <c r="BC14" s="18"/>
      <c r="BD14" s="19"/>
      <c r="BE14" s="18"/>
      <c r="BF14" s="19"/>
      <c r="BG14" s="18"/>
      <c r="BH14" s="19"/>
    </row>
    <row r="15" spans="1:60" x14ac:dyDescent="0.15">
      <c r="A15" s="17">
        <v>1983</v>
      </c>
      <c r="B15" s="17"/>
      <c r="C15" s="18">
        <v>244228.28158653999</v>
      </c>
      <c r="D15" s="19">
        <v>3.02678927629343E-2</v>
      </c>
      <c r="E15" s="18"/>
      <c r="F15" s="19"/>
      <c r="G15" s="18"/>
      <c r="H15" s="19"/>
      <c r="I15" s="18"/>
      <c r="J15" s="19"/>
      <c r="K15" s="18"/>
      <c r="L15" s="19"/>
      <c r="M15" s="18"/>
      <c r="N15" s="19"/>
      <c r="O15" s="18"/>
      <c r="P15" s="19"/>
      <c r="Q15" s="18"/>
      <c r="R15" s="19"/>
      <c r="S15" s="18"/>
      <c r="T15" s="19"/>
      <c r="U15" s="18"/>
      <c r="V15" s="19"/>
      <c r="W15" s="18"/>
      <c r="X15" s="19"/>
      <c r="Y15" s="18"/>
      <c r="Z15" s="19"/>
      <c r="AA15" s="18"/>
      <c r="AB15" s="19"/>
      <c r="AC15" s="18"/>
      <c r="AD15" s="19"/>
      <c r="AE15" s="18"/>
      <c r="AF15" s="19"/>
      <c r="AG15" s="18"/>
      <c r="AH15" s="19"/>
      <c r="AI15" s="18"/>
      <c r="AJ15" s="19"/>
      <c r="AK15" s="18"/>
      <c r="AL15" s="19"/>
      <c r="AM15" s="18"/>
      <c r="AN15" s="19"/>
      <c r="AO15" s="18"/>
      <c r="AP15" s="19"/>
      <c r="AQ15" s="18"/>
      <c r="AR15" s="19"/>
      <c r="AS15" s="18"/>
      <c r="AT15" s="19"/>
      <c r="AU15" s="18"/>
      <c r="AV15" s="19"/>
      <c r="AW15" s="18"/>
      <c r="AX15" s="19"/>
      <c r="AY15" s="18"/>
      <c r="AZ15" s="19"/>
      <c r="BA15" s="18"/>
      <c r="BB15" s="19"/>
      <c r="BC15" s="18"/>
      <c r="BD15" s="19"/>
      <c r="BE15" s="18"/>
      <c r="BF15" s="19"/>
      <c r="BG15" s="18"/>
      <c r="BH15" s="19"/>
    </row>
    <row r="16" spans="1:60" x14ac:dyDescent="0.15">
      <c r="A16" s="17">
        <v>1984</v>
      </c>
      <c r="B16" s="17"/>
      <c r="C16" s="18">
        <v>260886.169584191</v>
      </c>
      <c r="D16" s="19">
        <v>6.8206220382992302E-2</v>
      </c>
      <c r="E16" s="18"/>
      <c r="F16" s="19"/>
      <c r="G16" s="18"/>
      <c r="H16" s="19"/>
      <c r="I16" s="18"/>
      <c r="J16" s="19"/>
      <c r="K16" s="18"/>
      <c r="L16" s="19"/>
      <c r="M16" s="18"/>
      <c r="N16" s="19"/>
      <c r="O16" s="18"/>
      <c r="P16" s="19"/>
      <c r="Q16" s="18"/>
      <c r="R16" s="19"/>
      <c r="S16" s="18"/>
      <c r="T16" s="19"/>
      <c r="U16" s="18"/>
      <c r="V16" s="19"/>
      <c r="W16" s="18"/>
      <c r="X16" s="19"/>
      <c r="Y16" s="18"/>
      <c r="Z16" s="19"/>
      <c r="AA16" s="18"/>
      <c r="AB16" s="19"/>
      <c r="AC16" s="18"/>
      <c r="AD16" s="19"/>
      <c r="AE16" s="18"/>
      <c r="AF16" s="19"/>
      <c r="AG16" s="18"/>
      <c r="AH16" s="19"/>
      <c r="AI16" s="18"/>
      <c r="AJ16" s="19"/>
      <c r="AK16" s="18"/>
      <c r="AL16" s="19"/>
      <c r="AM16" s="18"/>
      <c r="AN16" s="19"/>
      <c r="AO16" s="18"/>
      <c r="AP16" s="19"/>
      <c r="AQ16" s="18"/>
      <c r="AR16" s="19"/>
      <c r="AS16" s="18"/>
      <c r="AT16" s="19"/>
      <c r="AU16" s="18"/>
      <c r="AV16" s="19"/>
      <c r="AW16" s="18"/>
      <c r="AX16" s="19"/>
      <c r="AY16" s="18"/>
      <c r="AZ16" s="19"/>
      <c r="BA16" s="18"/>
      <c r="BB16" s="19"/>
      <c r="BC16" s="18"/>
      <c r="BD16" s="19"/>
      <c r="BE16" s="18"/>
      <c r="BF16" s="19"/>
      <c r="BG16" s="18"/>
      <c r="BH16" s="19"/>
    </row>
    <row r="17" spans="1:60" x14ac:dyDescent="0.15">
      <c r="A17" s="17">
        <v>1985</v>
      </c>
      <c r="B17" s="17"/>
      <c r="C17" s="18">
        <v>276957.50966392201</v>
      </c>
      <c r="D17" s="19">
        <v>6.1602882611009303E-2</v>
      </c>
      <c r="E17" s="18"/>
      <c r="F17" s="19"/>
      <c r="G17" s="18"/>
      <c r="H17" s="19"/>
      <c r="I17" s="18"/>
      <c r="J17" s="19"/>
      <c r="K17" s="18"/>
      <c r="L17" s="19"/>
      <c r="M17" s="18"/>
      <c r="N17" s="19"/>
      <c r="O17" s="18"/>
      <c r="P17" s="19"/>
      <c r="Q17" s="18"/>
      <c r="R17" s="19"/>
      <c r="S17" s="18"/>
      <c r="T17" s="19"/>
      <c r="U17" s="18"/>
      <c r="V17" s="19"/>
      <c r="W17" s="18"/>
      <c r="X17" s="19"/>
      <c r="Y17" s="18"/>
      <c r="Z17" s="19"/>
      <c r="AA17" s="18"/>
      <c r="AB17" s="19"/>
      <c r="AC17" s="18"/>
      <c r="AD17" s="19"/>
      <c r="AE17" s="18"/>
      <c r="AF17" s="19"/>
      <c r="AG17" s="18"/>
      <c r="AH17" s="19"/>
      <c r="AI17" s="18"/>
      <c r="AJ17" s="19"/>
      <c r="AK17" s="18"/>
      <c r="AL17" s="19"/>
      <c r="AM17" s="18"/>
      <c r="AN17" s="19"/>
      <c r="AO17" s="18"/>
      <c r="AP17" s="19"/>
      <c r="AQ17" s="18"/>
      <c r="AR17" s="19"/>
      <c r="AS17" s="18"/>
      <c r="AT17" s="19"/>
      <c r="AU17" s="18"/>
      <c r="AV17" s="19"/>
      <c r="AW17" s="18"/>
      <c r="AX17" s="19"/>
      <c r="AY17" s="18"/>
      <c r="AZ17" s="19"/>
      <c r="BA17" s="18"/>
      <c r="BB17" s="19"/>
      <c r="BC17" s="18"/>
      <c r="BD17" s="19"/>
      <c r="BE17" s="18"/>
      <c r="BF17" s="19"/>
      <c r="BG17" s="18"/>
      <c r="BH17" s="19"/>
    </row>
    <row r="18" spans="1:60" x14ac:dyDescent="0.15">
      <c r="A18" s="17">
        <v>1986</v>
      </c>
      <c r="B18" s="17"/>
      <c r="C18" s="18">
        <v>290632.92270345701</v>
      </c>
      <c r="D18" s="19">
        <v>4.9377296380697502E-2</v>
      </c>
      <c r="E18" s="18"/>
      <c r="F18" s="19"/>
      <c r="G18" s="18"/>
      <c r="H18" s="19"/>
      <c r="I18" s="18"/>
      <c r="J18" s="19"/>
      <c r="K18" s="18"/>
      <c r="L18" s="19"/>
      <c r="M18" s="18"/>
      <c r="N18" s="19"/>
      <c r="O18" s="18"/>
      <c r="P18" s="19"/>
      <c r="Q18" s="18"/>
      <c r="R18" s="19"/>
      <c r="S18" s="18"/>
      <c r="T18" s="19"/>
      <c r="U18" s="18"/>
      <c r="V18" s="19"/>
      <c r="W18" s="18"/>
      <c r="X18" s="19"/>
      <c r="Y18" s="18"/>
      <c r="Z18" s="19"/>
      <c r="AA18" s="18"/>
      <c r="AB18" s="19"/>
      <c r="AC18" s="18"/>
      <c r="AD18" s="19"/>
      <c r="AE18" s="18"/>
      <c r="AF18" s="19"/>
      <c r="AG18" s="18"/>
      <c r="AH18" s="19"/>
      <c r="AI18" s="18"/>
      <c r="AJ18" s="19"/>
      <c r="AK18" s="18"/>
      <c r="AL18" s="19"/>
      <c r="AM18" s="18"/>
      <c r="AN18" s="19"/>
      <c r="AO18" s="18"/>
      <c r="AP18" s="19"/>
      <c r="AQ18" s="18"/>
      <c r="AR18" s="19"/>
      <c r="AS18" s="18"/>
      <c r="AT18" s="19"/>
      <c r="AU18" s="18"/>
      <c r="AV18" s="19"/>
      <c r="AW18" s="18"/>
      <c r="AX18" s="19"/>
      <c r="AY18" s="18"/>
      <c r="AZ18" s="19"/>
      <c r="BA18" s="18"/>
      <c r="BB18" s="19"/>
      <c r="BC18" s="18"/>
      <c r="BD18" s="19"/>
      <c r="BE18" s="18"/>
      <c r="BF18" s="19"/>
      <c r="BG18" s="18"/>
      <c r="BH18" s="19"/>
    </row>
    <row r="19" spans="1:60" x14ac:dyDescent="0.15">
      <c r="A19" s="17">
        <v>1987</v>
      </c>
      <c r="B19" s="17"/>
      <c r="C19" s="18">
        <v>301632.531989398</v>
      </c>
      <c r="D19" s="19">
        <v>3.7847086226925598E-2</v>
      </c>
      <c r="E19" s="18"/>
      <c r="F19" s="19"/>
      <c r="G19" s="18"/>
      <c r="H19" s="19"/>
      <c r="I19" s="18"/>
      <c r="J19" s="19"/>
      <c r="K19" s="18"/>
      <c r="L19" s="19"/>
      <c r="M19" s="18"/>
      <c r="N19" s="19"/>
      <c r="O19" s="18"/>
      <c r="P19" s="19"/>
      <c r="Q19" s="18"/>
      <c r="R19" s="19"/>
      <c r="S19" s="18"/>
      <c r="T19" s="19"/>
      <c r="U19" s="18"/>
      <c r="V19" s="19"/>
      <c r="W19" s="18"/>
      <c r="X19" s="19"/>
      <c r="Y19" s="18"/>
      <c r="Z19" s="19"/>
      <c r="AA19" s="18"/>
      <c r="AB19" s="19"/>
      <c r="AC19" s="18"/>
      <c r="AD19" s="19"/>
      <c r="AE19" s="18"/>
      <c r="AF19" s="19"/>
      <c r="AG19" s="18"/>
      <c r="AH19" s="19"/>
      <c r="AI19" s="18"/>
      <c r="AJ19" s="19"/>
      <c r="AK19" s="18"/>
      <c r="AL19" s="19"/>
      <c r="AM19" s="18"/>
      <c r="AN19" s="19"/>
      <c r="AO19" s="18"/>
      <c r="AP19" s="19"/>
      <c r="AQ19" s="18"/>
      <c r="AR19" s="19"/>
      <c r="AS19" s="18"/>
      <c r="AT19" s="19"/>
      <c r="AU19" s="18"/>
      <c r="AV19" s="19"/>
      <c r="AW19" s="18"/>
      <c r="AX19" s="19"/>
      <c r="AY19" s="18"/>
      <c r="AZ19" s="19"/>
      <c r="BA19" s="18"/>
      <c r="BB19" s="19"/>
      <c r="BC19" s="18"/>
      <c r="BD19" s="19"/>
      <c r="BE19" s="18"/>
      <c r="BF19" s="19"/>
      <c r="BG19" s="18"/>
      <c r="BH19" s="19"/>
    </row>
    <row r="20" spans="1:60" x14ac:dyDescent="0.15">
      <c r="A20" s="17">
        <v>1988</v>
      </c>
      <c r="B20" s="17"/>
      <c r="C20" s="18">
        <v>319871.08230134501</v>
      </c>
      <c r="D20" s="19">
        <v>6.0466124763320299E-2</v>
      </c>
      <c r="E20" s="18"/>
      <c r="F20" s="19"/>
      <c r="G20" s="18"/>
      <c r="H20" s="19"/>
      <c r="I20" s="18"/>
      <c r="J20" s="19"/>
      <c r="K20" s="18"/>
      <c r="L20" s="19"/>
      <c r="M20" s="18"/>
      <c r="N20" s="19"/>
      <c r="O20" s="18"/>
      <c r="P20" s="19"/>
      <c r="Q20" s="18"/>
      <c r="R20" s="19"/>
      <c r="S20" s="18"/>
      <c r="T20" s="19"/>
      <c r="U20" s="18"/>
      <c r="V20" s="19"/>
      <c r="W20" s="18"/>
      <c r="X20" s="19"/>
      <c r="Y20" s="18"/>
      <c r="Z20" s="19"/>
      <c r="AA20" s="18"/>
      <c r="AB20" s="19"/>
      <c r="AC20" s="18"/>
      <c r="AD20" s="19"/>
      <c r="AE20" s="18"/>
      <c r="AF20" s="19"/>
      <c r="AG20" s="18"/>
      <c r="AH20" s="19"/>
      <c r="AI20" s="18"/>
      <c r="AJ20" s="19"/>
      <c r="AK20" s="18"/>
      <c r="AL20" s="19"/>
      <c r="AM20" s="18"/>
      <c r="AN20" s="19"/>
      <c r="AO20" s="18"/>
      <c r="AP20" s="19"/>
      <c r="AQ20" s="18"/>
      <c r="AR20" s="19"/>
      <c r="AS20" s="18"/>
      <c r="AT20" s="19"/>
      <c r="AU20" s="18"/>
      <c r="AV20" s="19"/>
      <c r="AW20" s="18"/>
      <c r="AX20" s="19"/>
      <c r="AY20" s="18"/>
      <c r="AZ20" s="19"/>
      <c r="BA20" s="18"/>
      <c r="BB20" s="19"/>
      <c r="BC20" s="18"/>
      <c r="BD20" s="19"/>
      <c r="BE20" s="18"/>
      <c r="BF20" s="19"/>
      <c r="BG20" s="18"/>
      <c r="BH20" s="19"/>
    </row>
    <row r="21" spans="1:60" x14ac:dyDescent="0.15">
      <c r="A21" s="17">
        <v>1989</v>
      </c>
      <c r="B21" s="17"/>
      <c r="C21" s="18">
        <v>345667.727892789</v>
      </c>
      <c r="D21" s="19">
        <v>8.0647007556442898E-2</v>
      </c>
      <c r="E21" s="18"/>
      <c r="F21" s="19"/>
      <c r="G21" s="18"/>
      <c r="H21" s="19"/>
      <c r="I21" s="18"/>
      <c r="J21" s="19"/>
      <c r="K21" s="18"/>
      <c r="L21" s="19"/>
      <c r="M21" s="18"/>
      <c r="N21" s="19"/>
      <c r="O21" s="18"/>
      <c r="P21" s="19"/>
      <c r="Q21" s="18"/>
      <c r="R21" s="19"/>
      <c r="S21" s="18"/>
      <c r="T21" s="19"/>
      <c r="U21" s="18"/>
      <c r="V21" s="19"/>
      <c r="W21" s="18"/>
      <c r="X21" s="19"/>
      <c r="Y21" s="18"/>
      <c r="Z21" s="19"/>
      <c r="AA21" s="18"/>
      <c r="AB21" s="19"/>
      <c r="AC21" s="18"/>
      <c r="AD21" s="19"/>
      <c r="AE21" s="18"/>
      <c r="AF21" s="19"/>
      <c r="AG21" s="18"/>
      <c r="AH21" s="19"/>
      <c r="AI21" s="18"/>
      <c r="AJ21" s="19"/>
      <c r="AK21" s="18"/>
      <c r="AL21" s="19"/>
      <c r="AM21" s="18"/>
      <c r="AN21" s="19"/>
      <c r="AO21" s="18"/>
      <c r="AP21" s="19"/>
      <c r="AQ21" s="18"/>
      <c r="AR21" s="19"/>
      <c r="AS21" s="18"/>
      <c r="AT21" s="19"/>
      <c r="AU21" s="18"/>
      <c r="AV21" s="19"/>
      <c r="AW21" s="18"/>
      <c r="AX21" s="19"/>
      <c r="AY21" s="18"/>
      <c r="AZ21" s="19"/>
      <c r="BA21" s="18"/>
      <c r="BB21" s="19"/>
      <c r="BC21" s="18"/>
      <c r="BD21" s="19"/>
      <c r="BE21" s="18"/>
      <c r="BF21" s="19"/>
      <c r="BG21" s="18"/>
      <c r="BH21" s="19"/>
    </row>
    <row r="22" spans="1:60" x14ac:dyDescent="0.15">
      <c r="A22" s="17">
        <v>1990</v>
      </c>
      <c r="B22" s="17"/>
      <c r="C22" s="18">
        <v>374898.90917685902</v>
      </c>
      <c r="D22" s="19">
        <v>8.4564392118015294E-2</v>
      </c>
      <c r="E22" s="18">
        <v>365003.44677882403</v>
      </c>
      <c r="F22" s="19"/>
      <c r="G22" s="18">
        <v>7777.9465142004701</v>
      </c>
      <c r="H22" s="19"/>
      <c r="I22" s="18">
        <v>546.36102173195195</v>
      </c>
      <c r="J22" s="19"/>
      <c r="K22" s="18">
        <v>73884.112449866094</v>
      </c>
      <c r="L22" s="19"/>
      <c r="M22" s="18">
        <v>11814.770530010301</v>
      </c>
      <c r="N22" s="19"/>
      <c r="O22" s="18">
        <v>62069.341919855797</v>
      </c>
      <c r="P22" s="19"/>
      <c r="Q22" s="18">
        <v>6306.5216120067998</v>
      </c>
      <c r="R22" s="19"/>
      <c r="S22" s="18">
        <v>2938.77493498679</v>
      </c>
      <c r="T22" s="19"/>
      <c r="U22" s="18">
        <v>28855.6156631554</v>
      </c>
      <c r="V22" s="19"/>
      <c r="W22" s="18">
        <v>61318.109314082198</v>
      </c>
      <c r="X22" s="19"/>
      <c r="Y22" s="18">
        <v>21014.310646481001</v>
      </c>
      <c r="Z22" s="19"/>
      <c r="AA22" s="18">
        <v>14974.5970769218</v>
      </c>
      <c r="AB22" s="19"/>
      <c r="AC22" s="18">
        <v>8102.4062904254397</v>
      </c>
      <c r="AD22" s="19"/>
      <c r="AE22" s="18">
        <v>16598.803640889098</v>
      </c>
      <c r="AF22" s="19"/>
      <c r="AG22" s="18">
        <v>27684.521361389699</v>
      </c>
      <c r="AH22" s="19"/>
      <c r="AI22" s="18">
        <v>11288.320336308499</v>
      </c>
      <c r="AJ22" s="19"/>
      <c r="AK22" s="18">
        <v>15567.6399108597</v>
      </c>
      <c r="AL22" s="19"/>
      <c r="AM22" s="18">
        <v>51854.351077438499</v>
      </c>
      <c r="AN22" s="19"/>
      <c r="AO22" s="18">
        <v>23693.131560962702</v>
      </c>
      <c r="AP22" s="19"/>
      <c r="AQ22" s="18">
        <v>16087.316359104199</v>
      </c>
      <c r="AR22" s="19"/>
      <c r="AS22" s="18">
        <v>15788.270306030199</v>
      </c>
      <c r="AT22" s="19"/>
      <c r="AU22" s="18">
        <v>1250.40953438714</v>
      </c>
      <c r="AV22" s="19"/>
      <c r="AW22" s="18">
        <v>6119.08897450518</v>
      </c>
      <c r="AX22" s="19"/>
      <c r="AY22" s="18">
        <v>1223.1090867402199</v>
      </c>
      <c r="AZ22" s="19"/>
      <c r="BA22" s="18">
        <v>9895.4623980349006</v>
      </c>
      <c r="BB22" s="19"/>
      <c r="BC22" s="18">
        <v>17918.960955499999</v>
      </c>
      <c r="BD22" s="19"/>
      <c r="BE22" s="18">
        <v>-8023.49855746509</v>
      </c>
      <c r="BF22" s="19"/>
      <c r="BG22" s="18"/>
      <c r="BH22" s="19"/>
    </row>
    <row r="23" spans="1:60" x14ac:dyDescent="0.15">
      <c r="A23" s="17">
        <v>1991</v>
      </c>
      <c r="B23" s="17"/>
      <c r="C23" s="18">
        <v>391582.87190223602</v>
      </c>
      <c r="D23" s="19">
        <v>4.4502564069896403E-2</v>
      </c>
      <c r="E23" s="18">
        <v>382583.52729786502</v>
      </c>
      <c r="F23" s="19">
        <v>4.81641493366343E-2</v>
      </c>
      <c r="G23" s="18">
        <v>7642.7670078330202</v>
      </c>
      <c r="H23" s="19">
        <v>-1.73798451970129E-2</v>
      </c>
      <c r="I23" s="18">
        <v>581.08140271871798</v>
      </c>
      <c r="J23" s="19">
        <v>6.3548422390572207E-2</v>
      </c>
      <c r="K23" s="18">
        <v>76851.154530172804</v>
      </c>
      <c r="L23" s="19">
        <v>4.0158052684465602E-2</v>
      </c>
      <c r="M23" s="18">
        <v>12657.842630558</v>
      </c>
      <c r="N23" s="19">
        <v>7.1357467198051694E-2</v>
      </c>
      <c r="O23" s="18">
        <v>64193.311899614797</v>
      </c>
      <c r="P23" s="19">
        <v>3.4219308825627098E-2</v>
      </c>
      <c r="Q23" s="18">
        <v>7341.48151092646</v>
      </c>
      <c r="R23" s="19">
        <v>0.16410946676995899</v>
      </c>
      <c r="S23" s="18">
        <v>2903.7965630559702</v>
      </c>
      <c r="T23" s="19">
        <v>-1.1902365000598001E-2</v>
      </c>
      <c r="U23" s="18">
        <v>29134.045711859198</v>
      </c>
      <c r="V23" s="19">
        <v>9.6490766980694698E-3</v>
      </c>
      <c r="W23" s="18">
        <v>59050.034191909202</v>
      </c>
      <c r="X23" s="19">
        <v>-3.69886669296264E-2</v>
      </c>
      <c r="Y23" s="18">
        <v>20703.410745687099</v>
      </c>
      <c r="Z23" s="19">
        <v>-1.4794675210818601E-2</v>
      </c>
      <c r="AA23" s="18">
        <v>17764.783393153299</v>
      </c>
      <c r="AB23" s="19">
        <v>0.18632797275938501</v>
      </c>
      <c r="AC23" s="18">
        <v>8823.4907477802499</v>
      </c>
      <c r="AD23" s="19">
        <v>8.8996334114584505E-2</v>
      </c>
      <c r="AE23" s="18">
        <v>18057.815897912002</v>
      </c>
      <c r="AF23" s="19">
        <v>8.7898639479583096E-2</v>
      </c>
      <c r="AG23" s="18">
        <v>29538.855579916799</v>
      </c>
      <c r="AH23" s="19">
        <v>6.6980902227669503E-2</v>
      </c>
      <c r="AI23" s="18">
        <v>12749.907169091999</v>
      </c>
      <c r="AJ23" s="19">
        <v>0.12947779556559499</v>
      </c>
      <c r="AK23" s="18">
        <v>15839.683510020701</v>
      </c>
      <c r="AL23" s="19">
        <v>1.7474941655814199E-2</v>
      </c>
      <c r="AM23" s="18">
        <v>56174.9389051736</v>
      </c>
      <c r="AN23" s="19">
        <v>8.3321606344718593E-2</v>
      </c>
      <c r="AO23" s="18">
        <v>25850.387832111501</v>
      </c>
      <c r="AP23" s="19">
        <v>9.1049858293243094E-2</v>
      </c>
      <c r="AQ23" s="18">
        <v>16758.846501664801</v>
      </c>
      <c r="AR23" s="19">
        <v>4.1742831903755398E-2</v>
      </c>
      <c r="AS23" s="18">
        <v>17124.6214092556</v>
      </c>
      <c r="AT23" s="19">
        <v>8.4642020773803506E-2</v>
      </c>
      <c r="AU23" s="18">
        <v>1550.35948493248</v>
      </c>
      <c r="AV23" s="19">
        <v>0.239881368700811</v>
      </c>
      <c r="AW23" s="18">
        <v>6110.0287488404201</v>
      </c>
      <c r="AX23" s="19">
        <v>-1.48064944021997E-3</v>
      </c>
      <c r="AY23" s="18">
        <v>1325.0378786492199</v>
      </c>
      <c r="AZ23" s="19">
        <v>8.3335814453523394E-2</v>
      </c>
      <c r="BA23" s="18">
        <v>8999.34460437089</v>
      </c>
      <c r="BB23" s="19">
        <v>-9.0558455746541602E-2</v>
      </c>
      <c r="BC23" s="18">
        <v>18147.882752944199</v>
      </c>
      <c r="BD23" s="19">
        <v>1.2775394623199E-2</v>
      </c>
      <c r="BE23" s="18">
        <v>-9148.5381485733105</v>
      </c>
      <c r="BF23" s="19">
        <v>0.140218083551779</v>
      </c>
      <c r="BG23" s="18"/>
      <c r="BH23" s="19"/>
    </row>
    <row r="24" spans="1:60" x14ac:dyDescent="0.15">
      <c r="A24" s="17">
        <v>1992</v>
      </c>
      <c r="B24" s="17"/>
      <c r="C24" s="18">
        <v>399282.83114352101</v>
      </c>
      <c r="D24" s="19">
        <v>1.96636773306249E-2</v>
      </c>
      <c r="E24" s="18">
        <v>390767.03461700899</v>
      </c>
      <c r="F24" s="19">
        <v>2.1390119373257299E-2</v>
      </c>
      <c r="G24" s="18">
        <v>7135.2149728673003</v>
      </c>
      <c r="H24" s="19">
        <v>-6.6409460663335196E-2</v>
      </c>
      <c r="I24" s="18">
        <v>508.22998436352998</v>
      </c>
      <c r="J24" s="19">
        <v>-0.12537213893670801</v>
      </c>
      <c r="K24" s="18">
        <v>77218.235903045905</v>
      </c>
      <c r="L24" s="19">
        <v>4.7765238546801899E-3</v>
      </c>
      <c r="M24" s="18">
        <v>13496.1964649892</v>
      </c>
      <c r="N24" s="19">
        <v>6.6231968503640798E-2</v>
      </c>
      <c r="O24" s="18">
        <v>63722.039438056803</v>
      </c>
      <c r="P24" s="19">
        <v>-7.3414573514301003E-3</v>
      </c>
      <c r="Q24" s="18">
        <v>8314.1389047511293</v>
      </c>
      <c r="R24" s="19">
        <v>0.132487889859429</v>
      </c>
      <c r="S24" s="18">
        <v>2869.702399237</v>
      </c>
      <c r="T24" s="19">
        <v>-1.1741237059351199E-2</v>
      </c>
      <c r="U24" s="18">
        <v>27504.2272117098</v>
      </c>
      <c r="V24" s="19">
        <v>-5.5942058863660202E-2</v>
      </c>
      <c r="W24" s="18">
        <v>60356.253427837</v>
      </c>
      <c r="X24" s="19">
        <v>2.2120550035291901E-2</v>
      </c>
      <c r="Y24" s="18">
        <v>20941.712303494001</v>
      </c>
      <c r="Z24" s="19">
        <v>1.1510256002459401E-2</v>
      </c>
      <c r="AA24" s="18">
        <v>17849.752118410699</v>
      </c>
      <c r="AB24" s="19">
        <v>4.7829868440862899E-3</v>
      </c>
      <c r="AC24" s="18">
        <v>9013.3161112927392</v>
      </c>
      <c r="AD24" s="19">
        <v>2.1513635469074099E-2</v>
      </c>
      <c r="AE24" s="18">
        <v>18179.076589202999</v>
      </c>
      <c r="AF24" s="19">
        <v>6.7151360926769304E-3</v>
      </c>
      <c r="AG24" s="18">
        <v>30972.1597565478</v>
      </c>
      <c r="AH24" s="19">
        <v>4.8522671189926897E-2</v>
      </c>
      <c r="AI24" s="18">
        <v>13740.5390391849</v>
      </c>
      <c r="AJ24" s="19">
        <v>7.7697182964151096E-2</v>
      </c>
      <c r="AK24" s="18">
        <v>16228.217685634399</v>
      </c>
      <c r="AL24" s="19">
        <v>2.4529162806056898E-2</v>
      </c>
      <c r="AM24" s="18">
        <v>59142.804300010401</v>
      </c>
      <c r="AN24" s="19">
        <v>5.2832552249797E-2</v>
      </c>
      <c r="AO24" s="18">
        <v>27370.9145922305</v>
      </c>
      <c r="AP24" s="19">
        <v>5.88202687709833E-2</v>
      </c>
      <c r="AQ24" s="18">
        <v>17408.764315934601</v>
      </c>
      <c r="AR24" s="19">
        <v>3.8780581599412202E-2</v>
      </c>
      <c r="AS24" s="18">
        <v>18045.936821709402</v>
      </c>
      <c r="AT24" s="19">
        <v>5.3800629540096803E-2</v>
      </c>
      <c r="AU24" s="18">
        <v>1456.79650606481</v>
      </c>
      <c r="AV24" s="19">
        <v>-6.0349215634814199E-2</v>
      </c>
      <c r="AW24" s="18">
        <v>6026.0090211523302</v>
      </c>
      <c r="AX24" s="19">
        <v>-1.3751118225758901E-2</v>
      </c>
      <c r="AY24" s="18">
        <v>1395.5016806405399</v>
      </c>
      <c r="AZ24" s="19">
        <v>5.3178707663172002E-2</v>
      </c>
      <c r="BA24" s="18">
        <v>8515.7965265124603</v>
      </c>
      <c r="BB24" s="19">
        <v>-5.3731477025957403E-2</v>
      </c>
      <c r="BC24" s="18">
        <v>17996.9602774345</v>
      </c>
      <c r="BD24" s="19">
        <v>-8.3162580210750497E-3</v>
      </c>
      <c r="BE24" s="18">
        <v>-9481.16375092204</v>
      </c>
      <c r="BF24" s="19">
        <v>3.6358333642692302E-2</v>
      </c>
      <c r="BG24" s="18"/>
      <c r="BH24" s="19"/>
    </row>
    <row r="25" spans="1:60" x14ac:dyDescent="0.15">
      <c r="A25" s="17">
        <v>1993</v>
      </c>
      <c r="B25" s="17"/>
      <c r="C25" s="18">
        <v>408280.41875013203</v>
      </c>
      <c r="D25" s="19">
        <v>2.2534371389930599E-2</v>
      </c>
      <c r="E25" s="18">
        <v>398988.130090005</v>
      </c>
      <c r="F25" s="19">
        <v>2.1038354683767801E-2</v>
      </c>
      <c r="G25" s="18">
        <v>6663.7457257445903</v>
      </c>
      <c r="H25" s="19">
        <v>-6.6076389977811997E-2</v>
      </c>
      <c r="I25" s="18">
        <v>507.31135688053098</v>
      </c>
      <c r="J25" s="19">
        <v>-1.8075035146721799E-3</v>
      </c>
      <c r="K25" s="18">
        <v>78006.490620296099</v>
      </c>
      <c r="L25" s="19">
        <v>1.0208142002103401E-2</v>
      </c>
      <c r="M25" s="18">
        <v>14362.3815641077</v>
      </c>
      <c r="N25" s="19">
        <v>6.4179941464660703E-2</v>
      </c>
      <c r="O25" s="18">
        <v>63644.109056188398</v>
      </c>
      <c r="P25" s="19">
        <v>-1.2229737553224301E-3</v>
      </c>
      <c r="Q25" s="18">
        <v>9255.3258874825697</v>
      </c>
      <c r="R25" s="19">
        <v>0.1132031823757</v>
      </c>
      <c r="S25" s="18">
        <v>2835.0986907493502</v>
      </c>
      <c r="T25" s="19">
        <v>-1.20582916531173E-2</v>
      </c>
      <c r="U25" s="18">
        <v>26399.101757365799</v>
      </c>
      <c r="V25" s="19">
        <v>-4.0180203786038503E-2</v>
      </c>
      <c r="W25" s="18">
        <v>59480.658554902599</v>
      </c>
      <c r="X25" s="19">
        <v>-1.45071110813945E-2</v>
      </c>
      <c r="Y25" s="18">
        <v>20775.5464556765</v>
      </c>
      <c r="Z25" s="19">
        <v>-7.9346829623770897E-3</v>
      </c>
      <c r="AA25" s="18">
        <v>16615.453813561198</v>
      </c>
      <c r="AB25" s="19">
        <v>-6.9149324688739702E-2</v>
      </c>
      <c r="AC25" s="18">
        <v>9099.2370095296301</v>
      </c>
      <c r="AD25" s="19">
        <v>9.5326622494955604E-3</v>
      </c>
      <c r="AE25" s="18">
        <v>17716.695276317299</v>
      </c>
      <c r="AF25" s="19">
        <v>-2.54348074621298E-2</v>
      </c>
      <c r="AG25" s="18">
        <v>37826.876308166597</v>
      </c>
      <c r="AH25" s="19">
        <v>0.22131864892533501</v>
      </c>
      <c r="AI25" s="18">
        <v>19768.151853083102</v>
      </c>
      <c r="AJ25" s="19">
        <v>0.43867367915544098</v>
      </c>
      <c r="AK25" s="18">
        <v>16789.874455207701</v>
      </c>
      <c r="AL25" s="19">
        <v>3.4609886338323501E-2</v>
      </c>
      <c r="AM25" s="18">
        <v>61177.093093756797</v>
      </c>
      <c r="AN25" s="19">
        <v>3.4396218066143902E-2</v>
      </c>
      <c r="AO25" s="18">
        <v>27946.683535256299</v>
      </c>
      <c r="AP25" s="19">
        <v>2.10357948064059E-2</v>
      </c>
      <c r="AQ25" s="18">
        <v>18233.760879498001</v>
      </c>
      <c r="AR25" s="19">
        <v>4.7389725576801399E-2</v>
      </c>
      <c r="AS25" s="18">
        <v>18435.664690335099</v>
      </c>
      <c r="AT25" s="19">
        <v>2.1596433173636902E-2</v>
      </c>
      <c r="AU25" s="18">
        <v>1403.1742846521399</v>
      </c>
      <c r="AV25" s="19">
        <v>-3.68083127529725E-2</v>
      </c>
      <c r="AW25" s="18">
        <v>5942.0354517873702</v>
      </c>
      <c r="AX25" s="19">
        <v>-1.39351881270342E-2</v>
      </c>
      <c r="AY25" s="18">
        <v>1443.72315372341</v>
      </c>
      <c r="AZ25" s="19">
        <v>3.45549373045098E-2</v>
      </c>
      <c r="BA25" s="18">
        <v>9292.2886601267601</v>
      </c>
      <c r="BB25" s="19">
        <v>9.1182560691396505E-2</v>
      </c>
      <c r="BC25" s="18">
        <v>18727.729637676799</v>
      </c>
      <c r="BD25" s="19">
        <v>4.0605154924886498E-2</v>
      </c>
      <c r="BE25" s="18">
        <v>-9435.4409775499898</v>
      </c>
      <c r="BF25" s="19">
        <v>-4.8224853586780201E-3</v>
      </c>
      <c r="BG25" s="18"/>
      <c r="BH25" s="19"/>
    </row>
    <row r="26" spans="1:60" x14ac:dyDescent="0.15">
      <c r="A26" s="17">
        <v>1994</v>
      </c>
      <c r="B26" s="17"/>
      <c r="C26" s="18">
        <v>418392.817911911</v>
      </c>
      <c r="D26" s="19">
        <v>2.4768268810773299E-2</v>
      </c>
      <c r="E26" s="18">
        <v>408625.36033446598</v>
      </c>
      <c r="F26" s="19">
        <v>2.41541778255061E-2</v>
      </c>
      <c r="G26" s="18">
        <v>6291.1419211053499</v>
      </c>
      <c r="H26" s="19">
        <v>-5.5915069388036399E-2</v>
      </c>
      <c r="I26" s="18">
        <v>489.378270841024</v>
      </c>
      <c r="J26" s="19">
        <v>-3.5349269824705203E-2</v>
      </c>
      <c r="K26" s="18">
        <v>81738.418350374195</v>
      </c>
      <c r="L26" s="19">
        <v>4.7841246291203503E-2</v>
      </c>
      <c r="M26" s="18">
        <v>15330.4759595656</v>
      </c>
      <c r="N26" s="19">
        <v>6.7404865351663207E-2</v>
      </c>
      <c r="O26" s="18">
        <v>66407.942390808501</v>
      </c>
      <c r="P26" s="19">
        <v>4.3426381099625197E-2</v>
      </c>
      <c r="Q26" s="18">
        <v>11139.3742973892</v>
      </c>
      <c r="R26" s="19">
        <v>0.20356370297611301</v>
      </c>
      <c r="S26" s="18">
        <v>2768.6268828315201</v>
      </c>
      <c r="T26" s="19">
        <v>-2.34460296337199E-2</v>
      </c>
      <c r="U26" s="18">
        <v>27724.221944650501</v>
      </c>
      <c r="V26" s="19">
        <v>5.0195654362178703E-2</v>
      </c>
      <c r="W26" s="18">
        <v>60864.422555477002</v>
      </c>
      <c r="X26" s="19">
        <v>2.3264100199851701E-2</v>
      </c>
      <c r="Y26" s="18">
        <v>20885.1691915745</v>
      </c>
      <c r="Z26" s="19">
        <v>5.2765271966186402E-3</v>
      </c>
      <c r="AA26" s="18">
        <v>16142.322073309</v>
      </c>
      <c r="AB26" s="19">
        <v>-2.84754028124149E-2</v>
      </c>
      <c r="AC26" s="18">
        <v>8983.7859664065109</v>
      </c>
      <c r="AD26" s="19">
        <v>-1.26879916417394E-2</v>
      </c>
      <c r="AE26" s="18">
        <v>17652.641571386299</v>
      </c>
      <c r="AF26" s="19">
        <v>-3.6154431699605399E-3</v>
      </c>
      <c r="AG26" s="18">
        <v>35898.681753509401</v>
      </c>
      <c r="AH26" s="19">
        <v>-5.09741946162489E-2</v>
      </c>
      <c r="AI26" s="18">
        <v>19520.324897560899</v>
      </c>
      <c r="AJ26" s="19">
        <v>-1.25366780548856E-2</v>
      </c>
      <c r="AK26" s="18">
        <v>15006.9189479872</v>
      </c>
      <c r="AL26" s="19">
        <v>-0.106192307272881</v>
      </c>
      <c r="AM26" s="18">
        <v>64739.350109257699</v>
      </c>
      <c r="AN26" s="19">
        <v>5.8228608705575897E-2</v>
      </c>
      <c r="AO26" s="18">
        <v>28741.213453410499</v>
      </c>
      <c r="AP26" s="19">
        <v>2.8430204147544401E-2</v>
      </c>
      <c r="AQ26" s="18">
        <v>16772.358535891301</v>
      </c>
      <c r="AR26" s="19">
        <v>-8.0148157764306893E-2</v>
      </c>
      <c r="AS26" s="18">
        <v>19746.5460419509</v>
      </c>
      <c r="AT26" s="19">
        <v>7.1105727601077806E-2</v>
      </c>
      <c r="AU26" s="18">
        <v>1521.49610631981</v>
      </c>
      <c r="AV26" s="19">
        <v>8.4324394312152107E-2</v>
      </c>
      <c r="AW26" s="18">
        <v>5883.9573228292102</v>
      </c>
      <c r="AX26" s="19">
        <v>-9.77411350527768E-3</v>
      </c>
      <c r="AY26" s="18">
        <v>1527.4231775261801</v>
      </c>
      <c r="AZ26" s="19">
        <v>5.79751204979315E-2</v>
      </c>
      <c r="BA26" s="18">
        <v>9767.4575774449204</v>
      </c>
      <c r="BB26" s="19">
        <v>5.1135832591717903E-2</v>
      </c>
      <c r="BC26" s="18">
        <v>19066.856397166801</v>
      </c>
      <c r="BD26" s="19">
        <v>1.81082686503433E-2</v>
      </c>
      <c r="BE26" s="18">
        <v>-9299.3988197218696</v>
      </c>
      <c r="BF26" s="19">
        <v>-1.44182087675397E-2</v>
      </c>
      <c r="BG26" s="18"/>
      <c r="BH26" s="19"/>
    </row>
    <row r="27" spans="1:60" x14ac:dyDescent="0.15">
      <c r="A27" s="17">
        <v>1995</v>
      </c>
      <c r="B27" s="17"/>
      <c r="C27" s="18">
        <v>423723.36413280398</v>
      </c>
      <c r="D27" s="19">
        <v>1.27405299342775E-2</v>
      </c>
      <c r="E27" s="18">
        <v>411302.221224882</v>
      </c>
      <c r="F27" s="19">
        <v>6.5508927008974798E-3</v>
      </c>
      <c r="G27" s="18">
        <v>5851.4956134935501</v>
      </c>
      <c r="H27" s="19">
        <v>-6.9883387328601401E-2</v>
      </c>
      <c r="I27" s="18">
        <v>577.53889843109005</v>
      </c>
      <c r="J27" s="19">
        <v>0.18014822652128901</v>
      </c>
      <c r="K27" s="18">
        <v>80283.591558218599</v>
      </c>
      <c r="L27" s="19">
        <v>-1.7798567938020999E-2</v>
      </c>
      <c r="M27" s="18">
        <v>15109.659427373999</v>
      </c>
      <c r="N27" s="19">
        <v>-1.44037623341935E-2</v>
      </c>
      <c r="O27" s="18">
        <v>65173.932130844703</v>
      </c>
      <c r="P27" s="19">
        <v>-1.8582269161447101E-2</v>
      </c>
      <c r="Q27" s="18">
        <v>12160.368537435799</v>
      </c>
      <c r="R27" s="19">
        <v>9.1656336593867599E-2</v>
      </c>
      <c r="S27" s="18">
        <v>2726.1674667730699</v>
      </c>
      <c r="T27" s="19">
        <v>-1.53359112135127E-2</v>
      </c>
      <c r="U27" s="18">
        <v>26429.224102533099</v>
      </c>
      <c r="V27" s="19">
        <v>-4.6709979623694602E-2</v>
      </c>
      <c r="W27" s="18">
        <v>61730.983499775102</v>
      </c>
      <c r="X27" s="19">
        <v>1.42375612535921E-2</v>
      </c>
      <c r="Y27" s="18">
        <v>20840.7952926078</v>
      </c>
      <c r="Z27" s="19">
        <v>-2.1246607369887999E-3</v>
      </c>
      <c r="AA27" s="18">
        <v>16711.1638084968</v>
      </c>
      <c r="AB27" s="19">
        <v>3.5239151629140403E-2</v>
      </c>
      <c r="AC27" s="18">
        <v>9040.7313297710298</v>
      </c>
      <c r="AD27" s="19">
        <v>6.3386821076834004E-3</v>
      </c>
      <c r="AE27" s="18">
        <v>18320.4731012429</v>
      </c>
      <c r="AF27" s="19">
        <v>3.7831818380037699E-2</v>
      </c>
      <c r="AG27" s="18">
        <v>35641.281735019402</v>
      </c>
      <c r="AH27" s="19">
        <v>-7.1701802382981798E-3</v>
      </c>
      <c r="AI27" s="18">
        <v>18466.4530110509</v>
      </c>
      <c r="AJ27" s="19">
        <v>-5.39884398461907E-2</v>
      </c>
      <c r="AK27" s="18">
        <v>15857.3383497222</v>
      </c>
      <c r="AL27" s="19">
        <v>5.6668487694405002E-2</v>
      </c>
      <c r="AM27" s="18">
        <v>65415.333450648999</v>
      </c>
      <c r="AN27" s="19">
        <v>1.0441614570589E-2</v>
      </c>
      <c r="AO27" s="18">
        <v>28870.007134878699</v>
      </c>
      <c r="AP27" s="19">
        <v>4.4811497495420597E-3</v>
      </c>
      <c r="AQ27" s="18">
        <v>17457.762012778301</v>
      </c>
      <c r="AR27" s="19">
        <v>4.08650623238382E-2</v>
      </c>
      <c r="AS27" s="18">
        <v>20779.8065141552</v>
      </c>
      <c r="AT27" s="19">
        <v>5.2326136936009501E-2</v>
      </c>
      <c r="AU27" s="18">
        <v>1920.1010639496501</v>
      </c>
      <c r="AV27" s="19">
        <v>0.26198223970088402</v>
      </c>
      <c r="AW27" s="18">
        <v>5843.3288230088901</v>
      </c>
      <c r="AX27" s="19">
        <v>-6.9049616765043398E-3</v>
      </c>
      <c r="AY27" s="18">
        <v>1542.8625742720201</v>
      </c>
      <c r="AZ27" s="19">
        <v>1.0108133078645901E-2</v>
      </c>
      <c r="BA27" s="18">
        <v>12421.1429079218</v>
      </c>
      <c r="BB27" s="19">
        <v>0.27168639427775199</v>
      </c>
      <c r="BC27" s="18">
        <v>21863.207773861799</v>
      </c>
      <c r="BD27" s="19">
        <v>0.14666032608870799</v>
      </c>
      <c r="BE27" s="18">
        <v>-9442.0648659399994</v>
      </c>
      <c r="BF27" s="19">
        <v>1.53414267936938E-2</v>
      </c>
      <c r="BG27" s="18"/>
      <c r="BH27" s="19"/>
    </row>
    <row r="28" spans="1:60" x14ac:dyDescent="0.15">
      <c r="A28" s="17">
        <v>1996</v>
      </c>
      <c r="B28" s="17"/>
      <c r="C28" s="18">
        <v>426747.88979585702</v>
      </c>
      <c r="D28" s="19">
        <v>7.1379723637454697E-3</v>
      </c>
      <c r="E28" s="18">
        <v>414531.78432866698</v>
      </c>
      <c r="F28" s="19">
        <v>7.8520439159490696E-3</v>
      </c>
      <c r="G28" s="18">
        <v>5163.7274085140498</v>
      </c>
      <c r="H28" s="19">
        <v>-0.117537164924725</v>
      </c>
      <c r="I28" s="18">
        <v>519.83816529620196</v>
      </c>
      <c r="J28" s="19">
        <v>-9.9907959951502298E-2</v>
      </c>
      <c r="K28" s="18">
        <v>80033.232453678705</v>
      </c>
      <c r="L28" s="19">
        <v>-3.11843428626901E-3</v>
      </c>
      <c r="M28" s="18">
        <v>15142.7504474491</v>
      </c>
      <c r="N28" s="19">
        <v>2.1900573096404999E-3</v>
      </c>
      <c r="O28" s="18">
        <v>64890.482006229598</v>
      </c>
      <c r="P28" s="19">
        <v>-4.3491333934859702E-3</v>
      </c>
      <c r="Q28" s="18">
        <v>11458.004358066801</v>
      </c>
      <c r="R28" s="19">
        <v>-5.7758461612962102E-2</v>
      </c>
      <c r="S28" s="18">
        <v>2562.3690484793901</v>
      </c>
      <c r="T28" s="19">
        <v>-6.0083769720708703E-2</v>
      </c>
      <c r="U28" s="18">
        <v>24202.837633379499</v>
      </c>
      <c r="V28" s="19">
        <v>-8.4239569823020902E-2</v>
      </c>
      <c r="W28" s="18">
        <v>61113.326050725802</v>
      </c>
      <c r="X28" s="19">
        <v>-1.0005631111507899E-2</v>
      </c>
      <c r="Y28" s="18">
        <v>20597.6630106999</v>
      </c>
      <c r="Z28" s="19">
        <v>-1.16661710119131E-2</v>
      </c>
      <c r="AA28" s="18">
        <v>17194.9041706032</v>
      </c>
      <c r="AB28" s="19">
        <v>2.8947137832525199E-2</v>
      </c>
      <c r="AC28" s="18">
        <v>9252.6115853180709</v>
      </c>
      <c r="AD28" s="19">
        <v>2.3436185394573299E-2</v>
      </c>
      <c r="AE28" s="18">
        <v>18548.782319435199</v>
      </c>
      <c r="AF28" s="19">
        <v>1.2461971747706101E-2</v>
      </c>
      <c r="AG28" s="18">
        <v>40201.865761861503</v>
      </c>
      <c r="AH28" s="19">
        <v>0.127957912982716</v>
      </c>
      <c r="AI28" s="18">
        <v>23151.156560601099</v>
      </c>
      <c r="AJ28" s="19">
        <v>0.25368724284770799</v>
      </c>
      <c r="AK28" s="18">
        <v>15401.364066521601</v>
      </c>
      <c r="AL28" s="19">
        <v>-2.8754780477303499E-2</v>
      </c>
      <c r="AM28" s="18">
        <v>66975.949979802303</v>
      </c>
      <c r="AN28" s="19">
        <v>2.38570446228887E-2</v>
      </c>
      <c r="AO28" s="18">
        <v>28785.679073355001</v>
      </c>
      <c r="AP28" s="19">
        <v>-2.92095741888043E-3</v>
      </c>
      <c r="AQ28" s="18">
        <v>17746.705435428299</v>
      </c>
      <c r="AR28" s="19">
        <v>1.6551000204866301E-2</v>
      </c>
      <c r="AS28" s="18">
        <v>21531.607795188898</v>
      </c>
      <c r="AT28" s="19">
        <v>3.6179416806482401E-2</v>
      </c>
      <c r="AU28" s="18">
        <v>1994.03486300798</v>
      </c>
      <c r="AV28" s="19">
        <v>3.8505160195186898E-2</v>
      </c>
      <c r="AW28" s="18">
        <v>5735.8026477173398</v>
      </c>
      <c r="AX28" s="19">
        <v>-1.8401527373943499E-2</v>
      </c>
      <c r="AY28" s="18">
        <v>1510.5055788090399</v>
      </c>
      <c r="AZ28" s="19">
        <v>-2.0972052859763401E-2</v>
      </c>
      <c r="BA28" s="18">
        <v>12216.10546719</v>
      </c>
      <c r="BB28" s="19">
        <v>-1.6507131610330999E-2</v>
      </c>
      <c r="BC28" s="18">
        <v>21919.288784690099</v>
      </c>
      <c r="BD28" s="19">
        <v>2.56508612131756E-3</v>
      </c>
      <c r="BE28" s="18">
        <v>-9703.1833175000102</v>
      </c>
      <c r="BF28" s="19">
        <v>2.7654803823889702E-2</v>
      </c>
      <c r="BG28" s="18"/>
      <c r="BH28" s="19"/>
    </row>
    <row r="29" spans="1:60" x14ac:dyDescent="0.15">
      <c r="A29" s="17">
        <v>1997</v>
      </c>
      <c r="B29" s="17"/>
      <c r="C29" s="18">
        <v>434142.75840085599</v>
      </c>
      <c r="D29" s="19">
        <v>1.7328424537812699E-2</v>
      </c>
      <c r="E29" s="18">
        <v>421030.44557178399</v>
      </c>
      <c r="F29" s="19">
        <v>1.5677112078730699E-2</v>
      </c>
      <c r="G29" s="18">
        <v>5393.9156199282197</v>
      </c>
      <c r="H29" s="19">
        <v>4.4577916919980698E-2</v>
      </c>
      <c r="I29" s="18">
        <v>599.33830321631899</v>
      </c>
      <c r="J29" s="19">
        <v>0.15293247635024601</v>
      </c>
      <c r="K29" s="18">
        <v>81548.527345278897</v>
      </c>
      <c r="L29" s="19">
        <v>1.8933321136031901E-2</v>
      </c>
      <c r="M29" s="18">
        <v>15327.003634172101</v>
      </c>
      <c r="N29" s="19">
        <v>1.21677490071874E-2</v>
      </c>
      <c r="O29" s="18">
        <v>66221.523711106798</v>
      </c>
      <c r="P29" s="19">
        <v>2.05121254107705E-2</v>
      </c>
      <c r="Q29" s="18">
        <v>11332.47635807</v>
      </c>
      <c r="R29" s="19">
        <v>-1.0955485447033699E-2</v>
      </c>
      <c r="S29" s="18">
        <v>2544.11619341296</v>
      </c>
      <c r="T29" s="19">
        <v>-7.1234294206219398E-3</v>
      </c>
      <c r="U29" s="18">
        <v>21722.319104959799</v>
      </c>
      <c r="V29" s="19">
        <v>-0.102488748054843</v>
      </c>
      <c r="W29" s="18">
        <v>61702.415531281797</v>
      </c>
      <c r="X29" s="19">
        <v>9.6392966742981905E-3</v>
      </c>
      <c r="Y29" s="18">
        <v>20788.791983863699</v>
      </c>
      <c r="Z29" s="19">
        <v>9.2791581775313308E-3</v>
      </c>
      <c r="AA29" s="18">
        <v>16629.638121322001</v>
      </c>
      <c r="AB29" s="19">
        <v>-3.2874044756098598E-2</v>
      </c>
      <c r="AC29" s="18">
        <v>11052.470358541899</v>
      </c>
      <c r="AD29" s="19">
        <v>0.194524406069287</v>
      </c>
      <c r="AE29" s="18">
        <v>17966.917748752599</v>
      </c>
      <c r="AF29" s="19">
        <v>-3.1369421488812103E-2</v>
      </c>
      <c r="AG29" s="18">
        <v>47406.232377195098</v>
      </c>
      <c r="AH29" s="19">
        <v>0.17920478263394801</v>
      </c>
      <c r="AI29" s="18">
        <v>28634.2494628366</v>
      </c>
      <c r="AJ29" s="19">
        <v>0.236838832992327</v>
      </c>
      <c r="AK29" s="18">
        <v>16285.5133519427</v>
      </c>
      <c r="AL29" s="19">
        <v>5.7407206374857203E-2</v>
      </c>
      <c r="AM29" s="18">
        <v>65908.053062880004</v>
      </c>
      <c r="AN29" s="19">
        <v>-1.59444833144483E-2</v>
      </c>
      <c r="AO29" s="18">
        <v>28460.074484942699</v>
      </c>
      <c r="AP29" s="19">
        <v>-1.13113394887284E-2</v>
      </c>
      <c r="AQ29" s="18">
        <v>17760.8224226286</v>
      </c>
      <c r="AR29" s="19">
        <v>7.95470869320969E-4</v>
      </c>
      <c r="AS29" s="18">
        <v>21841.557387212299</v>
      </c>
      <c r="AT29" s="19">
        <v>1.43950974294018E-2</v>
      </c>
      <c r="AU29" s="18">
        <v>2061.39069230728</v>
      </c>
      <c r="AV29" s="19">
        <v>3.37786618222344E-2</v>
      </c>
      <c r="AW29" s="18">
        <v>5599.2404779174703</v>
      </c>
      <c r="AX29" s="19">
        <v>-2.3808728819185099E-2</v>
      </c>
      <c r="AY29" s="18">
        <v>1500.9399819362</v>
      </c>
      <c r="AZ29" s="19">
        <v>-6.3327120449180301E-3</v>
      </c>
      <c r="BA29" s="18">
        <v>13112.312829071499</v>
      </c>
      <c r="BB29" s="19">
        <v>7.3362772144402302E-2</v>
      </c>
      <c r="BC29" s="18">
        <v>22693.9921608115</v>
      </c>
      <c r="BD29" s="19">
        <v>3.5343454056892203E-2</v>
      </c>
      <c r="BE29" s="18">
        <v>-9581.6793317400006</v>
      </c>
      <c r="BF29" s="19">
        <v>-1.25220746413059E-2</v>
      </c>
      <c r="BG29" s="18"/>
      <c r="BH29" s="19"/>
    </row>
    <row r="30" spans="1:60" x14ac:dyDescent="0.15">
      <c r="A30" s="17">
        <v>1998</v>
      </c>
      <c r="B30" s="17"/>
      <c r="C30" s="18">
        <v>444567.52536413103</v>
      </c>
      <c r="D30" s="19">
        <v>2.4012301855901801E-2</v>
      </c>
      <c r="E30" s="18">
        <v>430314.70716085198</v>
      </c>
      <c r="F30" s="19">
        <v>2.20512831951118E-2</v>
      </c>
      <c r="G30" s="18">
        <v>5203.1321879227398</v>
      </c>
      <c r="H30" s="19">
        <v>-3.5370118008635203E-2</v>
      </c>
      <c r="I30" s="18">
        <v>621.268170290846</v>
      </c>
      <c r="J30" s="19">
        <v>3.6590131077626001E-2</v>
      </c>
      <c r="K30" s="18">
        <v>82501.994827338305</v>
      </c>
      <c r="L30" s="19">
        <v>1.1692025755688701E-2</v>
      </c>
      <c r="M30" s="18">
        <v>16051.1049714523</v>
      </c>
      <c r="N30" s="19">
        <v>4.7243502680838399E-2</v>
      </c>
      <c r="O30" s="18">
        <v>66450.889855885995</v>
      </c>
      <c r="P30" s="19">
        <v>3.46361925738647E-3</v>
      </c>
      <c r="Q30" s="18">
        <v>10987.7348242558</v>
      </c>
      <c r="R30" s="19">
        <v>-3.0420670903822802E-2</v>
      </c>
      <c r="S30" s="18">
        <v>2508.49885399813</v>
      </c>
      <c r="T30" s="19">
        <v>-1.39998870755383E-2</v>
      </c>
      <c r="U30" s="18">
        <v>21807.533778968202</v>
      </c>
      <c r="V30" s="19">
        <v>3.9229086727188304E-3</v>
      </c>
      <c r="W30" s="18">
        <v>62376.827042994402</v>
      </c>
      <c r="X30" s="19">
        <v>1.0930066609315101E-2</v>
      </c>
      <c r="Y30" s="18">
        <v>21077.648433100301</v>
      </c>
      <c r="Z30" s="19">
        <v>1.38948164694126E-2</v>
      </c>
      <c r="AA30" s="18">
        <v>17480.626403190199</v>
      </c>
      <c r="AB30" s="19">
        <v>5.1172988591802401E-2</v>
      </c>
      <c r="AC30" s="18">
        <v>11473.4788634897</v>
      </c>
      <c r="AD30" s="19">
        <v>3.8091801315938097E-2</v>
      </c>
      <c r="AE30" s="18">
        <v>19392.241203612601</v>
      </c>
      <c r="AF30" s="19">
        <v>7.93304380190063E-2</v>
      </c>
      <c r="AG30" s="18">
        <v>50100.1708663264</v>
      </c>
      <c r="AH30" s="19">
        <v>5.68266734993121E-2</v>
      </c>
      <c r="AI30" s="18">
        <v>29786.343833055798</v>
      </c>
      <c r="AJ30" s="19">
        <v>4.0234837365459498E-2</v>
      </c>
      <c r="AK30" s="18">
        <v>17011.3873247296</v>
      </c>
      <c r="AL30" s="19">
        <v>4.4571758783414198E-2</v>
      </c>
      <c r="AM30" s="18">
        <v>67093.075532954404</v>
      </c>
      <c r="AN30" s="19">
        <v>1.7979934393507601E-2</v>
      </c>
      <c r="AO30" s="18">
        <v>28511.144859127198</v>
      </c>
      <c r="AP30" s="19">
        <v>1.794456799878E-3</v>
      </c>
      <c r="AQ30" s="18">
        <v>17747.973005565502</v>
      </c>
      <c r="AR30" s="19">
        <v>-7.2346971088110802E-4</v>
      </c>
      <c r="AS30" s="18">
        <v>23184.205172583799</v>
      </c>
      <c r="AT30" s="19">
        <v>6.1472163434534502E-2</v>
      </c>
      <c r="AU30" s="18">
        <v>2222.9903178752902</v>
      </c>
      <c r="AV30" s="19">
        <v>7.8393497249731797E-2</v>
      </c>
      <c r="AW30" s="18">
        <v>5571.8642811172003</v>
      </c>
      <c r="AX30" s="19">
        <v>-4.8892696979594402E-3</v>
      </c>
      <c r="AY30" s="18">
        <v>1529.94696924088</v>
      </c>
      <c r="AZ30" s="19">
        <v>1.93258808838341E-2</v>
      </c>
      <c r="BA30" s="18">
        <v>14252.818203278999</v>
      </c>
      <c r="BB30" s="19">
        <v>8.6979725779487094E-2</v>
      </c>
      <c r="BC30" s="18">
        <v>24841.968842699</v>
      </c>
      <c r="BD30" s="19">
        <v>9.4649573625775099E-2</v>
      </c>
      <c r="BE30" s="18">
        <v>-10589.150639420001</v>
      </c>
      <c r="BF30" s="19">
        <v>0.105145588033058</v>
      </c>
      <c r="BG30" s="18"/>
      <c r="BH30" s="19"/>
    </row>
    <row r="31" spans="1:60" x14ac:dyDescent="0.15">
      <c r="A31" s="17">
        <v>1999</v>
      </c>
      <c r="B31" s="17"/>
      <c r="C31" s="18">
        <v>453551.42894298799</v>
      </c>
      <c r="D31" s="19">
        <v>2.0208186757452399E-2</v>
      </c>
      <c r="E31" s="18">
        <v>435588.32387391903</v>
      </c>
      <c r="F31" s="19">
        <v>1.22552555729774E-2</v>
      </c>
      <c r="G31" s="18">
        <v>4937.2905596640003</v>
      </c>
      <c r="H31" s="19">
        <v>-5.1092614728450302E-2</v>
      </c>
      <c r="I31" s="18">
        <v>588.39986751565596</v>
      </c>
      <c r="J31" s="19">
        <v>-5.2905177420891701E-2</v>
      </c>
      <c r="K31" s="18">
        <v>82868.362759041804</v>
      </c>
      <c r="L31" s="19">
        <v>4.4407160392929699E-3</v>
      </c>
      <c r="M31" s="18">
        <v>15991.9124965713</v>
      </c>
      <c r="N31" s="19">
        <v>-3.6877507801690301E-3</v>
      </c>
      <c r="O31" s="18">
        <v>66876.450262470506</v>
      </c>
      <c r="P31" s="19">
        <v>6.40413405309359E-3</v>
      </c>
      <c r="Q31" s="18">
        <v>11241.329260508501</v>
      </c>
      <c r="R31" s="19">
        <v>2.30797739760609E-2</v>
      </c>
      <c r="S31" s="18">
        <v>2552.3131087522102</v>
      </c>
      <c r="T31" s="19">
        <v>1.74663244052304E-2</v>
      </c>
      <c r="U31" s="18">
        <v>21601.6796382539</v>
      </c>
      <c r="V31" s="19">
        <v>-9.4395883001149299E-3</v>
      </c>
      <c r="W31" s="18">
        <v>64646.138194059997</v>
      </c>
      <c r="X31" s="19">
        <v>3.6380676264624399E-2</v>
      </c>
      <c r="Y31" s="18">
        <v>21317.272441058201</v>
      </c>
      <c r="Z31" s="19">
        <v>1.13686310272438E-2</v>
      </c>
      <c r="AA31" s="18">
        <v>15589.505534396099</v>
      </c>
      <c r="AB31" s="19">
        <v>-0.108183815909994</v>
      </c>
      <c r="AC31" s="18">
        <v>11567.301542326801</v>
      </c>
      <c r="AD31" s="19">
        <v>8.1773523055483893E-3</v>
      </c>
      <c r="AE31" s="18">
        <v>20080.6527795601</v>
      </c>
      <c r="AF31" s="19">
        <v>3.5499330310477799E-2</v>
      </c>
      <c r="AG31" s="18">
        <v>51245.329299382996</v>
      </c>
      <c r="AH31" s="19">
        <v>2.2857375798418102E-2</v>
      </c>
      <c r="AI31" s="18">
        <v>30968.854835286798</v>
      </c>
      <c r="AJ31" s="19">
        <v>3.9699770097957603E-2</v>
      </c>
      <c r="AK31" s="18">
        <v>16775.496230967601</v>
      </c>
      <c r="AL31" s="19">
        <v>-1.3866658213060001E-2</v>
      </c>
      <c r="AM31" s="18">
        <v>68819.904987029193</v>
      </c>
      <c r="AN31" s="19">
        <v>2.5737819295921002E-2</v>
      </c>
      <c r="AO31" s="18">
        <v>28713.8051597003</v>
      </c>
      <c r="AP31" s="19">
        <v>7.1081081301502796E-3</v>
      </c>
      <c r="AQ31" s="18">
        <v>17996.026093079701</v>
      </c>
      <c r="AR31" s="19">
        <v>1.3976417894957099E-2</v>
      </c>
      <c r="AS31" s="18">
        <v>23802.045886624499</v>
      </c>
      <c r="AT31" s="19">
        <v>2.6649208348590501E-2</v>
      </c>
      <c r="AU31" s="18">
        <v>2350.0243484754801</v>
      </c>
      <c r="AV31" s="19">
        <v>5.71455618041605E-2</v>
      </c>
      <c r="AW31" s="18">
        <v>5415.2889269287798</v>
      </c>
      <c r="AX31" s="19">
        <v>-2.81010710758062E-2</v>
      </c>
      <c r="AY31" s="18">
        <v>1572.9259286188401</v>
      </c>
      <c r="AZ31" s="19">
        <v>2.8091796802137001E-2</v>
      </c>
      <c r="BA31" s="18">
        <v>17963.105069068799</v>
      </c>
      <c r="BB31" s="19">
        <v>0.26031952508425799</v>
      </c>
      <c r="BC31" s="18">
        <v>26913.729319178801</v>
      </c>
      <c r="BD31" s="19">
        <v>8.3397595802425298E-2</v>
      </c>
      <c r="BE31" s="18">
        <v>-8950.6242501100005</v>
      </c>
      <c r="BF31" s="19">
        <v>-0.154736337701184</v>
      </c>
      <c r="BG31" s="18"/>
      <c r="BH31" s="19"/>
    </row>
    <row r="32" spans="1:60" x14ac:dyDescent="0.15">
      <c r="A32" s="17">
        <v>2000</v>
      </c>
      <c r="B32" s="17"/>
      <c r="C32" s="18">
        <v>476485.39011532499</v>
      </c>
      <c r="D32" s="19">
        <v>5.0565293611324301E-2</v>
      </c>
      <c r="E32" s="18">
        <v>455731.86088449397</v>
      </c>
      <c r="F32" s="19">
        <v>4.6244437480388999E-2</v>
      </c>
      <c r="G32" s="18">
        <v>5031.73755834451</v>
      </c>
      <c r="H32" s="19">
        <v>1.9129317494925399E-2</v>
      </c>
      <c r="I32" s="18">
        <v>575.35093268727996</v>
      </c>
      <c r="J32" s="19">
        <v>-2.2176984647313502E-2</v>
      </c>
      <c r="K32" s="18">
        <v>84590.441961315795</v>
      </c>
      <c r="L32" s="19">
        <v>2.07809005142452E-2</v>
      </c>
      <c r="M32" s="18">
        <v>16708.0484038084</v>
      </c>
      <c r="N32" s="19">
        <v>4.4781129673557601E-2</v>
      </c>
      <c r="O32" s="18">
        <v>67882.393557507399</v>
      </c>
      <c r="P32" s="19">
        <v>1.50418165301665E-2</v>
      </c>
      <c r="Q32" s="18">
        <v>11249.8773637792</v>
      </c>
      <c r="R32" s="19">
        <v>7.6041748022781497E-4</v>
      </c>
      <c r="S32" s="18">
        <v>2468.0533870241502</v>
      </c>
      <c r="T32" s="19">
        <v>-3.3013081913470001E-2</v>
      </c>
      <c r="U32" s="18">
        <v>22336.858527404798</v>
      </c>
      <c r="V32" s="19">
        <v>3.4033413209637597E-2</v>
      </c>
      <c r="W32" s="18">
        <v>68547.715616557703</v>
      </c>
      <c r="X32" s="19">
        <v>6.0352830524626401E-2</v>
      </c>
      <c r="Y32" s="18">
        <v>21911.330401385701</v>
      </c>
      <c r="Z32" s="19">
        <v>2.7867447018377501E-2</v>
      </c>
      <c r="AA32" s="18">
        <v>16481.5809881819</v>
      </c>
      <c r="AB32" s="19">
        <v>5.7222819018703602E-2</v>
      </c>
      <c r="AC32" s="18">
        <v>11898.493964154501</v>
      </c>
      <c r="AD32" s="19">
        <v>2.8631779038169401E-2</v>
      </c>
      <c r="AE32" s="18">
        <v>21197.386149631799</v>
      </c>
      <c r="AF32" s="19">
        <v>5.5612403756535297E-2</v>
      </c>
      <c r="AG32" s="18">
        <v>58089.353715686397</v>
      </c>
      <c r="AH32" s="19">
        <v>0.133554111367293</v>
      </c>
      <c r="AI32" s="18">
        <v>35472.770584010002</v>
      </c>
      <c r="AJ32" s="19">
        <v>0.14543371954429701</v>
      </c>
      <c r="AK32" s="18">
        <v>18380.0524729186</v>
      </c>
      <c r="AL32" s="19">
        <v>9.5648809421744696E-2</v>
      </c>
      <c r="AM32" s="18">
        <v>70214.945841747802</v>
      </c>
      <c r="AN32" s="19">
        <v>2.0270891902300199E-2</v>
      </c>
      <c r="AO32" s="18">
        <v>29738.290351585601</v>
      </c>
      <c r="AP32" s="19">
        <v>3.5679185889413899E-2</v>
      </c>
      <c r="AQ32" s="18">
        <v>18710.5575290905</v>
      </c>
      <c r="AR32" s="19">
        <v>3.9704956656268199E-2</v>
      </c>
      <c r="AS32" s="18">
        <v>25038.522658561898</v>
      </c>
      <c r="AT32" s="19">
        <v>5.1948339979977803E-2</v>
      </c>
      <c r="AU32" s="18">
        <v>2439.4820465620101</v>
      </c>
      <c r="AV32" s="19">
        <v>3.8066711157507302E-2</v>
      </c>
      <c r="AW32" s="18">
        <v>5511.8764351113696</v>
      </c>
      <c r="AX32" s="19">
        <v>1.7836076613065899E-2</v>
      </c>
      <c r="AY32" s="18">
        <v>1611.33585706645</v>
      </c>
      <c r="AZ32" s="19">
        <v>2.44194133676283E-2</v>
      </c>
      <c r="BA32" s="18">
        <v>20753.529230831798</v>
      </c>
      <c r="BB32" s="19">
        <v>0.155341971838033</v>
      </c>
      <c r="BC32" s="18">
        <v>29536.021891651799</v>
      </c>
      <c r="BD32" s="19">
        <v>9.7433266916460398E-2</v>
      </c>
      <c r="BE32" s="18">
        <v>-8782.4926608199894</v>
      </c>
      <c r="BF32" s="19">
        <v>-1.8784342252769801E-2</v>
      </c>
      <c r="BG32" s="18"/>
      <c r="BH32" s="19"/>
    </row>
    <row r="33" spans="1:60" x14ac:dyDescent="0.15">
      <c r="A33" s="17">
        <v>2001</v>
      </c>
      <c r="B33" s="17"/>
      <c r="C33" s="18">
        <v>490334.56330582401</v>
      </c>
      <c r="D33" s="19">
        <v>2.9065263023376801E-2</v>
      </c>
      <c r="E33" s="18">
        <v>470461.79216879897</v>
      </c>
      <c r="F33" s="19">
        <v>3.2321486708692303E-2</v>
      </c>
      <c r="G33" s="18">
        <v>4499.1502603504196</v>
      </c>
      <c r="H33" s="19">
        <v>-0.105845603396159</v>
      </c>
      <c r="I33" s="18">
        <v>595.68283669215498</v>
      </c>
      <c r="J33" s="19">
        <v>3.5338265482445501E-2</v>
      </c>
      <c r="K33" s="18">
        <v>90419.469817440302</v>
      </c>
      <c r="L33" s="19">
        <v>6.8908823750917003E-2</v>
      </c>
      <c r="M33" s="18">
        <v>19104.703491745699</v>
      </c>
      <c r="N33" s="19">
        <v>0.14344314967336499</v>
      </c>
      <c r="O33" s="18">
        <v>71314.766325694494</v>
      </c>
      <c r="P33" s="19">
        <v>5.0563520057368E-2</v>
      </c>
      <c r="Q33" s="18">
        <v>11666.8114947865</v>
      </c>
      <c r="R33" s="19">
        <v>3.7061215649312897E-2</v>
      </c>
      <c r="S33" s="18">
        <v>2548.3126689392102</v>
      </c>
      <c r="T33" s="19">
        <v>3.2519264914213197E-2</v>
      </c>
      <c r="U33" s="18">
        <v>23031.1709183698</v>
      </c>
      <c r="V33" s="19">
        <v>3.1083708128122101E-2</v>
      </c>
      <c r="W33" s="18">
        <v>70806.644635066506</v>
      </c>
      <c r="X33" s="19">
        <v>3.2954110843675499E-2</v>
      </c>
      <c r="Y33" s="18">
        <v>22982.4080124639</v>
      </c>
      <c r="Z33" s="19">
        <v>4.8882363209240602E-2</v>
      </c>
      <c r="AA33" s="18">
        <v>17129.005203474098</v>
      </c>
      <c r="AB33" s="19">
        <v>3.9281681518079897E-2</v>
      </c>
      <c r="AC33" s="18">
        <v>12460.9921384516</v>
      </c>
      <c r="AD33" s="19">
        <v>4.7274737121493E-2</v>
      </c>
      <c r="AE33" s="18">
        <v>22390.531470935199</v>
      </c>
      <c r="AF33" s="19">
        <v>5.6287379626951198E-2</v>
      </c>
      <c r="AG33" s="18">
        <v>52275.072050206603</v>
      </c>
      <c r="AH33" s="19">
        <v>-0.100092035692758</v>
      </c>
      <c r="AI33" s="18">
        <v>30996.206663532299</v>
      </c>
      <c r="AJ33" s="19">
        <v>-0.12619718862601401</v>
      </c>
      <c r="AK33" s="18">
        <v>17126.0253690465</v>
      </c>
      <c r="AL33" s="19">
        <v>-6.8227612827535894E-2</v>
      </c>
      <c r="AM33" s="18">
        <v>75030.909402970196</v>
      </c>
      <c r="AN33" s="19">
        <v>6.8588866707619101E-2</v>
      </c>
      <c r="AO33" s="18">
        <v>30855.271040396099</v>
      </c>
      <c r="AP33" s="19">
        <v>3.7560353187920503E-2</v>
      </c>
      <c r="AQ33" s="18">
        <v>19815.376628014499</v>
      </c>
      <c r="AR33" s="19">
        <v>5.90478983432896E-2</v>
      </c>
      <c r="AS33" s="18">
        <v>26829.4284416915</v>
      </c>
      <c r="AT33" s="19">
        <v>7.1526016432812603E-2</v>
      </c>
      <c r="AU33" s="18">
        <v>2681.8711699498999</v>
      </c>
      <c r="AV33" s="19">
        <v>9.9360896600773504E-2</v>
      </c>
      <c r="AW33" s="18">
        <v>5783.6023761410097</v>
      </c>
      <c r="AX33" s="19">
        <v>4.9298264253296198E-2</v>
      </c>
      <c r="AY33" s="18">
        <v>1642.48961492375</v>
      </c>
      <c r="AZ33" s="19">
        <v>1.9334118160828601E-2</v>
      </c>
      <c r="BA33" s="18">
        <v>19872.7711370244</v>
      </c>
      <c r="BB33" s="19">
        <v>-4.2438955033195801E-2</v>
      </c>
      <c r="BC33" s="18">
        <v>29393.3723958544</v>
      </c>
      <c r="BD33" s="19">
        <v>-4.82967869947604E-3</v>
      </c>
      <c r="BE33" s="18">
        <v>-9520.60125883</v>
      </c>
      <c r="BF33" s="19">
        <v>8.4043178459211498E-2</v>
      </c>
      <c r="BG33" s="18"/>
      <c r="BH33" s="19"/>
    </row>
    <row r="34" spans="1:60" x14ac:dyDescent="0.15">
      <c r="A34" s="17">
        <v>2002</v>
      </c>
      <c r="B34" s="17"/>
      <c r="C34" s="18">
        <v>488955.68929355202</v>
      </c>
      <c r="D34" s="19">
        <v>-2.8121085386592099E-3</v>
      </c>
      <c r="E34" s="18">
        <v>470753.65009415202</v>
      </c>
      <c r="F34" s="19">
        <v>6.2036477820437397E-4</v>
      </c>
      <c r="G34" s="18">
        <v>4545.8197732215704</v>
      </c>
      <c r="H34" s="19">
        <v>1.03729615973105E-2</v>
      </c>
      <c r="I34" s="18">
        <v>592.96001446138598</v>
      </c>
      <c r="J34" s="19">
        <v>-4.5709261087483197E-3</v>
      </c>
      <c r="K34" s="18">
        <v>92283.676807401003</v>
      </c>
      <c r="L34" s="19">
        <v>2.06173183024034E-2</v>
      </c>
      <c r="M34" s="18">
        <v>21401.857790610698</v>
      </c>
      <c r="N34" s="19">
        <v>0.12024024868312901</v>
      </c>
      <c r="O34" s="18">
        <v>70881.819016790294</v>
      </c>
      <c r="P34" s="19">
        <v>-6.0709349719656504E-3</v>
      </c>
      <c r="Q34" s="18">
        <v>9643.3220261769493</v>
      </c>
      <c r="R34" s="19">
        <v>-0.17343980139850501</v>
      </c>
      <c r="S34" s="18">
        <v>2626.5526751992402</v>
      </c>
      <c r="T34" s="19">
        <v>3.07026713062644E-2</v>
      </c>
      <c r="U34" s="18">
        <v>23851.087535434999</v>
      </c>
      <c r="V34" s="19">
        <v>3.5600300999512703E-2</v>
      </c>
      <c r="W34" s="18">
        <v>72300.190739265498</v>
      </c>
      <c r="X34" s="19">
        <v>2.1093304334595601E-2</v>
      </c>
      <c r="Y34" s="18">
        <v>22975.2042615932</v>
      </c>
      <c r="Z34" s="19">
        <v>-3.1344630496554798E-4</v>
      </c>
      <c r="AA34" s="18">
        <v>17610.5021304566</v>
      </c>
      <c r="AB34" s="19">
        <v>2.81100344861136E-2</v>
      </c>
      <c r="AC34" s="18">
        <v>12223.719082321801</v>
      </c>
      <c r="AD34" s="19">
        <v>-1.9041265213360699E-2</v>
      </c>
      <c r="AE34" s="18">
        <v>23000.294361277902</v>
      </c>
      <c r="AF34" s="19">
        <v>2.72330690825375E-2</v>
      </c>
      <c r="AG34" s="18">
        <v>48528.800334077903</v>
      </c>
      <c r="AH34" s="19">
        <v>-7.1664592112483896E-2</v>
      </c>
      <c r="AI34" s="18">
        <v>29700.535783457799</v>
      </c>
      <c r="AJ34" s="19">
        <v>-4.1800949843287298E-2</v>
      </c>
      <c r="AK34" s="18">
        <v>14841.197323916</v>
      </c>
      <c r="AL34" s="19">
        <v>-0.13341262761761999</v>
      </c>
      <c r="AM34" s="18">
        <v>72424.442230028493</v>
      </c>
      <c r="AN34" s="19">
        <v>-3.4738578989400498E-2</v>
      </c>
      <c r="AO34" s="18">
        <v>31515.370352062899</v>
      </c>
      <c r="AP34" s="19">
        <v>2.1393405062057402E-2</v>
      </c>
      <c r="AQ34" s="18">
        <v>20756.8456178868</v>
      </c>
      <c r="AR34" s="19">
        <v>4.7512041156021499E-2</v>
      </c>
      <c r="AS34" s="18">
        <v>28068.512729004698</v>
      </c>
      <c r="AT34" s="19">
        <v>4.6183775029204698E-2</v>
      </c>
      <c r="AU34" s="18">
        <v>2952.2001865806001</v>
      </c>
      <c r="AV34" s="19">
        <v>0.100798658660308</v>
      </c>
      <c r="AW34" s="18">
        <v>6177.93046047595</v>
      </c>
      <c r="AX34" s="19">
        <v>6.8180358657029302E-2</v>
      </c>
      <c r="AY34" s="18">
        <v>1651.4230388175899</v>
      </c>
      <c r="AZ34" s="19">
        <v>5.4389530458327498E-3</v>
      </c>
      <c r="BA34" s="18">
        <v>18202.0391993997</v>
      </c>
      <c r="BB34" s="19">
        <v>-8.40714123916005E-2</v>
      </c>
      <c r="BC34" s="18">
        <v>28388.530272149699</v>
      </c>
      <c r="BD34" s="19">
        <v>-3.4186010035595599E-2</v>
      </c>
      <c r="BE34" s="18">
        <v>-10186.491072749999</v>
      </c>
      <c r="BF34" s="19">
        <v>6.9941991668058798E-2</v>
      </c>
      <c r="BG34" s="18"/>
      <c r="BH34" s="19"/>
    </row>
    <row r="35" spans="1:60" x14ac:dyDescent="0.15">
      <c r="A35" s="17">
        <v>2003</v>
      </c>
      <c r="B35" s="17"/>
      <c r="C35" s="18">
        <v>494251.54013725801</v>
      </c>
      <c r="D35" s="19">
        <v>1.0830942270777501E-2</v>
      </c>
      <c r="E35" s="18">
        <v>476110.807143446</v>
      </c>
      <c r="F35" s="19">
        <v>1.1379958600901401E-2</v>
      </c>
      <c r="G35" s="18">
        <v>4110.5749294627603</v>
      </c>
      <c r="H35" s="19">
        <v>-9.5746172411571698E-2</v>
      </c>
      <c r="I35" s="18">
        <v>561.09402463030699</v>
      </c>
      <c r="J35" s="19">
        <v>-5.3740537395298701E-2</v>
      </c>
      <c r="K35" s="18">
        <v>92322.331404009296</v>
      </c>
      <c r="L35" s="19">
        <v>4.1886710570726598E-4</v>
      </c>
      <c r="M35" s="18">
        <v>22411.311474137801</v>
      </c>
      <c r="N35" s="19">
        <v>4.7166638214460897E-2</v>
      </c>
      <c r="O35" s="18">
        <v>69911.019929871603</v>
      </c>
      <c r="P35" s="19">
        <v>-1.36960238942059E-2</v>
      </c>
      <c r="Q35" s="18">
        <v>8778.9935196755905</v>
      </c>
      <c r="R35" s="19">
        <v>-8.9629746279873995E-2</v>
      </c>
      <c r="S35" s="18">
        <v>2640.63567652861</v>
      </c>
      <c r="T35" s="19">
        <v>5.3617814187951803E-3</v>
      </c>
      <c r="U35" s="18">
        <v>24002.704255685101</v>
      </c>
      <c r="V35" s="19">
        <v>6.3568053249076798E-3</v>
      </c>
      <c r="W35" s="18">
        <v>74244.908580632793</v>
      </c>
      <c r="X35" s="19">
        <v>2.6897824493720399E-2</v>
      </c>
      <c r="Y35" s="18">
        <v>23415.199654157201</v>
      </c>
      <c r="Z35" s="19">
        <v>1.9150880556025901E-2</v>
      </c>
      <c r="AA35" s="18">
        <v>17905.462064397401</v>
      </c>
      <c r="AB35" s="19">
        <v>1.6749092771789698E-2</v>
      </c>
      <c r="AC35" s="18">
        <v>11354.508745321</v>
      </c>
      <c r="AD35" s="19">
        <v>-7.1108500706453096E-2</v>
      </c>
      <c r="AE35" s="18">
        <v>22192.7706151649</v>
      </c>
      <c r="AF35" s="19">
        <v>-3.5109278752210801E-2</v>
      </c>
      <c r="AG35" s="18">
        <v>54090.029392643599</v>
      </c>
      <c r="AH35" s="19">
        <v>0.11459646684611099</v>
      </c>
      <c r="AI35" s="18">
        <v>30700.986496536301</v>
      </c>
      <c r="AJ35" s="19">
        <v>3.3684601529500299E-2</v>
      </c>
      <c r="AK35" s="18">
        <v>19246.886785554299</v>
      </c>
      <c r="AL35" s="19">
        <v>0.29685539282863599</v>
      </c>
      <c r="AM35" s="18">
        <v>70508.580071190896</v>
      </c>
      <c r="AN35" s="19">
        <v>-2.6453253899458299E-2</v>
      </c>
      <c r="AO35" s="18">
        <v>32189.498951521298</v>
      </c>
      <c r="AP35" s="19">
        <v>2.1390470488769499E-2</v>
      </c>
      <c r="AQ35" s="18">
        <v>21082.753875297902</v>
      </c>
      <c r="AR35" s="19">
        <v>1.5701242058198801E-2</v>
      </c>
      <c r="AS35" s="18">
        <v>29060.034490468301</v>
      </c>
      <c r="AT35" s="19">
        <v>3.53250551974909E-2</v>
      </c>
      <c r="AU35" s="18">
        <v>3180.7151000679601</v>
      </c>
      <c r="AV35" s="19">
        <v>7.7404951915553993E-2</v>
      </c>
      <c r="AW35" s="18">
        <v>6234.0882265548198</v>
      </c>
      <c r="AX35" s="19">
        <v>9.0900612168016703E-3</v>
      </c>
      <c r="AY35" s="18">
        <v>1651.1232201939299</v>
      </c>
      <c r="AZ35" s="19">
        <v>-1.81551677922109E-4</v>
      </c>
      <c r="BA35" s="18">
        <v>18140.7329938117</v>
      </c>
      <c r="BB35" s="19">
        <v>-3.3680954598763698E-3</v>
      </c>
      <c r="BC35" s="18">
        <v>28755.929264511698</v>
      </c>
      <c r="BD35" s="19">
        <v>1.29418109651995E-2</v>
      </c>
      <c r="BE35" s="18">
        <v>-10615.1962707</v>
      </c>
      <c r="BF35" s="19">
        <v>4.2085659810455298E-2</v>
      </c>
      <c r="BG35" s="18"/>
      <c r="BH35" s="19"/>
    </row>
    <row r="36" spans="1:60" x14ac:dyDescent="0.15">
      <c r="A36" s="17">
        <v>2004</v>
      </c>
      <c r="B36" s="17"/>
      <c r="C36" s="18">
        <v>507866.57227494998</v>
      </c>
      <c r="D36" s="19">
        <v>2.7546767247120602E-2</v>
      </c>
      <c r="E36" s="18">
        <v>488756.44034369499</v>
      </c>
      <c r="F36" s="19">
        <v>2.65602733870287E-2</v>
      </c>
      <c r="G36" s="18">
        <v>4743.8626845838198</v>
      </c>
      <c r="H36" s="19">
        <v>0.15406306076114401</v>
      </c>
      <c r="I36" s="18">
        <v>587.67070564007395</v>
      </c>
      <c r="J36" s="19">
        <v>4.7365824341612003E-2</v>
      </c>
      <c r="K36" s="18">
        <v>94941.774968657599</v>
      </c>
      <c r="L36" s="19">
        <v>2.8372805634482998E-2</v>
      </c>
      <c r="M36" s="18">
        <v>24132.922039384899</v>
      </c>
      <c r="N36" s="19">
        <v>7.6818822817834601E-2</v>
      </c>
      <c r="O36" s="18">
        <v>70808.852929272805</v>
      </c>
      <c r="P36" s="19">
        <v>1.28425103839398E-2</v>
      </c>
      <c r="Q36" s="18">
        <v>7979.0250434845202</v>
      </c>
      <c r="R36" s="19">
        <v>-9.1123028442630497E-2</v>
      </c>
      <c r="S36" s="18">
        <v>2903.4403850149602</v>
      </c>
      <c r="T36" s="19">
        <v>9.9523274195793002E-2</v>
      </c>
      <c r="U36" s="18">
        <v>23894.787300316799</v>
      </c>
      <c r="V36" s="19">
        <v>-4.4960332060388604E-3</v>
      </c>
      <c r="W36" s="18">
        <v>78913.216788801103</v>
      </c>
      <c r="X36" s="19">
        <v>6.2877149388611803E-2</v>
      </c>
      <c r="Y36" s="18">
        <v>23261.899742765399</v>
      </c>
      <c r="Z36" s="19">
        <v>-6.5470255926117797E-3</v>
      </c>
      <c r="AA36" s="18">
        <v>18402.2654386998</v>
      </c>
      <c r="AB36" s="19">
        <v>2.77459119745458E-2</v>
      </c>
      <c r="AC36" s="18">
        <v>10963.181786257301</v>
      </c>
      <c r="AD36" s="19">
        <v>-3.4464455296222697E-2</v>
      </c>
      <c r="AE36" s="18">
        <v>22828.611068301099</v>
      </c>
      <c r="AF36" s="19">
        <v>2.86507919250838E-2</v>
      </c>
      <c r="AG36" s="18">
        <v>54342.924223895599</v>
      </c>
      <c r="AH36" s="19">
        <v>4.6754426664530301E-3</v>
      </c>
      <c r="AI36" s="18">
        <v>31691.256629679701</v>
      </c>
      <c r="AJ36" s="19">
        <v>3.22553196541457E-2</v>
      </c>
      <c r="AK36" s="18">
        <v>18323.7031581673</v>
      </c>
      <c r="AL36" s="19">
        <v>-4.7965348249462199E-2</v>
      </c>
      <c r="AM36" s="18">
        <v>72815.813404850007</v>
      </c>
      <c r="AN36" s="19">
        <v>3.2722731493521499E-2</v>
      </c>
      <c r="AO36" s="18">
        <v>32796.1072263768</v>
      </c>
      <c r="AP36" s="19">
        <v>1.8844911993475901E-2</v>
      </c>
      <c r="AQ36" s="18">
        <v>21059.080989054401</v>
      </c>
      <c r="AR36" s="19">
        <v>-1.1228555047185799E-3</v>
      </c>
      <c r="AS36" s="18">
        <v>30107.1732571086</v>
      </c>
      <c r="AT36" s="19">
        <v>3.6033638121927301E-2</v>
      </c>
      <c r="AU36" s="18">
        <v>3355.7101895102801</v>
      </c>
      <c r="AV36" s="19">
        <v>5.5017530315300003E-2</v>
      </c>
      <c r="AW36" s="18">
        <v>6449.0763977447596</v>
      </c>
      <c r="AX36" s="19">
        <v>3.4485904494288497E-2</v>
      </c>
      <c r="AY36" s="18">
        <v>1672.7184853978099</v>
      </c>
      <c r="AZ36" s="19">
        <v>1.30791360328308E-2</v>
      </c>
      <c r="BA36" s="18">
        <v>19110.131931254899</v>
      </c>
      <c r="BB36" s="19">
        <v>5.34376939329788E-2</v>
      </c>
      <c r="BC36" s="18">
        <v>29825.291689034901</v>
      </c>
      <c r="BD36" s="19">
        <v>3.7187545381916397E-2</v>
      </c>
      <c r="BE36" s="18">
        <v>-10715.15975778</v>
      </c>
      <c r="BF36" s="19">
        <v>9.4170173146896907E-3</v>
      </c>
      <c r="BG36" s="18"/>
      <c r="BH36" s="19"/>
    </row>
    <row r="37" spans="1:60" x14ac:dyDescent="0.15">
      <c r="A37" s="17">
        <v>2005</v>
      </c>
      <c r="B37" s="17"/>
      <c r="C37" s="18">
        <v>528925.54515162006</v>
      </c>
      <c r="D37" s="19">
        <v>4.1465562071426397E-2</v>
      </c>
      <c r="E37" s="18">
        <v>509497.23684188799</v>
      </c>
      <c r="F37" s="19">
        <v>4.2435853087906303E-2</v>
      </c>
      <c r="G37" s="18">
        <v>4306.2556010949302</v>
      </c>
      <c r="H37" s="19">
        <v>-9.2246996295020298E-2</v>
      </c>
      <c r="I37" s="18">
        <v>623.44871844818101</v>
      </c>
      <c r="J37" s="19">
        <v>6.0881055435865E-2</v>
      </c>
      <c r="K37" s="18">
        <v>100211.27747591901</v>
      </c>
      <c r="L37" s="19">
        <v>5.5502464631621798E-2</v>
      </c>
      <c r="M37" s="18">
        <v>25797.051174705801</v>
      </c>
      <c r="N37" s="19">
        <v>6.8956802355101501E-2</v>
      </c>
      <c r="O37" s="18">
        <v>74414.226301213101</v>
      </c>
      <c r="P37" s="19">
        <v>5.0916985981139598E-2</v>
      </c>
      <c r="Q37" s="18">
        <v>8231.0254107074506</v>
      </c>
      <c r="R37" s="19">
        <v>3.1582852021339002E-2</v>
      </c>
      <c r="S37" s="18">
        <v>2900.5365043770698</v>
      </c>
      <c r="T37" s="19">
        <v>-1.00015163145029E-3</v>
      </c>
      <c r="U37" s="18">
        <v>24948.7928282555</v>
      </c>
      <c r="V37" s="19">
        <v>4.4110270356946299E-2</v>
      </c>
      <c r="W37" s="18">
        <v>83877.196709790805</v>
      </c>
      <c r="X37" s="19">
        <v>6.2904290599064203E-2</v>
      </c>
      <c r="Y37" s="18">
        <v>23702.277329062701</v>
      </c>
      <c r="Z37" s="19">
        <v>1.8931282103661601E-2</v>
      </c>
      <c r="AA37" s="18">
        <v>19220.2255779064</v>
      </c>
      <c r="AB37" s="19">
        <v>4.44488827710567E-2</v>
      </c>
      <c r="AC37" s="18">
        <v>11189.9613720426</v>
      </c>
      <c r="AD37" s="19">
        <v>2.06855628417646E-2</v>
      </c>
      <c r="AE37" s="18">
        <v>23499.712147321501</v>
      </c>
      <c r="AF37" s="19">
        <v>2.93973679350235E-2</v>
      </c>
      <c r="AG37" s="18">
        <v>56694.353990356998</v>
      </c>
      <c r="AH37" s="19">
        <v>4.3270210428378399E-2</v>
      </c>
      <c r="AI37" s="18">
        <v>34047.716962648701</v>
      </c>
      <c r="AJ37" s="19">
        <v>7.4356796907892903E-2</v>
      </c>
      <c r="AK37" s="18">
        <v>18123.602161276802</v>
      </c>
      <c r="AL37" s="19">
        <v>-1.09203360894488E-2</v>
      </c>
      <c r="AM37" s="18">
        <v>76297.009761536494</v>
      </c>
      <c r="AN37" s="19">
        <v>4.78082465045244E-2</v>
      </c>
      <c r="AO37" s="18">
        <v>33316.4612064795</v>
      </c>
      <c r="AP37" s="19">
        <v>1.5866333663044001E-2</v>
      </c>
      <c r="AQ37" s="18">
        <v>21404.705543959899</v>
      </c>
      <c r="AR37" s="19">
        <v>1.6412138548930401E-2</v>
      </c>
      <c r="AS37" s="18">
        <v>30762.989968172398</v>
      </c>
      <c r="AT37" s="19">
        <v>2.1782739464224501E-2</v>
      </c>
      <c r="AU37" s="18">
        <v>3692.9203858256001</v>
      </c>
      <c r="AV37" s="19">
        <v>0.10048847405518301</v>
      </c>
      <c r="AW37" s="18">
        <v>6609.2086247816396</v>
      </c>
      <c r="AX37" s="19">
        <v>2.4830257413739999E-2</v>
      </c>
      <c r="AY37" s="18">
        <v>1711.15501491237</v>
      </c>
      <c r="AZ37" s="19">
        <v>2.29784807486095E-2</v>
      </c>
      <c r="BA37" s="18">
        <v>19428.308309731401</v>
      </c>
      <c r="BB37" s="19">
        <v>1.6649617052410401E-2</v>
      </c>
      <c r="BC37" s="18">
        <v>30416.750141601398</v>
      </c>
      <c r="BD37" s="19">
        <v>1.9830768420745298E-2</v>
      </c>
      <c r="BE37" s="18">
        <v>-10988.441831870001</v>
      </c>
      <c r="BF37" s="19">
        <v>2.5504246345143599E-2</v>
      </c>
      <c r="BG37" s="18"/>
      <c r="BH37" s="19"/>
    </row>
    <row r="38" spans="1:60" x14ac:dyDescent="0.15">
      <c r="A38" s="17">
        <v>2006</v>
      </c>
      <c r="B38" s="17"/>
      <c r="C38" s="18">
        <v>561798.40179205895</v>
      </c>
      <c r="D38" s="19">
        <v>6.2150253361305002E-2</v>
      </c>
      <c r="E38" s="18">
        <v>540853.97910160804</v>
      </c>
      <c r="F38" s="19">
        <v>6.1544479522763297E-2</v>
      </c>
      <c r="G38" s="18">
        <v>4210.7193940994503</v>
      </c>
      <c r="H38" s="19">
        <v>-2.2185447368982401E-2</v>
      </c>
      <c r="I38" s="18">
        <v>614.72748930537898</v>
      </c>
      <c r="J38" s="19">
        <v>-1.3988687256443E-2</v>
      </c>
      <c r="K38" s="18">
        <v>108436.47754084101</v>
      </c>
      <c r="L38" s="19">
        <v>8.2078587082161605E-2</v>
      </c>
      <c r="M38" s="18">
        <v>28619.010301769998</v>
      </c>
      <c r="N38" s="19">
        <v>0.109390763616855</v>
      </c>
      <c r="O38" s="18">
        <v>79817.4672390708</v>
      </c>
      <c r="P38" s="19">
        <v>7.2610322063774796E-2</v>
      </c>
      <c r="Q38" s="18">
        <v>8889.2691375357808</v>
      </c>
      <c r="R38" s="19">
        <v>7.9971047832271297E-2</v>
      </c>
      <c r="S38" s="18">
        <v>3292.7587814222202</v>
      </c>
      <c r="T38" s="19">
        <v>0.13522404439774</v>
      </c>
      <c r="U38" s="18">
        <v>25321.653724272601</v>
      </c>
      <c r="V38" s="19">
        <v>1.49450475854214E-2</v>
      </c>
      <c r="W38" s="18">
        <v>91809.093207598402</v>
      </c>
      <c r="X38" s="19">
        <v>9.4565588848318602E-2</v>
      </c>
      <c r="Y38" s="18">
        <v>23979.246090344801</v>
      </c>
      <c r="Z38" s="19">
        <v>1.1685322782990899E-2</v>
      </c>
      <c r="AA38" s="18">
        <v>19864.0569289052</v>
      </c>
      <c r="AB38" s="19">
        <v>3.3497595977173097E-2</v>
      </c>
      <c r="AC38" s="18">
        <v>11689.3229626635</v>
      </c>
      <c r="AD38" s="19">
        <v>4.4625854729801497E-2</v>
      </c>
      <c r="AE38" s="18">
        <v>23932.556811865699</v>
      </c>
      <c r="AF38" s="19">
        <v>1.8419147512559901E-2</v>
      </c>
      <c r="AG38" s="18">
        <v>63236.541452883597</v>
      </c>
      <c r="AH38" s="19">
        <v>0.115393985504083</v>
      </c>
      <c r="AI38" s="18">
        <v>36898.328470717999</v>
      </c>
      <c r="AJ38" s="19">
        <v>8.3724013307456394E-2</v>
      </c>
      <c r="AK38" s="18">
        <v>20604.736850009798</v>
      </c>
      <c r="AL38" s="19">
        <v>0.136900747801354</v>
      </c>
      <c r="AM38" s="18">
        <v>79968.340967407305</v>
      </c>
      <c r="AN38" s="19">
        <v>4.8118939619592703E-2</v>
      </c>
      <c r="AO38" s="18">
        <v>34153.157053727198</v>
      </c>
      <c r="AP38" s="19">
        <v>2.5113587006202299E-2</v>
      </c>
      <c r="AQ38" s="18">
        <v>21516.578664180299</v>
      </c>
      <c r="AR38" s="19">
        <v>5.2265666533302096E-3</v>
      </c>
      <c r="AS38" s="18">
        <v>31421.137799529399</v>
      </c>
      <c r="AT38" s="19">
        <v>2.1394143808448202E-2</v>
      </c>
      <c r="AU38" s="18">
        <v>3881.1188168318499</v>
      </c>
      <c r="AV38" s="19">
        <v>5.0961951881931297E-2</v>
      </c>
      <c r="AW38" s="18">
        <v>6873.1933954382303</v>
      </c>
      <c r="AX38" s="19">
        <v>3.9941963651557902E-2</v>
      </c>
      <c r="AY38" s="18">
        <v>1743.2749731015001</v>
      </c>
      <c r="AZ38" s="19">
        <v>1.8770922510941802E-2</v>
      </c>
      <c r="BA38" s="18">
        <v>20944.4226904508</v>
      </c>
      <c r="BB38" s="19">
        <v>7.8036355844738101E-2</v>
      </c>
      <c r="BC38" s="18">
        <v>31945.309629620799</v>
      </c>
      <c r="BD38" s="19">
        <v>5.0253872649229897E-2</v>
      </c>
      <c r="BE38" s="18">
        <v>-11000.886939169999</v>
      </c>
      <c r="BF38" s="19">
        <v>1.13256342349732E-3</v>
      </c>
      <c r="BG38" s="18"/>
      <c r="BH38" s="19"/>
    </row>
    <row r="39" spans="1:60" x14ac:dyDescent="0.15">
      <c r="A39" s="17">
        <v>2007</v>
      </c>
      <c r="B39" s="17"/>
      <c r="C39" s="18">
        <v>599714.44393981202</v>
      </c>
      <c r="D39" s="19">
        <v>6.7490477058685494E-2</v>
      </c>
      <c r="E39" s="18">
        <v>577215.67059419304</v>
      </c>
      <c r="F39" s="19">
        <v>6.7230145099392E-2</v>
      </c>
      <c r="G39" s="18">
        <v>4616.2477272576098</v>
      </c>
      <c r="H39" s="19">
        <v>9.63085627901097E-2</v>
      </c>
      <c r="I39" s="18">
        <v>628.44328845177199</v>
      </c>
      <c r="J39" s="19">
        <v>2.23119990321092E-2</v>
      </c>
      <c r="K39" s="18">
        <v>116733.68287345</v>
      </c>
      <c r="L39" s="19">
        <v>7.6516736072362201E-2</v>
      </c>
      <c r="M39" s="18">
        <v>31136.262130610801</v>
      </c>
      <c r="N39" s="19">
        <v>8.7957333335357796E-2</v>
      </c>
      <c r="O39" s="18">
        <v>85597.420742839196</v>
      </c>
      <c r="P39" s="19">
        <v>7.2414644359186903E-2</v>
      </c>
      <c r="Q39" s="18">
        <v>9243.5536147872699</v>
      </c>
      <c r="R39" s="19">
        <v>3.9855298761907597E-2</v>
      </c>
      <c r="S39" s="18">
        <v>3479.9412191372899</v>
      </c>
      <c r="T39" s="19">
        <v>5.6846690006918901E-2</v>
      </c>
      <c r="U39" s="18">
        <v>25716.231365612301</v>
      </c>
      <c r="V39" s="19">
        <v>1.5582617377057901E-2</v>
      </c>
      <c r="W39" s="18">
        <v>99061.951124690793</v>
      </c>
      <c r="X39" s="19">
        <v>7.8999341608703796E-2</v>
      </c>
      <c r="Y39" s="18">
        <v>24720.845930187701</v>
      </c>
      <c r="Z39" s="19">
        <v>3.0926737106280501E-2</v>
      </c>
      <c r="AA39" s="18">
        <v>20660.4562207005</v>
      </c>
      <c r="AB39" s="19">
        <v>4.0092479328149001E-2</v>
      </c>
      <c r="AC39" s="18">
        <v>12307.808979090099</v>
      </c>
      <c r="AD39" s="19">
        <v>5.29103369290145E-2</v>
      </c>
      <c r="AE39" s="18">
        <v>24237.200502635998</v>
      </c>
      <c r="AF39" s="19">
        <v>1.27292580214105E-2</v>
      </c>
      <c r="AG39" s="18">
        <v>72047.733564432201</v>
      </c>
      <c r="AH39" s="19">
        <v>0.13933703376415099</v>
      </c>
      <c r="AI39" s="18">
        <v>40242.315510355897</v>
      </c>
      <c r="AJ39" s="19">
        <v>9.0627060309565993E-2</v>
      </c>
      <c r="AK39" s="18">
        <v>24920.177455072098</v>
      </c>
      <c r="AL39" s="19">
        <v>0.20943924867743199</v>
      </c>
      <c r="AM39" s="18">
        <v>85013.051136722104</v>
      </c>
      <c r="AN39" s="19">
        <v>6.3083841783973901E-2</v>
      </c>
      <c r="AO39" s="18">
        <v>35637.443883560998</v>
      </c>
      <c r="AP39" s="19">
        <v>4.3459725480102997E-2</v>
      </c>
      <c r="AQ39" s="18">
        <v>22018.664301609999</v>
      </c>
      <c r="AR39" s="19">
        <v>2.3334826845195802E-2</v>
      </c>
      <c r="AS39" s="18">
        <v>32794.474810253101</v>
      </c>
      <c r="AT39" s="19">
        <v>4.3707424584232997E-2</v>
      </c>
      <c r="AU39" s="18">
        <v>4071.6252839162698</v>
      </c>
      <c r="AV39" s="19">
        <v>4.9085450890661499E-2</v>
      </c>
      <c r="AW39" s="18">
        <v>7132.9416459762497</v>
      </c>
      <c r="AX39" s="19">
        <v>3.7791494519914703E-2</v>
      </c>
      <c r="AY39" s="18">
        <v>1814.21905190855</v>
      </c>
      <c r="AZ39" s="19">
        <v>4.0695862615883101E-2</v>
      </c>
      <c r="BA39" s="18">
        <v>22498.773345619298</v>
      </c>
      <c r="BB39" s="19">
        <v>7.4213105710341204E-2</v>
      </c>
      <c r="BC39" s="18">
        <v>33288.364355129299</v>
      </c>
      <c r="BD39" s="19">
        <v>4.2042313600340699E-2</v>
      </c>
      <c r="BE39" s="18">
        <v>-10789.591009510001</v>
      </c>
      <c r="BF39" s="19">
        <v>-1.9207172187876501E-2</v>
      </c>
      <c r="BG39" s="18"/>
      <c r="BH39" s="19"/>
    </row>
    <row r="40" spans="1:60" x14ac:dyDescent="0.15">
      <c r="A40" s="17">
        <v>2008</v>
      </c>
      <c r="B40" s="17"/>
      <c r="C40" s="18">
        <v>621907.34827830095</v>
      </c>
      <c r="D40" s="19">
        <v>3.70057859415431E-2</v>
      </c>
      <c r="E40" s="18">
        <v>599117.896663883</v>
      </c>
      <c r="F40" s="19">
        <v>3.79446144404623E-2</v>
      </c>
      <c r="G40" s="18">
        <v>4866.9138232437699</v>
      </c>
      <c r="H40" s="19">
        <v>5.4300832796741999E-2</v>
      </c>
      <c r="I40" s="18">
        <v>612.71915002065896</v>
      </c>
      <c r="J40" s="19">
        <v>-2.5020775494079699E-2</v>
      </c>
      <c r="K40" s="18">
        <v>122266.675933626</v>
      </c>
      <c r="L40" s="19">
        <v>4.7398427977079598E-2</v>
      </c>
      <c r="M40" s="18">
        <v>31935.860530957601</v>
      </c>
      <c r="N40" s="19">
        <v>2.5680616285689101E-2</v>
      </c>
      <c r="O40" s="18">
        <v>90330.815402668799</v>
      </c>
      <c r="P40" s="19">
        <v>5.5298332809001302E-2</v>
      </c>
      <c r="Q40" s="18">
        <v>9535.5082341372308</v>
      </c>
      <c r="R40" s="19">
        <v>3.1584673115640401E-2</v>
      </c>
      <c r="S40" s="18">
        <v>3672.7170578932401</v>
      </c>
      <c r="T40" s="19">
        <v>5.5396291666024701E-2</v>
      </c>
      <c r="U40" s="18">
        <v>26581.719592777299</v>
      </c>
      <c r="V40" s="19">
        <v>3.3655328996702802E-2</v>
      </c>
      <c r="W40" s="18">
        <v>107056.594151296</v>
      </c>
      <c r="X40" s="19">
        <v>8.0703468242232998E-2</v>
      </c>
      <c r="Y40" s="18">
        <v>25872.687233177701</v>
      </c>
      <c r="Z40" s="19">
        <v>4.6593927499195303E-2</v>
      </c>
      <c r="AA40" s="18">
        <v>21618.759233922799</v>
      </c>
      <c r="AB40" s="19">
        <v>4.6383439116032002E-2</v>
      </c>
      <c r="AC40" s="18">
        <v>12951.373164029001</v>
      </c>
      <c r="AD40" s="19">
        <v>5.2289094349147199E-2</v>
      </c>
      <c r="AE40" s="18">
        <v>25210.959502308098</v>
      </c>
      <c r="AF40" s="19">
        <v>4.0176215877992603E-2</v>
      </c>
      <c r="AG40" s="18">
        <v>64159.422995740497</v>
      </c>
      <c r="AH40" s="19">
        <v>-0.10948728264487601</v>
      </c>
      <c r="AI40" s="18">
        <v>35845.569544021702</v>
      </c>
      <c r="AJ40" s="19">
        <v>-0.109256783825045</v>
      </c>
      <c r="AK40" s="18">
        <v>22324.573801347098</v>
      </c>
      <c r="AL40" s="19">
        <v>-0.10415670829008</v>
      </c>
      <c r="AM40" s="18">
        <v>91526.847684982204</v>
      </c>
      <c r="AN40" s="19">
        <v>7.66211359451658E-2</v>
      </c>
      <c r="AO40" s="18">
        <v>37213.122920094604</v>
      </c>
      <c r="AP40" s="19">
        <v>4.4214142902107498E-2</v>
      </c>
      <c r="AQ40" s="18">
        <v>23641.3683501005</v>
      </c>
      <c r="AR40" s="19">
        <v>7.3696752276288593E-2</v>
      </c>
      <c r="AS40" s="18">
        <v>34738.894521583403</v>
      </c>
      <c r="AT40" s="19">
        <v>5.9291076395660398E-2</v>
      </c>
      <c r="AU40" s="18">
        <v>4064.3405952899702</v>
      </c>
      <c r="AV40" s="19">
        <v>-1.78913532516767E-3</v>
      </c>
      <c r="AW40" s="18">
        <v>7450.4671286808398</v>
      </c>
      <c r="AX40" s="19">
        <v>4.4515362449896401E-2</v>
      </c>
      <c r="AY40" s="18">
        <v>1949.4926241559799</v>
      </c>
      <c r="AZ40" s="19">
        <v>7.4562976342425605E-2</v>
      </c>
      <c r="BA40" s="18">
        <v>22789.4516144183</v>
      </c>
      <c r="BB40" s="19">
        <v>1.2919738526790099E-2</v>
      </c>
      <c r="BC40" s="18">
        <v>34125.441076998301</v>
      </c>
      <c r="BD40" s="19">
        <v>2.5146225658273701E-2</v>
      </c>
      <c r="BE40" s="18">
        <v>-11335.989462580001</v>
      </c>
      <c r="BF40" s="19">
        <v>5.06412571698414E-2</v>
      </c>
      <c r="BG40" s="18"/>
      <c r="BH40" s="19"/>
    </row>
    <row r="41" spans="1:60" x14ac:dyDescent="0.15">
      <c r="A41" s="17">
        <v>2009</v>
      </c>
      <c r="B41" s="17"/>
      <c r="C41" s="18">
        <v>613867.43385184498</v>
      </c>
      <c r="D41" s="19">
        <v>-1.2927833138993001E-2</v>
      </c>
      <c r="E41" s="18">
        <v>592587.332059009</v>
      </c>
      <c r="F41" s="19">
        <v>-1.0900299659279401E-2</v>
      </c>
      <c r="G41" s="18">
        <v>4424.7325581202704</v>
      </c>
      <c r="H41" s="19">
        <v>-9.0854549963818504E-2</v>
      </c>
      <c r="I41" s="18">
        <v>658.117305966348</v>
      </c>
      <c r="J41" s="19">
        <v>7.4092928128912702E-2</v>
      </c>
      <c r="K41" s="18">
        <v>112365.140599563</v>
      </c>
      <c r="L41" s="19">
        <v>-8.0983107281321701E-2</v>
      </c>
      <c r="M41" s="18">
        <v>31789.814127907601</v>
      </c>
      <c r="N41" s="19">
        <v>-4.5731162593369802E-3</v>
      </c>
      <c r="O41" s="18">
        <v>80575.326471655397</v>
      </c>
      <c r="P41" s="19">
        <v>-0.107997352703242</v>
      </c>
      <c r="Q41" s="18">
        <v>10233.642929449499</v>
      </c>
      <c r="R41" s="19">
        <v>7.3214209266047006E-2</v>
      </c>
      <c r="S41" s="18">
        <v>3139.0919199400901</v>
      </c>
      <c r="T41" s="19">
        <v>-0.14529437730747799</v>
      </c>
      <c r="U41" s="18">
        <v>26986.912137967101</v>
      </c>
      <c r="V41" s="19">
        <v>1.52432781399099E-2</v>
      </c>
      <c r="W41" s="18">
        <v>104426.353792312</v>
      </c>
      <c r="X41" s="19">
        <v>-2.45686907923377E-2</v>
      </c>
      <c r="Y41" s="18">
        <v>26224.119490454399</v>
      </c>
      <c r="Z41" s="19">
        <v>1.35831370784754E-2</v>
      </c>
      <c r="AA41" s="18">
        <v>21361.499131033401</v>
      </c>
      <c r="AB41" s="19">
        <v>-1.18998551260879E-2</v>
      </c>
      <c r="AC41" s="18">
        <v>12722.211746721599</v>
      </c>
      <c r="AD41" s="19">
        <v>-1.7693986143790599E-2</v>
      </c>
      <c r="AE41" s="18">
        <v>25539.262985381501</v>
      </c>
      <c r="AF41" s="19">
        <v>1.3022252605790201E-2</v>
      </c>
      <c r="AG41" s="18">
        <v>62183.764844420002</v>
      </c>
      <c r="AH41" s="19">
        <v>-3.07929538495334E-2</v>
      </c>
      <c r="AI41" s="18">
        <v>34287.362316803599</v>
      </c>
      <c r="AJ41" s="19">
        <v>-4.3470008903178203E-2</v>
      </c>
      <c r="AK41" s="18">
        <v>22544.865975557099</v>
      </c>
      <c r="AL41" s="19">
        <v>9.8676989836516994E-3</v>
      </c>
      <c r="AM41" s="18">
        <v>94331.330784108402</v>
      </c>
      <c r="AN41" s="19">
        <v>3.06410978861489E-2</v>
      </c>
      <c r="AO41" s="18">
        <v>38978.730397102903</v>
      </c>
      <c r="AP41" s="19">
        <v>4.7445829279081801E-2</v>
      </c>
      <c r="AQ41" s="18">
        <v>24812.141106352599</v>
      </c>
      <c r="AR41" s="19">
        <v>4.952220780601E-2</v>
      </c>
      <c r="AS41" s="18">
        <v>36303.654051459802</v>
      </c>
      <c r="AT41" s="19">
        <v>4.5043446299196703E-2</v>
      </c>
      <c r="AU41" s="18">
        <v>4501.2559028104097</v>
      </c>
      <c r="AV41" s="19">
        <v>0.107499678552228</v>
      </c>
      <c r="AW41" s="18">
        <v>7684.1150017631398</v>
      </c>
      <c r="AX41" s="19">
        <v>3.1360164275185697E-2</v>
      </c>
      <c r="AY41" s="18">
        <v>1935.37486453724</v>
      </c>
      <c r="AZ41" s="19">
        <v>-7.2417609811964399E-3</v>
      </c>
      <c r="BA41" s="18">
        <v>21280.1017928359</v>
      </c>
      <c r="BB41" s="19">
        <v>-6.6230194877853102E-2</v>
      </c>
      <c r="BC41" s="18">
        <v>33326.372562585901</v>
      </c>
      <c r="BD41" s="19">
        <v>-2.3415624507515401E-2</v>
      </c>
      <c r="BE41" s="18">
        <v>-12046.270769750001</v>
      </c>
      <c r="BF41" s="19">
        <v>6.2657195431826004E-2</v>
      </c>
      <c r="BG41" s="18"/>
      <c r="BH41" s="19"/>
    </row>
    <row r="42" spans="1:60" x14ac:dyDescent="0.15">
      <c r="A42" s="17">
        <v>2010</v>
      </c>
      <c r="B42" s="17"/>
      <c r="C42" s="18">
        <v>634697.16699832503</v>
      </c>
      <c r="D42" s="19">
        <v>3.3931972927411201E-2</v>
      </c>
      <c r="E42" s="18">
        <v>612166.29756470001</v>
      </c>
      <c r="F42" s="19">
        <v>3.3039797590106397E-2</v>
      </c>
      <c r="G42" s="18">
        <v>4204.5511661872297</v>
      </c>
      <c r="H42" s="19">
        <v>-4.9761514179870202E-2</v>
      </c>
      <c r="I42" s="18">
        <v>709.66623802361698</v>
      </c>
      <c r="J42" s="19">
        <v>7.8327878008885604E-2</v>
      </c>
      <c r="K42" s="18">
        <v>116524.912988178</v>
      </c>
      <c r="L42" s="19">
        <v>3.7020132457625102E-2</v>
      </c>
      <c r="M42" s="18">
        <v>32319.153341583398</v>
      </c>
      <c r="N42" s="19">
        <v>1.6651220782418302E-2</v>
      </c>
      <c r="O42" s="18">
        <v>84205.759646595106</v>
      </c>
      <c r="P42" s="19">
        <v>4.5056388027379303E-2</v>
      </c>
      <c r="Q42" s="18">
        <v>9844.0260812548895</v>
      </c>
      <c r="R42" s="19">
        <v>-3.8072155817882099E-2</v>
      </c>
      <c r="S42" s="18">
        <v>3225.5790774693701</v>
      </c>
      <c r="T42" s="19">
        <v>2.75516486089173E-2</v>
      </c>
      <c r="U42" s="18">
        <v>28373.964428909101</v>
      </c>
      <c r="V42" s="19">
        <v>5.1397221136337601E-2</v>
      </c>
      <c r="W42" s="18">
        <v>113390.80363048099</v>
      </c>
      <c r="X42" s="19">
        <v>8.5844707898143496E-2</v>
      </c>
      <c r="Y42" s="18">
        <v>26848.706335412899</v>
      </c>
      <c r="Z42" s="19">
        <v>2.3817266588714199E-2</v>
      </c>
      <c r="AA42" s="18">
        <v>22234.594313220001</v>
      </c>
      <c r="AB42" s="19">
        <v>4.0872374023515103E-2</v>
      </c>
      <c r="AC42" s="18">
        <v>13015.894100113301</v>
      </c>
      <c r="AD42" s="19">
        <v>2.30842214575919E-2</v>
      </c>
      <c r="AE42" s="18">
        <v>26458.875309773401</v>
      </c>
      <c r="AF42" s="19">
        <v>3.6007786321722697E-2</v>
      </c>
      <c r="AG42" s="18">
        <v>60831.668072013301</v>
      </c>
      <c r="AH42" s="19">
        <v>-2.17435656362963E-2</v>
      </c>
      <c r="AI42" s="18">
        <v>33272.383521951699</v>
      </c>
      <c r="AJ42" s="19">
        <v>-2.96021252808473E-2</v>
      </c>
      <c r="AK42" s="18">
        <v>21849.8556157479</v>
      </c>
      <c r="AL42" s="19">
        <v>-3.08278772010749E-2</v>
      </c>
      <c r="AM42" s="18">
        <v>97151.520477457903</v>
      </c>
      <c r="AN42" s="19">
        <v>2.9896638475332301E-2</v>
      </c>
      <c r="AO42" s="18">
        <v>40091.776085803198</v>
      </c>
      <c r="AP42" s="19">
        <v>2.8555206323060699E-2</v>
      </c>
      <c r="AQ42" s="18">
        <v>24985.391937145399</v>
      </c>
      <c r="AR42" s="19">
        <v>6.9825022375211701E-3</v>
      </c>
      <c r="AS42" s="18">
        <v>37208.332591872997</v>
      </c>
      <c r="AT42" s="19">
        <v>2.4919765352844101E-2</v>
      </c>
      <c r="AU42" s="18">
        <v>4262.7639779288502</v>
      </c>
      <c r="AV42" s="19">
        <v>-5.2983418412771197E-2</v>
      </c>
      <c r="AW42" s="18">
        <v>7737.5807291605297</v>
      </c>
      <c r="AX42" s="19">
        <v>6.9579551301777202E-3</v>
      </c>
      <c r="AY42" s="18">
        <v>1914.39635970733</v>
      </c>
      <c r="AZ42" s="19">
        <v>-1.0839504642904001E-2</v>
      </c>
      <c r="BA42" s="18">
        <v>22530.869433625401</v>
      </c>
      <c r="BB42" s="19">
        <v>5.8776393692371302E-2</v>
      </c>
      <c r="BC42" s="18">
        <v>34625.396103025399</v>
      </c>
      <c r="BD42" s="19">
        <v>3.8978845897492502E-2</v>
      </c>
      <c r="BE42" s="18">
        <v>-12094.5266694</v>
      </c>
      <c r="BF42" s="19">
        <v>4.0058787132011301E-3</v>
      </c>
      <c r="BG42" s="18"/>
      <c r="BH42" s="19"/>
    </row>
    <row r="43" spans="1:60" x14ac:dyDescent="0.15">
      <c r="A43" s="17">
        <v>2011</v>
      </c>
      <c r="B43" s="17"/>
      <c r="C43" s="18">
        <v>646559.38541983697</v>
      </c>
      <c r="D43" s="19">
        <v>1.86895720326141E-2</v>
      </c>
      <c r="E43" s="18">
        <v>624153.653047033</v>
      </c>
      <c r="F43" s="19">
        <v>1.9581861219771301E-2</v>
      </c>
      <c r="G43" s="18">
        <v>4365.7568120740998</v>
      </c>
      <c r="H43" s="19">
        <v>3.8340750181200998E-2</v>
      </c>
      <c r="I43" s="18">
        <v>695.90147704504102</v>
      </c>
      <c r="J43" s="19">
        <v>-1.9396105156292101E-2</v>
      </c>
      <c r="K43" s="18">
        <v>120824.977659178</v>
      </c>
      <c r="L43" s="19">
        <v>3.6902534923458602E-2</v>
      </c>
      <c r="M43" s="18">
        <v>31076.296967365</v>
      </c>
      <c r="N43" s="19">
        <v>-3.8455721939327697E-2</v>
      </c>
      <c r="O43" s="18">
        <v>89748.680691812697</v>
      </c>
      <c r="P43" s="19">
        <v>6.5825913434910593E-2</v>
      </c>
      <c r="Q43" s="18">
        <v>9516.6856283213292</v>
      </c>
      <c r="R43" s="19">
        <v>-3.3252700697013499E-2</v>
      </c>
      <c r="S43" s="18">
        <v>3254.7092405799599</v>
      </c>
      <c r="T43" s="19">
        <v>9.0309871223011005E-3</v>
      </c>
      <c r="U43" s="18">
        <v>29668.679336071302</v>
      </c>
      <c r="V43" s="19">
        <v>4.5630384516978303E-2</v>
      </c>
      <c r="W43" s="18">
        <v>110037.80869708399</v>
      </c>
      <c r="X43" s="19">
        <v>-2.9570254606575301E-2</v>
      </c>
      <c r="Y43" s="18">
        <v>26031.392877617702</v>
      </c>
      <c r="Z43" s="19">
        <v>-3.0441446510856798E-2</v>
      </c>
      <c r="AA43" s="18">
        <v>23100.5496697856</v>
      </c>
      <c r="AB43" s="19">
        <v>3.8946307918499498E-2</v>
      </c>
      <c r="AC43" s="18">
        <v>13116.5948702264</v>
      </c>
      <c r="AD43" s="19">
        <v>7.7367539516333102E-3</v>
      </c>
      <c r="AE43" s="18">
        <v>26714.488388239599</v>
      </c>
      <c r="AF43" s="19">
        <v>9.6607688525513994E-3</v>
      </c>
      <c r="AG43" s="18">
        <v>62040.758662982298</v>
      </c>
      <c r="AH43" s="19">
        <v>1.9876005858292502E-2</v>
      </c>
      <c r="AI43" s="18">
        <v>32073.536900522398</v>
      </c>
      <c r="AJ43" s="19">
        <v>-3.6031281637469499E-2</v>
      </c>
      <c r="AK43" s="18">
        <v>23935.659130776701</v>
      </c>
      <c r="AL43" s="19">
        <v>9.5460745906505801E-2</v>
      </c>
      <c r="AM43" s="18">
        <v>100730.220397725</v>
      </c>
      <c r="AN43" s="19">
        <v>3.6836272892895303E-2</v>
      </c>
      <c r="AO43" s="18">
        <v>41232.6676530892</v>
      </c>
      <c r="AP43" s="19">
        <v>2.84569973863056E-2</v>
      </c>
      <c r="AQ43" s="18">
        <v>25749.565165793101</v>
      </c>
      <c r="AR43" s="19">
        <v>3.0584800533451299E-2</v>
      </c>
      <c r="AS43" s="18">
        <v>38346.119407799903</v>
      </c>
      <c r="AT43" s="19">
        <v>3.0578817610749098E-2</v>
      </c>
      <c r="AU43" s="18">
        <v>4745.8286850143504</v>
      </c>
      <c r="AV43" s="19">
        <v>0.113321945476373</v>
      </c>
      <c r="AW43" s="18">
        <v>8108.6122981812996</v>
      </c>
      <c r="AX43" s="19">
        <v>4.7951883412661302E-2</v>
      </c>
      <c r="AY43" s="18">
        <v>1903.7289978428701</v>
      </c>
      <c r="AZ43" s="19">
        <v>-5.5721803953305803E-3</v>
      </c>
      <c r="BA43" s="18">
        <v>22405.732372803901</v>
      </c>
      <c r="BB43" s="19">
        <v>-5.5540271621631297E-3</v>
      </c>
      <c r="BC43" s="18">
        <v>35366.327132663901</v>
      </c>
      <c r="BD43" s="19">
        <v>2.1398485303501399E-2</v>
      </c>
      <c r="BE43" s="18">
        <v>-12960.59475986</v>
      </c>
      <c r="BF43" s="19">
        <v>7.1608266626193504E-2</v>
      </c>
      <c r="BG43" s="18"/>
      <c r="BH43" s="19"/>
    </row>
    <row r="44" spans="1:60" x14ac:dyDescent="0.15">
      <c r="A44" s="17">
        <v>2012</v>
      </c>
      <c r="B44" s="17"/>
      <c r="C44" s="18">
        <v>653821.908725132</v>
      </c>
      <c r="D44" s="19">
        <v>1.12325696124254E-2</v>
      </c>
      <c r="E44" s="18">
        <v>632638.88713511603</v>
      </c>
      <c r="F44" s="19">
        <v>1.35947839873396E-2</v>
      </c>
      <c r="G44" s="18">
        <v>4146.9568929627203</v>
      </c>
      <c r="H44" s="19">
        <v>-5.0117294327126999E-2</v>
      </c>
      <c r="I44" s="18">
        <v>690.653624571215</v>
      </c>
      <c r="J44" s="19">
        <v>-7.5410854078204999E-3</v>
      </c>
      <c r="K44" s="18">
        <v>120033.005896324</v>
      </c>
      <c r="L44" s="19">
        <v>-6.5547023322274399E-3</v>
      </c>
      <c r="M44" s="18">
        <v>32172.969034735299</v>
      </c>
      <c r="N44" s="19">
        <v>3.5289663646925998E-2</v>
      </c>
      <c r="O44" s="18">
        <v>87860.036861588495</v>
      </c>
      <c r="P44" s="19">
        <v>-2.1043694633346301E-2</v>
      </c>
      <c r="Q44" s="18">
        <v>10284.4004367041</v>
      </c>
      <c r="R44" s="19">
        <v>8.0670397065352395E-2</v>
      </c>
      <c r="S44" s="18">
        <v>2720.4924278305998</v>
      </c>
      <c r="T44" s="19">
        <v>-0.16413657050795999</v>
      </c>
      <c r="U44" s="18">
        <v>30103.233458634699</v>
      </c>
      <c r="V44" s="19">
        <v>1.46468980853853E-2</v>
      </c>
      <c r="W44" s="18">
        <v>110891.89225155101</v>
      </c>
      <c r="X44" s="19">
        <v>7.7617281240012197E-3</v>
      </c>
      <c r="Y44" s="18">
        <v>25657.6607552717</v>
      </c>
      <c r="Z44" s="19">
        <v>-1.4356977519528E-2</v>
      </c>
      <c r="AA44" s="18">
        <v>23754.284727000701</v>
      </c>
      <c r="AB44" s="19">
        <v>2.8299545532901999E-2</v>
      </c>
      <c r="AC44" s="18">
        <v>12705.2585652872</v>
      </c>
      <c r="AD44" s="19">
        <v>-3.1359991599106699E-2</v>
      </c>
      <c r="AE44" s="18">
        <v>27226.381932645301</v>
      </c>
      <c r="AF44" s="19">
        <v>1.91616450581573E-2</v>
      </c>
      <c r="AG44" s="18">
        <v>63176.230103526403</v>
      </c>
      <c r="AH44" s="19">
        <v>1.8302023782657901E-2</v>
      </c>
      <c r="AI44" s="18">
        <v>32153.848071530701</v>
      </c>
      <c r="AJ44" s="19">
        <v>2.50396990071278E-3</v>
      </c>
      <c r="AK44" s="18">
        <v>24929.772785420901</v>
      </c>
      <c r="AL44" s="19">
        <v>4.15327461513679E-2</v>
      </c>
      <c r="AM44" s="18">
        <v>103195.801353285</v>
      </c>
      <c r="AN44" s="19">
        <v>2.4477072975957598E-2</v>
      </c>
      <c r="AO44" s="18">
        <v>41747.754147102503</v>
      </c>
      <c r="AP44" s="19">
        <v>1.24921942559482E-2</v>
      </c>
      <c r="AQ44" s="18">
        <v>26031.866630711</v>
      </c>
      <c r="AR44" s="19">
        <v>1.0963348821631001E-2</v>
      </c>
      <c r="AS44" s="18">
        <v>41719.759661055097</v>
      </c>
      <c r="AT44" s="19">
        <v>8.7978661344515499E-2</v>
      </c>
      <c r="AU44" s="18">
        <v>4078.3740870603101</v>
      </c>
      <c r="AV44" s="19">
        <v>-0.14064026374606201</v>
      </c>
      <c r="AW44" s="18">
        <v>8149.42859191762</v>
      </c>
      <c r="AX44" s="19">
        <v>5.03369654823405E-3</v>
      </c>
      <c r="AY44" s="18">
        <v>1983.1123469471099</v>
      </c>
      <c r="AZ44" s="19">
        <v>4.1698870581994299E-2</v>
      </c>
      <c r="BA44" s="18">
        <v>21183.0215900156</v>
      </c>
      <c r="BB44" s="19">
        <v>-5.4571337479349703E-2</v>
      </c>
      <c r="BC44" s="18">
        <v>35243.691806225601</v>
      </c>
      <c r="BD44" s="19">
        <v>-3.46757315166646E-3</v>
      </c>
      <c r="BE44" s="18">
        <v>-14060.670216209999</v>
      </c>
      <c r="BF44" s="19">
        <v>8.4878470219362095E-2</v>
      </c>
      <c r="BG44" s="18"/>
      <c r="BH44" s="19"/>
    </row>
    <row r="45" spans="1:60" x14ac:dyDescent="0.15">
      <c r="A45" s="17">
        <v>2013</v>
      </c>
      <c r="B45" s="17"/>
      <c r="C45" s="18">
        <v>667217.18351855502</v>
      </c>
      <c r="D45" s="19">
        <v>2.0487650558455299E-2</v>
      </c>
      <c r="E45" s="18">
        <v>645786.804502827</v>
      </c>
      <c r="F45" s="19">
        <v>2.0782657587253801E-2</v>
      </c>
      <c r="G45" s="18">
        <v>4400.3502851848198</v>
      </c>
      <c r="H45" s="19">
        <v>6.11034545963327E-2</v>
      </c>
      <c r="I45" s="18">
        <v>712.46137123262395</v>
      </c>
      <c r="J45" s="19">
        <v>3.1575519023661097E-2</v>
      </c>
      <c r="K45" s="18">
        <v>122708.380734381</v>
      </c>
      <c r="L45" s="19">
        <v>2.2288659840509002E-2</v>
      </c>
      <c r="M45" s="18">
        <v>33729.216771851599</v>
      </c>
      <c r="N45" s="19">
        <v>4.8371281352246102E-2</v>
      </c>
      <c r="O45" s="18">
        <v>88979.163962529201</v>
      </c>
      <c r="P45" s="19">
        <v>1.27376124676988E-2</v>
      </c>
      <c r="Q45" s="18">
        <v>10200.5392530711</v>
      </c>
      <c r="R45" s="19">
        <v>-8.1542122118970495E-3</v>
      </c>
      <c r="S45" s="18">
        <v>2821.46539795832</v>
      </c>
      <c r="T45" s="19">
        <v>3.7115696075742603E-2</v>
      </c>
      <c r="U45" s="18">
        <v>30934.062144303101</v>
      </c>
      <c r="V45" s="19">
        <v>2.7599317090306798E-2</v>
      </c>
      <c r="W45" s="18">
        <v>110391.888067887</v>
      </c>
      <c r="X45" s="19">
        <v>-4.5089336425935302E-3</v>
      </c>
      <c r="Y45" s="18">
        <v>25688.502517687</v>
      </c>
      <c r="Z45" s="19">
        <v>1.20204888159514E-3</v>
      </c>
      <c r="AA45" s="18">
        <v>23558.5849868896</v>
      </c>
      <c r="AB45" s="19">
        <v>-8.2385027526717895E-3</v>
      </c>
      <c r="AC45" s="18">
        <v>13050.0483349443</v>
      </c>
      <c r="AD45" s="19">
        <v>2.7137564173556099E-2</v>
      </c>
      <c r="AE45" s="18">
        <v>27820.6124180931</v>
      </c>
      <c r="AF45" s="19">
        <v>2.1825539908969498E-2</v>
      </c>
      <c r="AG45" s="18">
        <v>64551.165513265798</v>
      </c>
      <c r="AH45" s="19">
        <v>2.1763492495299599E-2</v>
      </c>
      <c r="AI45" s="18">
        <v>32828.289017903102</v>
      </c>
      <c r="AJ45" s="19">
        <v>2.0975434880204299E-2</v>
      </c>
      <c r="AK45" s="18">
        <v>25258.056437219198</v>
      </c>
      <c r="AL45" s="19">
        <v>1.3168337097328999E-2</v>
      </c>
      <c r="AM45" s="18">
        <v>106986.14001868801</v>
      </c>
      <c r="AN45" s="19">
        <v>3.6729582169989998E-2</v>
      </c>
      <c r="AO45" s="18">
        <v>42700.997538299802</v>
      </c>
      <c r="AP45" s="19">
        <v>2.28334053093819E-2</v>
      </c>
      <c r="AQ45" s="18">
        <v>26451.519055070599</v>
      </c>
      <c r="AR45" s="19">
        <v>1.6120719666891499E-2</v>
      </c>
      <c r="AS45" s="18">
        <v>43807.841173031797</v>
      </c>
      <c r="AT45" s="19">
        <v>5.0050180752261302E-2</v>
      </c>
      <c r="AU45" s="18">
        <v>4402.4444909382501</v>
      </c>
      <c r="AV45" s="19">
        <v>7.9460686283325602E-2</v>
      </c>
      <c r="AW45" s="18">
        <v>8334.4438197131094</v>
      </c>
      <c r="AX45" s="19">
        <v>2.27028466730772E-2</v>
      </c>
      <c r="AY45" s="18">
        <v>1953.8598998744001</v>
      </c>
      <c r="AZ45" s="19">
        <v>-1.47507765345438E-2</v>
      </c>
      <c r="BA45" s="18">
        <v>21430.379015727802</v>
      </c>
      <c r="BB45" s="19">
        <v>1.16771549639896E-2</v>
      </c>
      <c r="BC45" s="18">
        <v>35570.321188837799</v>
      </c>
      <c r="BD45" s="19">
        <v>9.2677402925891404E-3</v>
      </c>
      <c r="BE45" s="18">
        <v>-14139.942173109999</v>
      </c>
      <c r="BF45" s="19">
        <v>5.6378505207108597E-3</v>
      </c>
      <c r="BG45" s="18"/>
      <c r="BH45" s="19"/>
    </row>
    <row r="46" spans="1:60" x14ac:dyDescent="0.15">
      <c r="A46" s="17">
        <v>2014</v>
      </c>
      <c r="B46" s="17"/>
      <c r="C46" s="18">
        <v>678413.55634915095</v>
      </c>
      <c r="D46" s="19">
        <v>1.6780702156907999E-2</v>
      </c>
      <c r="E46" s="18">
        <v>656872.65635881701</v>
      </c>
      <c r="F46" s="19">
        <v>1.71664267196114E-2</v>
      </c>
      <c r="G46" s="18">
        <v>4781.6096152610598</v>
      </c>
      <c r="H46" s="19">
        <v>8.6642950076014399E-2</v>
      </c>
      <c r="I46" s="18">
        <v>675.12244289575801</v>
      </c>
      <c r="J46" s="19">
        <v>-5.2408354816860098E-2</v>
      </c>
      <c r="K46" s="18">
        <v>123974.233654882</v>
      </c>
      <c r="L46" s="19">
        <v>1.03159451125137E-2</v>
      </c>
      <c r="M46" s="18">
        <v>34280.214759317198</v>
      </c>
      <c r="N46" s="19">
        <v>1.6335925947900998E-2</v>
      </c>
      <c r="O46" s="18">
        <v>89694.018895564805</v>
      </c>
      <c r="P46" s="19">
        <v>8.0339587516988793E-3</v>
      </c>
      <c r="Q46" s="18">
        <v>9262.7532850037296</v>
      </c>
      <c r="R46" s="19">
        <v>-9.1934940379260893E-2</v>
      </c>
      <c r="S46" s="18">
        <v>2974.1408650559601</v>
      </c>
      <c r="T46" s="19">
        <v>5.4112117486225103E-2</v>
      </c>
      <c r="U46" s="18">
        <v>31742.162170040901</v>
      </c>
      <c r="V46" s="19">
        <v>2.61233077624312E-2</v>
      </c>
      <c r="W46" s="18">
        <v>112601.29908472599</v>
      </c>
      <c r="X46" s="19">
        <v>2.00142515497146E-2</v>
      </c>
      <c r="Y46" s="18">
        <v>25814.901912033001</v>
      </c>
      <c r="Z46" s="19">
        <v>4.9204656541963496E-3</v>
      </c>
      <c r="AA46" s="18">
        <v>24013.655189185502</v>
      </c>
      <c r="AB46" s="19">
        <v>1.9316533762496299E-2</v>
      </c>
      <c r="AC46" s="18">
        <v>13249.655587904999</v>
      </c>
      <c r="AD46" s="19">
        <v>1.5295518287558299E-2</v>
      </c>
      <c r="AE46" s="18">
        <v>28589.4325322607</v>
      </c>
      <c r="AF46" s="19">
        <v>2.7634909778894799E-2</v>
      </c>
      <c r="AG46" s="18">
        <v>61627.902320647998</v>
      </c>
      <c r="AH46" s="19">
        <v>-4.5285986230830501E-2</v>
      </c>
      <c r="AI46" s="18">
        <v>31452.160186206002</v>
      </c>
      <c r="AJ46" s="19">
        <v>-4.1918993431140299E-2</v>
      </c>
      <c r="AK46" s="18">
        <v>23630.234633656601</v>
      </c>
      <c r="AL46" s="19">
        <v>-6.4447627140616595E-2</v>
      </c>
      <c r="AM46" s="18">
        <v>111516.969852888</v>
      </c>
      <c r="AN46" s="19">
        <v>4.2349689720635499E-2</v>
      </c>
      <c r="AO46" s="18">
        <v>43435.965819392302</v>
      </c>
      <c r="AP46" s="19">
        <v>1.7211969824201898E-2</v>
      </c>
      <c r="AQ46" s="18">
        <v>27236.2755845063</v>
      </c>
      <c r="AR46" s="19">
        <v>2.9667730151976299E-2</v>
      </c>
      <c r="AS46" s="18">
        <v>45416.5700433089</v>
      </c>
      <c r="AT46" s="19">
        <v>3.6722395516431701E-2</v>
      </c>
      <c r="AU46" s="18">
        <v>5270.5871378297998</v>
      </c>
      <c r="AV46" s="19">
        <v>0.197195591830512</v>
      </c>
      <c r="AW46" s="18">
        <v>8464.8513578381608</v>
      </c>
      <c r="AX46" s="19">
        <v>1.5646819505411799E-2</v>
      </c>
      <c r="AY46" s="18">
        <v>2039.4698151887601</v>
      </c>
      <c r="AZ46" s="19">
        <v>4.3815790128995502E-2</v>
      </c>
      <c r="BA46" s="18">
        <v>21540.899990333899</v>
      </c>
      <c r="BB46" s="19">
        <v>5.1572104499417702E-3</v>
      </c>
      <c r="BC46" s="18">
        <v>35609.755123083902</v>
      </c>
      <c r="BD46" s="19">
        <v>1.10861900956061E-3</v>
      </c>
      <c r="BE46" s="18">
        <v>-14068.855132750001</v>
      </c>
      <c r="BF46" s="19">
        <v>-5.0273925798076701E-3</v>
      </c>
      <c r="BG46" s="18"/>
      <c r="BH46" s="19"/>
    </row>
    <row r="47" spans="1:60" x14ac:dyDescent="0.15">
      <c r="A47" s="17">
        <v>2015</v>
      </c>
      <c r="B47" s="17"/>
      <c r="C47" s="18">
        <v>680602.53406521701</v>
      </c>
      <c r="D47" s="19">
        <v>3.2266125810436201E-3</v>
      </c>
      <c r="E47" s="18">
        <v>659551.26496557298</v>
      </c>
      <c r="F47" s="19">
        <v>4.0778202301860996E-3</v>
      </c>
      <c r="G47" s="18">
        <v>4191.7897726104302</v>
      </c>
      <c r="H47" s="19">
        <v>-0.123351735107808</v>
      </c>
      <c r="I47" s="18">
        <v>690.41483027371896</v>
      </c>
      <c r="J47" s="19">
        <v>2.2651279836540399E-2</v>
      </c>
      <c r="K47" s="18">
        <v>121361.777278767</v>
      </c>
      <c r="L47" s="19">
        <v>-2.10725753174461E-2</v>
      </c>
      <c r="M47" s="18">
        <v>37045.996050757101</v>
      </c>
      <c r="N47" s="19">
        <v>8.0681562553167399E-2</v>
      </c>
      <c r="O47" s="18">
        <v>84315.781228009801</v>
      </c>
      <c r="P47" s="19">
        <v>-5.9962054703080803E-2</v>
      </c>
      <c r="Q47" s="18">
        <v>10722.4261930591</v>
      </c>
      <c r="R47" s="19">
        <v>0.15758520853821401</v>
      </c>
      <c r="S47" s="18">
        <v>2879.5624401742298</v>
      </c>
      <c r="T47" s="19">
        <v>-3.1800250617904299E-2</v>
      </c>
      <c r="U47" s="18">
        <v>32497.418324734099</v>
      </c>
      <c r="V47" s="19">
        <v>2.3793469097893798E-2</v>
      </c>
      <c r="W47" s="18">
        <v>110798.705995603</v>
      </c>
      <c r="X47" s="19">
        <v>-1.60086349249507E-2</v>
      </c>
      <c r="Y47" s="18">
        <v>25272.883379456001</v>
      </c>
      <c r="Z47" s="19">
        <v>-2.0996342903953601E-2</v>
      </c>
      <c r="AA47" s="18">
        <v>24639.331150518301</v>
      </c>
      <c r="AB47" s="19">
        <v>2.6055007303286401E-2</v>
      </c>
      <c r="AC47" s="18">
        <v>12986.8007611391</v>
      </c>
      <c r="AD47" s="19">
        <v>-1.9838615805666902E-2</v>
      </c>
      <c r="AE47" s="18">
        <v>29318.0936646642</v>
      </c>
      <c r="AF47" s="19">
        <v>2.5487079240949201E-2</v>
      </c>
      <c r="AG47" s="18">
        <v>62233.979180507202</v>
      </c>
      <c r="AH47" s="19">
        <v>9.8344554501597105E-3</v>
      </c>
      <c r="AI47" s="18">
        <v>31955.6613002831</v>
      </c>
      <c r="AJ47" s="19">
        <v>1.60084748105127E-2</v>
      </c>
      <c r="AK47" s="18">
        <v>23467.9183844172</v>
      </c>
      <c r="AL47" s="19">
        <v>-6.8690070901040699E-3</v>
      </c>
      <c r="AM47" s="18">
        <v>113613.09476251301</v>
      </c>
      <c r="AN47" s="19">
        <v>1.8796465796998299E-2</v>
      </c>
      <c r="AO47" s="18">
        <v>43826.3706815603</v>
      </c>
      <c r="AP47" s="19">
        <v>8.9880552855961006E-3</v>
      </c>
      <c r="AQ47" s="18">
        <v>27730.527877205499</v>
      </c>
      <c r="AR47" s="19">
        <v>1.8146838438525902E-2</v>
      </c>
      <c r="AS47" s="18">
        <v>46584.307664260799</v>
      </c>
      <c r="AT47" s="19">
        <v>2.5711708740627601E-2</v>
      </c>
      <c r="AU47" s="18">
        <v>4754.6827131215596</v>
      </c>
      <c r="AV47" s="19">
        <v>-9.78836723911303E-2</v>
      </c>
      <c r="AW47" s="18">
        <v>8579.8177030397292</v>
      </c>
      <c r="AX47" s="19">
        <v>1.35816141762628E-2</v>
      </c>
      <c r="AY47" s="18">
        <v>2142.1639718215001</v>
      </c>
      <c r="AZ47" s="19">
        <v>5.03533594211285E-2</v>
      </c>
      <c r="BA47" s="18">
        <v>21051.269099644702</v>
      </c>
      <c r="BB47" s="19">
        <v>-2.2730289398720498E-2</v>
      </c>
      <c r="BC47" s="18">
        <v>35619.404924714698</v>
      </c>
      <c r="BD47" s="19">
        <v>2.7098758745913699E-4</v>
      </c>
      <c r="BE47" s="18">
        <v>-14568.13582507</v>
      </c>
      <c r="BF47" s="19">
        <v>3.5488366864888203E-2</v>
      </c>
      <c r="BG47" s="18"/>
      <c r="BH47" s="19"/>
    </row>
    <row r="48" spans="1:60" x14ac:dyDescent="0.15">
      <c r="A48" s="17">
        <v>2016</v>
      </c>
      <c r="B48" s="17"/>
      <c r="C48" s="18">
        <v>687242.03016598697</v>
      </c>
      <c r="D48" s="19">
        <v>9.7553208641645295E-3</v>
      </c>
      <c r="E48" s="18">
        <v>666837.78145854198</v>
      </c>
      <c r="F48" s="19">
        <v>1.1047687844780101E-2</v>
      </c>
      <c r="G48" s="18">
        <v>4505.1448138396599</v>
      </c>
      <c r="H48" s="19">
        <v>7.4754474395812606E-2</v>
      </c>
      <c r="I48" s="18">
        <v>721.82783481249396</v>
      </c>
      <c r="J48" s="19">
        <v>4.5498739542314801E-2</v>
      </c>
      <c r="K48" s="18">
        <v>125596.110498679</v>
      </c>
      <c r="L48" s="19">
        <v>3.4890171476196399E-2</v>
      </c>
      <c r="M48" s="18">
        <v>41454.605713998702</v>
      </c>
      <c r="N48" s="19">
        <v>0.11900367470755201</v>
      </c>
      <c r="O48" s="18">
        <v>84141.504784680306</v>
      </c>
      <c r="P48" s="19">
        <v>-2.0669492803269099E-3</v>
      </c>
      <c r="Q48" s="18">
        <v>9052.0749983908499</v>
      </c>
      <c r="R48" s="19">
        <v>-0.155781085790965</v>
      </c>
      <c r="S48" s="18">
        <v>2957.9253162212099</v>
      </c>
      <c r="T48" s="19">
        <v>2.7213466516197601E-2</v>
      </c>
      <c r="U48" s="18">
        <v>32549.104265613802</v>
      </c>
      <c r="V48" s="19">
        <v>1.59046298272725E-3</v>
      </c>
      <c r="W48" s="18">
        <v>108993.349042191</v>
      </c>
      <c r="X48" s="19">
        <v>-1.6294025613295699E-2</v>
      </c>
      <c r="Y48" s="18">
        <v>25031.982879830899</v>
      </c>
      <c r="Z48" s="19">
        <v>-9.53197527991256E-3</v>
      </c>
      <c r="AA48" s="18">
        <v>25215.660170581301</v>
      </c>
      <c r="AB48" s="19">
        <v>2.3390611398593102E-2</v>
      </c>
      <c r="AC48" s="18">
        <v>12917.669572963099</v>
      </c>
      <c r="AD48" s="19">
        <v>-5.3231884778687198E-3</v>
      </c>
      <c r="AE48" s="18">
        <v>29774.657401689099</v>
      </c>
      <c r="AF48" s="19">
        <v>1.55727634356788E-2</v>
      </c>
      <c r="AG48" s="18">
        <v>61491.365449547397</v>
      </c>
      <c r="AH48" s="19">
        <v>-1.19326088535309E-2</v>
      </c>
      <c r="AI48" s="18">
        <v>31272.8183347124</v>
      </c>
      <c r="AJ48" s="19">
        <v>-2.13684504649766E-2</v>
      </c>
      <c r="AK48" s="18">
        <v>22943.034959640099</v>
      </c>
      <c r="AL48" s="19">
        <v>-2.23659983889174E-2</v>
      </c>
      <c r="AM48" s="18">
        <v>115443.974342838</v>
      </c>
      <c r="AN48" s="19">
        <v>1.6115040120615799E-2</v>
      </c>
      <c r="AO48" s="18">
        <v>44363.712539641703</v>
      </c>
      <c r="AP48" s="19">
        <v>1.2260697149342401E-2</v>
      </c>
      <c r="AQ48" s="18">
        <v>28251.315485242401</v>
      </c>
      <c r="AR48" s="19">
        <v>1.87802991108936E-2</v>
      </c>
      <c r="AS48" s="18">
        <v>48719.3504374193</v>
      </c>
      <c r="AT48" s="19">
        <v>4.5831802171367703E-2</v>
      </c>
      <c r="AU48" s="18">
        <v>5372.5455735555197</v>
      </c>
      <c r="AV48" s="19">
        <v>0.12994828418915</v>
      </c>
      <c r="AW48" s="18">
        <v>8675.1961370928002</v>
      </c>
      <c r="AX48" s="19">
        <v>1.11166037967534E-2</v>
      </c>
      <c r="AY48" s="18">
        <v>2236.79757822375</v>
      </c>
      <c r="AZ48" s="19">
        <v>4.4176639905757903E-2</v>
      </c>
      <c r="BA48" s="18">
        <v>20404.248707444702</v>
      </c>
      <c r="BB48" s="19">
        <v>-3.0735457759690901E-2</v>
      </c>
      <c r="BC48" s="18">
        <v>35325.694288824699</v>
      </c>
      <c r="BD48" s="19">
        <v>-8.2458041202766504E-3</v>
      </c>
      <c r="BE48" s="18">
        <v>-14921.44558138</v>
      </c>
      <c r="BF48" s="19">
        <v>2.4252228325741101E-2</v>
      </c>
      <c r="BG48" s="18"/>
      <c r="BH48" s="19"/>
    </row>
    <row r="49" spans="1:60" x14ac:dyDescent="0.15">
      <c r="A49" s="17">
        <v>2017</v>
      </c>
      <c r="B49" s="17"/>
      <c r="C49" s="18">
        <v>696988.98717436404</v>
      </c>
      <c r="D49" s="19">
        <v>1.4182713775556801E-2</v>
      </c>
      <c r="E49" s="18">
        <v>675873.02681985602</v>
      </c>
      <c r="F49" s="19">
        <v>1.35493902903208E-2</v>
      </c>
      <c r="G49" s="18">
        <v>4421.5204590871599</v>
      </c>
      <c r="H49" s="19">
        <v>-1.8561968195920198E-2</v>
      </c>
      <c r="I49" s="18">
        <v>722.96745002360501</v>
      </c>
      <c r="J49" s="19">
        <v>1.57879089188429E-3</v>
      </c>
      <c r="K49" s="18">
        <v>128259.17796498899</v>
      </c>
      <c r="L49" s="19">
        <v>2.12034230656972E-2</v>
      </c>
      <c r="M49" s="18">
        <v>43222.136477150299</v>
      </c>
      <c r="N49" s="19">
        <v>4.2637741517700202E-2</v>
      </c>
      <c r="O49" s="18">
        <v>85037.0414878382</v>
      </c>
      <c r="P49" s="19">
        <v>1.0643221861191999E-2</v>
      </c>
      <c r="Q49" s="18">
        <v>9194.1991472568698</v>
      </c>
      <c r="R49" s="19">
        <v>1.5700725954136598E-2</v>
      </c>
      <c r="S49" s="18">
        <v>2965.8228318333499</v>
      </c>
      <c r="T49" s="19">
        <v>2.6699509851819698E-3</v>
      </c>
      <c r="U49" s="18">
        <v>32577.4288298551</v>
      </c>
      <c r="V49" s="19">
        <v>8.7021025249023299E-4</v>
      </c>
      <c r="W49" s="18">
        <v>111321.954937963</v>
      </c>
      <c r="X49" s="19">
        <v>2.1364660469978598E-2</v>
      </c>
      <c r="Y49" s="18">
        <v>24865.387463597501</v>
      </c>
      <c r="Z49" s="19">
        <v>-6.6553024198372501E-3</v>
      </c>
      <c r="AA49" s="18">
        <v>25590.969380955401</v>
      </c>
      <c r="AB49" s="19">
        <v>1.4883973206932801E-2</v>
      </c>
      <c r="AC49" s="18">
        <v>13211.915956946201</v>
      </c>
      <c r="AD49" s="19">
        <v>2.2778596582083699E-2</v>
      </c>
      <c r="AE49" s="18">
        <v>30176.863998097</v>
      </c>
      <c r="AF49" s="19">
        <v>1.3508353462535301E-2</v>
      </c>
      <c r="AG49" s="18">
        <v>58869.191063973602</v>
      </c>
      <c r="AH49" s="19">
        <v>-4.26429689177295E-2</v>
      </c>
      <c r="AI49" s="18">
        <v>28522.729609472499</v>
      </c>
      <c r="AJ49" s="19">
        <v>-8.7938627590444796E-2</v>
      </c>
      <c r="AK49" s="18">
        <v>21657.648848641998</v>
      </c>
      <c r="AL49" s="19">
        <v>-5.60251123384162E-2</v>
      </c>
      <c r="AM49" s="18">
        <v>118352.623384932</v>
      </c>
      <c r="AN49" s="19">
        <v>2.5195330104076399E-2</v>
      </c>
      <c r="AO49" s="18">
        <v>45326.834095326398</v>
      </c>
      <c r="AP49" s="19">
        <v>2.1709669920525299E-2</v>
      </c>
      <c r="AQ49" s="18">
        <v>28422.140554369402</v>
      </c>
      <c r="AR49" s="19">
        <v>6.0466235356804203E-3</v>
      </c>
      <c r="AS49" s="18">
        <v>49825.1449811657</v>
      </c>
      <c r="AT49" s="19">
        <v>2.2697234955272799E-2</v>
      </c>
      <c r="AU49" s="18">
        <v>5541.5435060843001</v>
      </c>
      <c r="AV49" s="19">
        <v>3.1455839734634103E-2</v>
      </c>
      <c r="AW49" s="18">
        <v>8786.29656893024</v>
      </c>
      <c r="AX49" s="19">
        <v>1.28066766539616E-2</v>
      </c>
      <c r="AY49" s="18">
        <v>2306.4317080672899</v>
      </c>
      <c r="AZ49" s="19">
        <v>3.1131171868863199E-2</v>
      </c>
      <c r="BA49" s="18">
        <v>21115.960354507799</v>
      </c>
      <c r="BB49" s="19">
        <v>3.4880561262881103E-2</v>
      </c>
      <c r="BC49" s="18">
        <v>36419.191162457799</v>
      </c>
      <c r="BD49" s="19">
        <v>3.0954717115893302E-2</v>
      </c>
      <c r="BE49" s="18">
        <v>-15303.23080795</v>
      </c>
      <c r="BF49" s="19">
        <v>2.55863431252541E-2</v>
      </c>
      <c r="BG49" s="18"/>
      <c r="BH49" s="19"/>
    </row>
    <row r="50" spans="1:60" x14ac:dyDescent="0.15">
      <c r="A50" s="17">
        <v>2018</v>
      </c>
      <c r="B50" s="17"/>
      <c r="C50" s="18">
        <v>723396.33538937196</v>
      </c>
      <c r="D50" s="19">
        <v>3.7887755331780501E-2</v>
      </c>
      <c r="E50" s="18">
        <v>702858.47750782198</v>
      </c>
      <c r="F50" s="19">
        <v>3.9926805209166097E-2</v>
      </c>
      <c r="G50" s="18">
        <v>4574.0364083081604</v>
      </c>
      <c r="H50" s="19">
        <v>3.4494005089934297E-2</v>
      </c>
      <c r="I50" s="18">
        <v>779.63687960562595</v>
      </c>
      <c r="J50" s="19">
        <v>7.8384482704126707E-2</v>
      </c>
      <c r="K50" s="18">
        <v>134384.841779104</v>
      </c>
      <c r="L50" s="19">
        <v>4.77600426831657E-2</v>
      </c>
      <c r="M50" s="18">
        <v>47282.018619724797</v>
      </c>
      <c r="N50" s="19">
        <v>9.3930621516610205E-2</v>
      </c>
      <c r="O50" s="18">
        <v>87102.823159379404</v>
      </c>
      <c r="P50" s="19">
        <v>2.42927274443876E-2</v>
      </c>
      <c r="Q50" s="18">
        <v>10434.8949301631</v>
      </c>
      <c r="R50" s="19">
        <v>0.13494332274458001</v>
      </c>
      <c r="S50" s="18">
        <v>3094.9655626839899</v>
      </c>
      <c r="T50" s="19">
        <v>4.3543643087678802E-2</v>
      </c>
      <c r="U50" s="18">
        <v>33138.903541359097</v>
      </c>
      <c r="V50" s="19">
        <v>1.72350836659474E-2</v>
      </c>
      <c r="W50" s="18">
        <v>114814.471694312</v>
      </c>
      <c r="X50" s="19">
        <v>3.1373117354032802E-2</v>
      </c>
      <c r="Y50" s="18">
        <v>24851.823894028799</v>
      </c>
      <c r="Z50" s="19">
        <v>-5.45479920169734E-4</v>
      </c>
      <c r="AA50" s="18">
        <v>26459.180595948899</v>
      </c>
      <c r="AB50" s="19">
        <v>3.3926468437713603E-2</v>
      </c>
      <c r="AC50" s="18">
        <v>13706.917891802501</v>
      </c>
      <c r="AD50" s="19">
        <v>3.7466324828992099E-2</v>
      </c>
      <c r="AE50" s="18">
        <v>31571.2640394177</v>
      </c>
      <c r="AF50" s="19">
        <v>4.6207586096707498E-2</v>
      </c>
      <c r="AG50" s="18">
        <v>63405.079300675301</v>
      </c>
      <c r="AH50" s="19">
        <v>7.7050289883761502E-2</v>
      </c>
      <c r="AI50" s="18">
        <v>29375.3596425859</v>
      </c>
      <c r="AJ50" s="19">
        <v>2.9893002696004901E-2</v>
      </c>
      <c r="AK50" s="18">
        <v>23672.224824577101</v>
      </c>
      <c r="AL50" s="19">
        <v>9.3019144876445706E-2</v>
      </c>
      <c r="AM50" s="18">
        <v>123813.47506796</v>
      </c>
      <c r="AN50" s="19">
        <v>4.6140520816901197E-2</v>
      </c>
      <c r="AO50" s="18">
        <v>45971.094752908997</v>
      </c>
      <c r="AP50" s="19">
        <v>1.4213669903078799E-2</v>
      </c>
      <c r="AQ50" s="18">
        <v>28951.908833047699</v>
      </c>
      <c r="AR50" s="19">
        <v>1.8639281501858802E-2</v>
      </c>
      <c r="AS50" s="18">
        <v>50880.722541688097</v>
      </c>
      <c r="AT50" s="19">
        <v>2.11856395183883E-2</v>
      </c>
      <c r="AU50" s="18">
        <v>5472.0537249212603</v>
      </c>
      <c r="AV50" s="19">
        <v>-1.25397880728981E-2</v>
      </c>
      <c r="AW50" s="18">
        <v>9035.7971153112503</v>
      </c>
      <c r="AX50" s="19">
        <v>2.83965541594948E-2</v>
      </c>
      <c r="AY50" s="18">
        <v>2369.2328486035599</v>
      </c>
      <c r="AZ50" s="19">
        <v>2.72287015117803E-2</v>
      </c>
      <c r="BA50" s="18">
        <v>20537.857881550099</v>
      </c>
      <c r="BB50" s="19">
        <v>-2.7377512708498999E-2</v>
      </c>
      <c r="BC50" s="18">
        <v>36238.708520040098</v>
      </c>
      <c r="BD50" s="19">
        <v>-4.9557015589009002E-3</v>
      </c>
      <c r="BE50" s="18">
        <v>-15700.850638489999</v>
      </c>
      <c r="BF50" s="19">
        <v>2.5982737601620599E-2</v>
      </c>
      <c r="BG50" s="18"/>
      <c r="BH50" s="19"/>
    </row>
    <row r="51" spans="1:60" x14ac:dyDescent="0.15">
      <c r="A51" s="17">
        <v>2019</v>
      </c>
      <c r="B51" s="17"/>
      <c r="C51" s="18">
        <v>733001.33117842895</v>
      </c>
      <c r="D51" s="19">
        <v>1.32776395444243E-2</v>
      </c>
      <c r="E51" s="18">
        <v>712933.02030469</v>
      </c>
      <c r="F51" s="19">
        <v>1.43336718831228E-2</v>
      </c>
      <c r="G51" s="18">
        <v>4705.0581985123299</v>
      </c>
      <c r="H51" s="19">
        <v>2.8644675841710699E-2</v>
      </c>
      <c r="I51" s="18">
        <v>776.14212805787599</v>
      </c>
      <c r="J51" s="19">
        <v>-4.4825374981210002E-3</v>
      </c>
      <c r="K51" s="18">
        <v>140597.79288520999</v>
      </c>
      <c r="L51" s="19">
        <v>4.6232529084780503E-2</v>
      </c>
      <c r="M51" s="18">
        <v>49307.241238134098</v>
      </c>
      <c r="N51" s="19">
        <v>4.2832829002026999E-2</v>
      </c>
      <c r="O51" s="18">
        <v>91290.551647076107</v>
      </c>
      <c r="P51" s="19">
        <v>4.8077988012329702E-2</v>
      </c>
      <c r="Q51" s="18">
        <v>11471.242889191</v>
      </c>
      <c r="R51" s="19">
        <v>9.9315610359641607E-2</v>
      </c>
      <c r="S51" s="18">
        <v>2300.5402415888998</v>
      </c>
      <c r="T51" s="19">
        <v>-0.25668308903771903</v>
      </c>
      <c r="U51" s="18">
        <v>33405.172963746001</v>
      </c>
      <c r="V51" s="19">
        <v>8.0349496794478396E-3</v>
      </c>
      <c r="W51" s="18">
        <v>109491.632828715</v>
      </c>
      <c r="X51" s="19">
        <v>-4.6360348021019897E-2</v>
      </c>
      <c r="Y51" s="18">
        <v>25146.083230965502</v>
      </c>
      <c r="Z51" s="19">
        <v>1.1840552958666499E-2</v>
      </c>
      <c r="AA51" s="18">
        <v>27345.336176893001</v>
      </c>
      <c r="AB51" s="19">
        <v>3.3491421918023803E-2</v>
      </c>
      <c r="AC51" s="18">
        <v>14041.6943460286</v>
      </c>
      <c r="AD51" s="19">
        <v>2.44239045472254E-2</v>
      </c>
      <c r="AE51" s="18">
        <v>32184.338488197402</v>
      </c>
      <c r="AF51" s="19">
        <v>1.9418748898183399E-2</v>
      </c>
      <c r="AG51" s="18">
        <v>62665.175952916201</v>
      </c>
      <c r="AH51" s="19">
        <v>-1.16694649059647E-2</v>
      </c>
      <c r="AI51" s="18">
        <v>29585.932095090699</v>
      </c>
      <c r="AJ51" s="19">
        <v>7.1683361520296102E-3</v>
      </c>
      <c r="AK51" s="18">
        <v>22428.5327352565</v>
      </c>
      <c r="AL51" s="19">
        <v>-5.2538031323076197E-2</v>
      </c>
      <c r="AM51" s="18">
        <v>127278.391370579</v>
      </c>
      <c r="AN51" s="19">
        <v>2.7984969331632501E-2</v>
      </c>
      <c r="AO51" s="18">
        <v>47043.139422860302</v>
      </c>
      <c r="AP51" s="19">
        <v>2.3319972598292701E-2</v>
      </c>
      <c r="AQ51" s="18">
        <v>29389.208327713899</v>
      </c>
      <c r="AR51" s="19">
        <v>1.51043406908995E-2</v>
      </c>
      <c r="AS51" s="18">
        <v>52623.221149294201</v>
      </c>
      <c r="AT51" s="19">
        <v>3.4246734727055597E-2</v>
      </c>
      <c r="AU51" s="18">
        <v>5856.4772889671503</v>
      </c>
      <c r="AV51" s="19">
        <v>7.0252154560384694E-2</v>
      </c>
      <c r="AW51" s="18">
        <v>9317.2139181417606</v>
      </c>
      <c r="AX51" s="19">
        <v>3.11446571054192E-2</v>
      </c>
      <c r="AY51" s="18">
        <v>2441.2417280772902</v>
      </c>
      <c r="AZ51" s="19">
        <v>3.0393331544503702E-2</v>
      </c>
      <c r="BA51" s="18">
        <v>20068.310873739101</v>
      </c>
      <c r="BB51" s="19">
        <v>-2.2862511295923801E-2</v>
      </c>
      <c r="BC51" s="18">
        <v>36120.776365789097</v>
      </c>
      <c r="BD51" s="19">
        <v>-3.2543144904239002E-3</v>
      </c>
      <c r="BE51" s="18">
        <v>-16052.46549205</v>
      </c>
      <c r="BF51" s="19">
        <v>2.2394637185964499E-2</v>
      </c>
      <c r="BG51" s="18"/>
      <c r="BH51" s="19"/>
    </row>
    <row r="52" spans="1:60" x14ac:dyDescent="0.15">
      <c r="A52" s="17">
        <v>2020</v>
      </c>
      <c r="B52" s="17"/>
      <c r="C52" s="18">
        <v>710894.88819523097</v>
      </c>
      <c r="D52" s="19">
        <v>-3.0158803323941601E-2</v>
      </c>
      <c r="E52" s="18">
        <v>691889.27304511797</v>
      </c>
      <c r="F52" s="19">
        <v>-2.95171448933285E-2</v>
      </c>
      <c r="G52" s="18">
        <v>4944.5339611040899</v>
      </c>
      <c r="H52" s="19">
        <v>5.0897513375601097E-2</v>
      </c>
      <c r="I52" s="18">
        <v>755.67641757799299</v>
      </c>
      <c r="J52" s="19">
        <v>-2.6368508730603601E-2</v>
      </c>
      <c r="K52" s="18">
        <v>135197.27924872501</v>
      </c>
      <c r="L52" s="19">
        <v>-3.84110840267224E-2</v>
      </c>
      <c r="M52" s="18">
        <v>49965.411079102501</v>
      </c>
      <c r="N52" s="19">
        <v>1.33483404149444E-2</v>
      </c>
      <c r="O52" s="18">
        <v>85231.868169622103</v>
      </c>
      <c r="P52" s="19">
        <v>-6.6367037641271401E-2</v>
      </c>
      <c r="Q52" s="18">
        <v>11458.7859538546</v>
      </c>
      <c r="R52" s="19">
        <v>-1.08592725798839E-3</v>
      </c>
      <c r="S52" s="18">
        <v>2311.7299312289201</v>
      </c>
      <c r="T52" s="19">
        <v>4.8639399727652402E-3</v>
      </c>
      <c r="U52" s="18">
        <v>33570.645279685501</v>
      </c>
      <c r="V52" s="19">
        <v>4.9534937633488596E-3</v>
      </c>
      <c r="W52" s="18">
        <v>105484.976166186</v>
      </c>
      <c r="X52" s="19">
        <v>-3.6593267987850502E-2</v>
      </c>
      <c r="Y52" s="18">
        <v>24607.396325578098</v>
      </c>
      <c r="Z52" s="19">
        <v>-2.1422298671311402E-2</v>
      </c>
      <c r="AA52" s="18">
        <v>23283.842851720001</v>
      </c>
      <c r="AB52" s="19">
        <v>-0.148525997226722</v>
      </c>
      <c r="AC52" s="18">
        <v>8467.8776251865092</v>
      </c>
      <c r="AD52" s="19">
        <v>-0.396947589335507</v>
      </c>
      <c r="AE52" s="18">
        <v>32983.408938203502</v>
      </c>
      <c r="AF52" s="19">
        <v>2.4827928350900499E-2</v>
      </c>
      <c r="AG52" s="18">
        <v>60532.038115039402</v>
      </c>
      <c r="AH52" s="19">
        <v>-3.4040243331951901E-2</v>
      </c>
      <c r="AI52" s="18">
        <v>28301.287336739901</v>
      </c>
      <c r="AJ52" s="19">
        <v>-4.3420797229639103E-2</v>
      </c>
      <c r="AK52" s="18">
        <v>20845.3131841297</v>
      </c>
      <c r="AL52" s="19">
        <v>-7.0589528517756406E-2</v>
      </c>
      <c r="AM52" s="18">
        <v>127278.363441988</v>
      </c>
      <c r="AN52" s="19">
        <v>-2.1942916650363699E-7</v>
      </c>
      <c r="AO52" s="18">
        <v>48217.793833028198</v>
      </c>
      <c r="AP52" s="19">
        <v>2.4969728308504201E-2</v>
      </c>
      <c r="AQ52" s="18">
        <v>29718.562960150401</v>
      </c>
      <c r="AR52" s="19">
        <v>1.12066520732346E-2</v>
      </c>
      <c r="AS52" s="18">
        <v>52087.906851756597</v>
      </c>
      <c r="AT52" s="19">
        <v>-1.0172587041353501E-2</v>
      </c>
      <c r="AU52" s="18">
        <v>4844.1560753551903</v>
      </c>
      <c r="AV52" s="19">
        <v>-0.172854971284367</v>
      </c>
      <c r="AW52" s="18">
        <v>8640.8343377113597</v>
      </c>
      <c r="AX52" s="19">
        <v>-7.2594617486822305E-2</v>
      </c>
      <c r="AY52" s="18">
        <v>2110.8610566172702</v>
      </c>
      <c r="AZ52" s="19">
        <v>-0.13533304287741499</v>
      </c>
      <c r="BA52" s="18">
        <v>19005.615150113401</v>
      </c>
      <c r="BB52" s="19">
        <v>-5.2953919754965398E-2</v>
      </c>
      <c r="BC52" s="18">
        <v>35503.735677093398</v>
      </c>
      <c r="BD52" s="19">
        <v>-1.7082708368364199E-2</v>
      </c>
      <c r="BE52" s="18">
        <v>-16498.120526980001</v>
      </c>
      <c r="BF52" s="19">
        <v>2.7762404170917701E-2</v>
      </c>
      <c r="BG52" s="18"/>
      <c r="BH52" s="19"/>
    </row>
    <row r="53" spans="1:60" x14ac:dyDescent="0.15">
      <c r="A53" s="17">
        <v>2021</v>
      </c>
      <c r="B53" s="17"/>
      <c r="C53" s="18">
        <v>767079.611555852</v>
      </c>
      <c r="D53" s="19">
        <v>7.9033798517328405E-2</v>
      </c>
      <c r="E53" s="18">
        <v>746018.91866901005</v>
      </c>
      <c r="F53" s="19">
        <v>7.8234549562617994E-2</v>
      </c>
      <c r="G53" s="18">
        <v>4717.1860593261199</v>
      </c>
      <c r="H53" s="19">
        <v>-4.59796420787855E-2</v>
      </c>
      <c r="I53" s="18">
        <v>735.81844307889605</v>
      </c>
      <c r="J53" s="19">
        <v>-2.6278409696499E-2</v>
      </c>
      <c r="K53" s="18">
        <v>158972.004150333</v>
      </c>
      <c r="L53" s="19">
        <v>0.175852095794544</v>
      </c>
      <c r="M53" s="18">
        <v>62490.435365326797</v>
      </c>
      <c r="N53" s="19">
        <v>0.250673896516039</v>
      </c>
      <c r="O53" s="18">
        <v>96481.568785006297</v>
      </c>
      <c r="P53" s="19">
        <v>0.13198937037254399</v>
      </c>
      <c r="Q53" s="18">
        <v>8516.3356881038508</v>
      </c>
      <c r="R53" s="19">
        <v>-0.25678551616202799</v>
      </c>
      <c r="S53" s="18">
        <v>2526.7982888448601</v>
      </c>
      <c r="T53" s="19">
        <v>9.3033513435373499E-2</v>
      </c>
      <c r="U53" s="18">
        <v>34935.7923703571</v>
      </c>
      <c r="V53" s="19">
        <v>4.0664904689743403E-2</v>
      </c>
      <c r="W53" s="18">
        <v>116189.133968172</v>
      </c>
      <c r="X53" s="19">
        <v>0.10147566213715301</v>
      </c>
      <c r="Y53" s="18">
        <v>25685.0059477668</v>
      </c>
      <c r="Z53" s="19">
        <v>4.3792102501659401E-2</v>
      </c>
      <c r="AA53" s="18">
        <v>25402.172548570299</v>
      </c>
      <c r="AB53" s="19">
        <v>9.0978525767442905E-2</v>
      </c>
      <c r="AC53" s="18">
        <v>8323.6079517512699</v>
      </c>
      <c r="AD53" s="19">
        <v>-1.7037288423504899E-2</v>
      </c>
      <c r="AE53" s="18">
        <v>34469.419442586397</v>
      </c>
      <c r="AF53" s="19">
        <v>4.5053272303267097E-2</v>
      </c>
      <c r="AG53" s="18">
        <v>61965.885843799901</v>
      </c>
      <c r="AH53" s="19">
        <v>2.3687418653169E-2</v>
      </c>
      <c r="AI53" s="18">
        <v>29679.352617864399</v>
      </c>
      <c r="AJ53" s="19">
        <v>4.8692671281262499E-2</v>
      </c>
      <c r="AK53" s="18">
        <v>19510.9149782022</v>
      </c>
      <c r="AL53" s="19">
        <v>-6.4014303557858795E-2</v>
      </c>
      <c r="AM53" s="18">
        <v>136697.900471092</v>
      </c>
      <c r="AN53" s="19">
        <v>7.4007370729570296E-2</v>
      </c>
      <c r="AO53" s="18">
        <v>49747.8368930656</v>
      </c>
      <c r="AP53" s="19">
        <v>3.1731917584942398E-2</v>
      </c>
      <c r="AQ53" s="18">
        <v>30681.676971829002</v>
      </c>
      <c r="AR53" s="19">
        <v>3.2407825808065997E-2</v>
      </c>
      <c r="AS53" s="18">
        <v>55007.1595391726</v>
      </c>
      <c r="AT53" s="19">
        <v>5.6044730223546897E-2</v>
      </c>
      <c r="AU53" s="18">
        <v>5348.2612146813699</v>
      </c>
      <c r="AV53" s="19">
        <v>0.10406459484054099</v>
      </c>
      <c r="AW53" s="18">
        <v>9507.3903718059792</v>
      </c>
      <c r="AX53" s="19">
        <v>0.100286152960102</v>
      </c>
      <c r="AY53" s="18">
        <v>2274.5384524400802</v>
      </c>
      <c r="AZ53" s="19">
        <v>7.7540582460272206E-2</v>
      </c>
      <c r="BA53" s="18">
        <v>21060.692886842</v>
      </c>
      <c r="BB53" s="19">
        <v>0.108130030019912</v>
      </c>
      <c r="BC53" s="18">
        <v>37769.800081091998</v>
      </c>
      <c r="BD53" s="19">
        <v>6.3826083672110304E-2</v>
      </c>
      <c r="BE53" s="18">
        <v>-16709.107194249998</v>
      </c>
      <c r="BF53" s="19">
        <v>1.2788527452261E-2</v>
      </c>
      <c r="BG53" s="18"/>
      <c r="BH53" s="19"/>
    </row>
    <row r="54" spans="1:60" x14ac:dyDescent="0.15">
      <c r="A54" s="17">
        <v>2022</v>
      </c>
      <c r="B54" s="17"/>
      <c r="C54" s="18">
        <v>817778.981226773</v>
      </c>
      <c r="D54" s="19">
        <v>6.6094012807991195E-2</v>
      </c>
      <c r="E54" s="18">
        <v>796177.39733235305</v>
      </c>
      <c r="F54" s="19">
        <v>6.7234861486934E-2</v>
      </c>
      <c r="G54" s="18">
        <v>4901.6121572450502</v>
      </c>
      <c r="H54" s="19">
        <v>3.9096634222071998E-2</v>
      </c>
      <c r="I54" s="18">
        <v>654.231060822838</v>
      </c>
      <c r="J54" s="19">
        <v>-0.11087977343252001</v>
      </c>
      <c r="K54" s="18">
        <v>163312.86124907</v>
      </c>
      <c r="L54" s="19">
        <v>2.7305795897446999E-2</v>
      </c>
      <c r="M54" s="18">
        <v>61935.612590101198</v>
      </c>
      <c r="N54" s="19">
        <v>-8.8785231208915495E-3</v>
      </c>
      <c r="O54" s="18">
        <v>101377.24865896899</v>
      </c>
      <c r="P54" s="19">
        <v>5.0742125523186098E-2</v>
      </c>
      <c r="Q54" s="18">
        <v>10428.519168773701</v>
      </c>
      <c r="R54" s="19">
        <v>0.224531248027355</v>
      </c>
      <c r="S54" s="18">
        <v>2614.2717321519299</v>
      </c>
      <c r="T54" s="19">
        <v>3.4618292917658597E-2</v>
      </c>
      <c r="U54" s="18">
        <v>35901.803995758499</v>
      </c>
      <c r="V54" s="19">
        <v>2.76510581228742E-2</v>
      </c>
      <c r="W54" s="18">
        <v>127990.88791526599</v>
      </c>
      <c r="X54" s="19">
        <v>0.101573645865429</v>
      </c>
      <c r="Y54" s="18">
        <v>26091.2169255839</v>
      </c>
      <c r="Z54" s="19">
        <v>1.5815101567162999E-2</v>
      </c>
      <c r="AA54" s="18">
        <v>29138.821937872199</v>
      </c>
      <c r="AB54" s="19">
        <v>0.14709959875114101</v>
      </c>
      <c r="AC54" s="18">
        <v>13410.976018084601</v>
      </c>
      <c r="AD54" s="19">
        <v>0.61119746338640601</v>
      </c>
      <c r="AE54" s="18">
        <v>36546.160160011103</v>
      </c>
      <c r="AF54" s="19">
        <v>6.0248787215108297E-2</v>
      </c>
      <c r="AG54" s="18">
        <v>67972.320252328107</v>
      </c>
      <c r="AH54" s="19">
        <v>9.6931308682795203E-2</v>
      </c>
      <c r="AI54" s="18">
        <v>31139.682226496301</v>
      </c>
      <c r="AJ54" s="19">
        <v>4.9203553306380599E-2</v>
      </c>
      <c r="AK54" s="18">
        <v>22844.815582405699</v>
      </c>
      <c r="AL54" s="19">
        <v>0.17087361653352601</v>
      </c>
      <c r="AM54" s="18">
        <v>143395.16681157399</v>
      </c>
      <c r="AN54" s="19">
        <v>4.8993190951738499E-2</v>
      </c>
      <c r="AO54" s="18">
        <v>51647.659193439496</v>
      </c>
      <c r="AP54" s="19">
        <v>3.8189043363986902E-2</v>
      </c>
      <c r="AQ54" s="18">
        <v>31781.449551563299</v>
      </c>
      <c r="AR54" s="19">
        <v>3.5844604606980197E-2</v>
      </c>
      <c r="AS54" s="18">
        <v>57495.402388595503</v>
      </c>
      <c r="AT54" s="19">
        <v>4.5234890699109603E-2</v>
      </c>
      <c r="AU54" s="18">
        <v>6551.7685039235803</v>
      </c>
      <c r="AV54" s="19">
        <v>0.22502776901369201</v>
      </c>
      <c r="AW54" s="18">
        <v>9976.4233916978901</v>
      </c>
      <c r="AX54" s="19">
        <v>4.9333518615457303E-2</v>
      </c>
      <c r="AY54" s="18">
        <v>2457.0618441756001</v>
      </c>
      <c r="AZ54" s="19">
        <v>8.0246342522681993E-2</v>
      </c>
      <c r="BA54" s="18">
        <v>21601.583894420299</v>
      </c>
      <c r="BB54" s="19">
        <v>2.5682488723635499E-2</v>
      </c>
      <c r="BC54" s="18">
        <v>38905.996595080302</v>
      </c>
      <c r="BD54" s="19">
        <v>3.00821426523004E-2</v>
      </c>
      <c r="BE54" s="18">
        <v>-17304.412700659999</v>
      </c>
      <c r="BF54" s="19">
        <v>3.5627607118042803E-2</v>
      </c>
      <c r="BG54" s="18"/>
      <c r="BH54" s="19"/>
    </row>
    <row r="55" spans="1:60" x14ac:dyDescent="0.15">
      <c r="A55" s="17">
        <v>2023</v>
      </c>
      <c r="B55" s="17"/>
      <c r="C55" s="18">
        <v>838717.10569658806</v>
      </c>
      <c r="D55" s="19">
        <v>2.5603647135079101E-2</v>
      </c>
      <c r="E55" s="18">
        <v>818027.44627904403</v>
      </c>
      <c r="F55" s="19">
        <v>2.74436941062393E-2</v>
      </c>
      <c r="G55" s="18">
        <v>5080.3851074745698</v>
      </c>
      <c r="H55" s="19">
        <v>3.64722757522273E-2</v>
      </c>
      <c r="I55" s="18">
        <v>680.21402954822997</v>
      </c>
      <c r="J55" s="19">
        <v>3.9715278410525502E-2</v>
      </c>
      <c r="K55" s="18">
        <v>160976.75448362</v>
      </c>
      <c r="L55" s="19">
        <v>-1.4304487396660501E-2</v>
      </c>
      <c r="M55" s="18">
        <v>58112.334410782401</v>
      </c>
      <c r="N55" s="19">
        <v>-6.1729883978410997E-2</v>
      </c>
      <c r="O55" s="18">
        <v>102864.42007283799</v>
      </c>
      <c r="P55" s="19">
        <v>1.46696762196779E-2</v>
      </c>
      <c r="Q55" s="18">
        <v>13393.4603605509</v>
      </c>
      <c r="R55" s="19">
        <v>0.28431085409087797</v>
      </c>
      <c r="S55" s="18">
        <v>2660.7791887496901</v>
      </c>
      <c r="T55" s="19">
        <v>1.7789832642790101E-2</v>
      </c>
      <c r="U55" s="18">
        <v>37108.661372392999</v>
      </c>
      <c r="V55" s="19">
        <v>3.3615507922027103E-2</v>
      </c>
      <c r="W55" s="18">
        <v>128018.667467273</v>
      </c>
      <c r="X55" s="19">
        <v>2.1704320096249701E-4</v>
      </c>
      <c r="Y55" s="18">
        <v>26553.160959155201</v>
      </c>
      <c r="Z55" s="19">
        <v>1.7704963125667401E-2</v>
      </c>
      <c r="AA55" s="18">
        <v>30069.394070549501</v>
      </c>
      <c r="AB55" s="19">
        <v>3.1935818636093398E-2</v>
      </c>
      <c r="AC55" s="18">
        <v>15091.3539383315</v>
      </c>
      <c r="AD55" s="19">
        <v>0.12529870443291799</v>
      </c>
      <c r="AE55" s="18">
        <v>38381.912302201898</v>
      </c>
      <c r="AF55" s="19">
        <v>5.0231053937083402E-2</v>
      </c>
      <c r="AG55" s="18">
        <v>71602.536185983394</v>
      </c>
      <c r="AH55" s="19">
        <v>5.3407268137664901E-2</v>
      </c>
      <c r="AI55" s="18">
        <v>32137.647184447</v>
      </c>
      <c r="AJ55" s="19">
        <v>3.2048013550426399E-2</v>
      </c>
      <c r="AK55" s="18">
        <v>25021.074740662501</v>
      </c>
      <c r="AL55" s="19">
        <v>9.5262715096408698E-2</v>
      </c>
      <c r="AM55" s="18">
        <v>148505.72226464</v>
      </c>
      <c r="AN55" s="19">
        <v>3.5639663223668003E-2</v>
      </c>
      <c r="AO55" s="18">
        <v>53287.271862580303</v>
      </c>
      <c r="AP55" s="19">
        <v>3.1746117728198797E-2</v>
      </c>
      <c r="AQ55" s="18">
        <v>33672.525473984897</v>
      </c>
      <c r="AR55" s="19">
        <v>5.95025069373709E-2</v>
      </c>
      <c r="AS55" s="18">
        <v>59445.760019294998</v>
      </c>
      <c r="AT55" s="19">
        <v>3.3921975491492798E-2</v>
      </c>
      <c r="AU55" s="18">
        <v>7008.0593067151303</v>
      </c>
      <c r="AV55" s="19">
        <v>6.9643914084921196E-2</v>
      </c>
      <c r="AW55" s="18">
        <v>10450.1413183239</v>
      </c>
      <c r="AX55" s="19">
        <v>4.74837432240693E-2</v>
      </c>
      <c r="AY55" s="18">
        <v>2593.8475268291199</v>
      </c>
      <c r="AZ55" s="19">
        <v>5.5670427253495802E-2</v>
      </c>
      <c r="BA55" s="18">
        <v>20689.659417543899</v>
      </c>
      <c r="BB55" s="19">
        <v>-4.2215630174781402E-2</v>
      </c>
      <c r="BC55" s="18">
        <v>38777.653928223903</v>
      </c>
      <c r="BD55" s="19">
        <v>-3.29878882661994E-3</v>
      </c>
      <c r="BE55" s="18">
        <v>-18087.994510680001</v>
      </c>
      <c r="BF55" s="19">
        <v>4.52821961412255E-2</v>
      </c>
      <c r="BG55" s="18"/>
      <c r="BH55" s="19"/>
    </row>
    <row r="56" spans="1:60" x14ac:dyDescent="0.15">
      <c r="A56" s="17">
        <v>2024</v>
      </c>
      <c r="B56" s="17"/>
      <c r="C56" s="18">
        <v>860511.03284290002</v>
      </c>
      <c r="D56" s="19">
        <v>2.5984836839843699E-2</v>
      </c>
      <c r="E56" s="18">
        <v>838893.00026652403</v>
      </c>
      <c r="F56" s="19">
        <v>2.5507156370352401E-2</v>
      </c>
      <c r="G56" s="18">
        <v>5053.7641050522097</v>
      </c>
      <c r="H56" s="19">
        <v>-5.2399575739221502E-3</v>
      </c>
      <c r="I56" s="18">
        <v>763.47683600272796</v>
      </c>
      <c r="J56" s="19">
        <v>0.122406776158082</v>
      </c>
      <c r="K56" s="18">
        <v>163727.40014545701</v>
      </c>
      <c r="L56" s="19">
        <v>1.7087222752506102E-2</v>
      </c>
      <c r="M56" s="18">
        <v>62918.8918334306</v>
      </c>
      <c r="N56" s="19">
        <v>8.2711484083082903E-2</v>
      </c>
      <c r="O56" s="18">
        <v>100808.508312027</v>
      </c>
      <c r="P56" s="19">
        <v>-1.99866169405837E-2</v>
      </c>
      <c r="Q56" s="18">
        <v>14033.373414686799</v>
      </c>
      <c r="R56" s="19">
        <v>4.7778022774514997E-2</v>
      </c>
      <c r="S56" s="18">
        <v>2797.0774768401702</v>
      </c>
      <c r="T56" s="19">
        <v>5.1224952700614099E-2</v>
      </c>
      <c r="U56" s="18">
        <v>38465.641161443702</v>
      </c>
      <c r="V56" s="19">
        <v>3.6567737527181302E-2</v>
      </c>
      <c r="W56" s="18">
        <v>125963.343809158</v>
      </c>
      <c r="X56" s="19">
        <v>-1.60548746427139E-2</v>
      </c>
      <c r="Y56" s="18">
        <v>26902.227038848901</v>
      </c>
      <c r="Z56" s="19">
        <v>1.3145933180260101E-2</v>
      </c>
      <c r="AA56" s="18">
        <v>30815.463162966898</v>
      </c>
      <c r="AB56" s="19">
        <v>2.4811577202616501E-2</v>
      </c>
      <c r="AC56" s="18">
        <v>15340.057435024701</v>
      </c>
      <c r="AD56" s="19">
        <v>1.6479866399630401E-2</v>
      </c>
      <c r="AE56" s="18">
        <v>40499.255236739802</v>
      </c>
      <c r="AF56" s="19">
        <v>5.5165123557859401E-2</v>
      </c>
      <c r="AG56" s="18">
        <v>72641.288585532195</v>
      </c>
      <c r="AH56" s="19">
        <v>1.4507201209335E-2</v>
      </c>
      <c r="AI56" s="18">
        <v>31601.295891064201</v>
      </c>
      <c r="AJ56" s="19">
        <v>-1.6689189793657199E-2</v>
      </c>
      <c r="AK56" s="18">
        <v>26621.742341389301</v>
      </c>
      <c r="AL56" s="19">
        <v>6.3972775642829702E-2</v>
      </c>
      <c r="AM56" s="18">
        <v>155135.58183342699</v>
      </c>
      <c r="AN56" s="19">
        <v>4.4643798687917298E-2</v>
      </c>
      <c r="AO56" s="18">
        <v>55003.528615721298</v>
      </c>
      <c r="AP56" s="19">
        <v>3.2207630324310399E-2</v>
      </c>
      <c r="AQ56" s="18">
        <v>35614.753061684802</v>
      </c>
      <c r="AR56" s="19">
        <v>5.7679890663397099E-2</v>
      </c>
      <c r="AS56" s="18">
        <v>62621.404175726202</v>
      </c>
      <c r="AT56" s="19">
        <v>5.3420868963580399E-2</v>
      </c>
      <c r="AU56" s="18">
        <v>7081.0994278095104</v>
      </c>
      <c r="AV56" s="19">
        <v>1.04223035076767E-2</v>
      </c>
      <c r="AW56" s="18">
        <v>10787.438502125</v>
      </c>
      <c r="AX56" s="19">
        <v>3.2276805980578901E-2</v>
      </c>
      <c r="AY56" s="18">
        <v>2549.0532811252101</v>
      </c>
      <c r="AZ56" s="19">
        <v>-1.7269421290413499E-2</v>
      </c>
      <c r="BA56" s="18">
        <v>21618.032576376201</v>
      </c>
      <c r="BB56" s="19">
        <v>4.4871360136796497E-2</v>
      </c>
      <c r="BC56" s="18">
        <v>40514.914702946196</v>
      </c>
      <c r="BD56" s="19">
        <v>4.4800564209941197E-2</v>
      </c>
      <c r="BE56" s="18">
        <v>-18896.882126569999</v>
      </c>
      <c r="BF56" s="19">
        <v>4.4719585436206799E-2</v>
      </c>
      <c r="BG56" s="18"/>
      <c r="BH56" s="19"/>
    </row>
    <row r="57" spans="1:60" x14ac:dyDescent="0.15">
      <c r="A57" s="17">
        <v>2025</v>
      </c>
      <c r="B57" s="17"/>
      <c r="C57" s="18">
        <v>882518.55120775197</v>
      </c>
      <c r="D57" s="19">
        <v>2.55749403841408E-2</v>
      </c>
      <c r="E57" s="18">
        <v>860693.17015045602</v>
      </c>
      <c r="F57" s="19">
        <v>2.5986830116601699E-2</v>
      </c>
      <c r="G57" s="18">
        <v>5505.6663107157201</v>
      </c>
      <c r="H57" s="19">
        <v>8.9418935326195201E-2</v>
      </c>
      <c r="I57" s="18">
        <v>791.42598324655398</v>
      </c>
      <c r="J57" s="19">
        <v>3.6607721316284099E-2</v>
      </c>
      <c r="K57" s="18">
        <v>168450.14001297599</v>
      </c>
      <c r="L57" s="19">
        <v>2.8845140540451699E-2</v>
      </c>
      <c r="M57" s="18">
        <v>66974.675265113998</v>
      </c>
      <c r="N57" s="19">
        <v>6.4460503252671303E-2</v>
      </c>
      <c r="O57" s="18">
        <v>101475.464747862</v>
      </c>
      <c r="P57" s="19">
        <v>6.6160728593536201E-3</v>
      </c>
      <c r="Q57" s="18">
        <v>11898.204896323599</v>
      </c>
      <c r="R57" s="19">
        <v>-0.152149341093472</v>
      </c>
      <c r="S57" s="18">
        <v>2800.64606481394</v>
      </c>
      <c r="T57" s="19">
        <v>1.2758273602777601E-3</v>
      </c>
      <c r="U57" s="18">
        <v>39926.887541811899</v>
      </c>
      <c r="V57" s="19">
        <v>3.7988353664383197E-2</v>
      </c>
      <c r="W57" s="18">
        <v>130241.236330757</v>
      </c>
      <c r="X57" s="19">
        <v>3.3961408075037697E-2</v>
      </c>
      <c r="Y57" s="18">
        <v>27301.117977619298</v>
      </c>
      <c r="Z57" s="19">
        <v>1.48274318774568E-2</v>
      </c>
      <c r="AA57" s="18">
        <v>31604.801234832499</v>
      </c>
      <c r="AB57" s="19">
        <v>2.5614999446585501E-2</v>
      </c>
      <c r="AC57" s="18">
        <v>15710.663118332201</v>
      </c>
      <c r="AD57" s="19">
        <v>2.4159341311286602E-2</v>
      </c>
      <c r="AE57" s="18">
        <v>41175.921303020099</v>
      </c>
      <c r="AF57" s="19">
        <v>1.6708111354760202E-2</v>
      </c>
      <c r="AG57" s="18">
        <v>77590.584332197803</v>
      </c>
      <c r="AH57" s="19">
        <v>6.8133369369378E-2</v>
      </c>
      <c r="AI57" s="18">
        <v>33174.656601254603</v>
      </c>
      <c r="AJ57" s="19">
        <v>4.9787854131491303E-2</v>
      </c>
      <c r="AK57" s="18">
        <v>29569.179432828401</v>
      </c>
      <c r="AL57" s="19">
        <v>0.11071540899322301</v>
      </c>
      <c r="AM57" s="18">
        <v>156659.661793245</v>
      </c>
      <c r="AN57" s="19">
        <v>9.8241805123373497E-3</v>
      </c>
      <c r="AO57" s="18">
        <v>56197.451539614704</v>
      </c>
      <c r="AP57" s="19">
        <v>2.1706296922052299E-2</v>
      </c>
      <c r="AQ57" s="18">
        <v>36501.460939258097</v>
      </c>
      <c r="AR57" s="19">
        <v>2.48972069534639E-2</v>
      </c>
      <c r="AS57" s="18">
        <v>66021.918670179395</v>
      </c>
      <c r="AT57" s="19">
        <v>5.4302750620390597E-2</v>
      </c>
      <c r="AU57" s="18">
        <v>6354.5916799035103</v>
      </c>
      <c r="AV57" s="19">
        <v>-0.10259815658749299</v>
      </c>
      <c r="AW57" s="18">
        <v>10751.105534888</v>
      </c>
      <c r="AX57" s="19">
        <v>-3.3680810537105601E-3</v>
      </c>
      <c r="AY57" s="18">
        <v>2510.8028643400598</v>
      </c>
      <c r="AZ57" s="19">
        <v>-1.5005734508720401E-2</v>
      </c>
      <c r="BA57" s="18">
        <v>21825.381057296301</v>
      </c>
      <c r="BB57" s="19">
        <v>9.5914593609542909E-3</v>
      </c>
      <c r="BC57" s="18">
        <v>41518.672235146303</v>
      </c>
      <c r="BD57" s="19">
        <v>2.4775012845506601E-2</v>
      </c>
      <c r="BE57" s="18">
        <v>-19693.291177849998</v>
      </c>
      <c r="BF57" s="19">
        <v>4.2144997568684103E-2</v>
      </c>
      <c r="BG57" s="18"/>
      <c r="BH57" s="19"/>
    </row>
    <row r="58" spans="1:60" x14ac:dyDescent="0.15">
      <c r="A58" s="17"/>
      <c r="B58" s="17"/>
      <c r="C58" s="18"/>
      <c r="D58" s="19"/>
      <c r="E58" s="18"/>
      <c r="F58" s="19"/>
      <c r="G58" s="18"/>
      <c r="H58" s="19"/>
      <c r="I58" s="18"/>
      <c r="J58" s="19"/>
      <c r="K58" s="18"/>
      <c r="L58" s="19"/>
      <c r="M58" s="18"/>
      <c r="N58" s="19"/>
      <c r="O58" s="18"/>
      <c r="P58" s="19"/>
      <c r="Q58" s="18"/>
      <c r="R58" s="19"/>
      <c r="S58" s="18"/>
      <c r="T58" s="19"/>
      <c r="U58" s="18"/>
      <c r="V58" s="19"/>
      <c r="W58" s="18"/>
      <c r="X58" s="19"/>
      <c r="Y58" s="18"/>
      <c r="Z58" s="19"/>
      <c r="AA58" s="18"/>
      <c r="AB58" s="19"/>
      <c r="AC58" s="18"/>
      <c r="AD58" s="19"/>
      <c r="AE58" s="18"/>
      <c r="AF58" s="19"/>
      <c r="AG58" s="18"/>
      <c r="AH58" s="19"/>
      <c r="AI58" s="18"/>
      <c r="AJ58" s="19"/>
      <c r="AK58" s="18"/>
      <c r="AL58" s="19"/>
      <c r="AM58" s="18"/>
      <c r="AN58" s="19"/>
      <c r="AO58" s="18"/>
      <c r="AP58" s="19"/>
      <c r="AQ58" s="18"/>
      <c r="AR58" s="19"/>
      <c r="AS58" s="18"/>
      <c r="AT58" s="19"/>
      <c r="AU58" s="18"/>
      <c r="AV58" s="19"/>
      <c r="AW58" s="18"/>
      <c r="AX58" s="19"/>
      <c r="AY58" s="18"/>
      <c r="AZ58" s="19"/>
      <c r="BA58" s="18"/>
      <c r="BB58" s="19"/>
      <c r="BC58" s="18"/>
      <c r="BD58" s="19"/>
      <c r="BE58" s="18"/>
      <c r="BF58" s="19"/>
      <c r="BG58" s="18"/>
      <c r="BH58" s="19"/>
    </row>
  </sheetData>
  <sheetProtection password="DD0B" sheet="1"/>
  <mergeCells count="66">
    <mergeCell ref="AC6:AD10"/>
    <mergeCell ref="AC11:AD11"/>
    <mergeCell ref="C5:D10"/>
    <mergeCell ref="E6:F10"/>
    <mergeCell ref="C11:D11"/>
    <mergeCell ref="E11:F11"/>
    <mergeCell ref="M8:N10"/>
    <mergeCell ref="Y8:Z10"/>
    <mergeCell ref="AA6:AB10"/>
    <mergeCell ref="G11:H11"/>
    <mergeCell ref="I11:J11"/>
    <mergeCell ref="K11:L11"/>
    <mergeCell ref="M11:N11"/>
    <mergeCell ref="C4:BF4"/>
    <mergeCell ref="E5:AZ5"/>
    <mergeCell ref="BA5:BF5"/>
    <mergeCell ref="G6:H10"/>
    <mergeCell ref="I6:J10"/>
    <mergeCell ref="K6:L10"/>
    <mergeCell ref="M6:N7"/>
    <mergeCell ref="Q6:R10"/>
    <mergeCell ref="S6:T10"/>
    <mergeCell ref="U6:V10"/>
    <mergeCell ref="W6:X10"/>
    <mergeCell ref="Y6:Z7"/>
    <mergeCell ref="AY6:AZ10"/>
    <mergeCell ref="BA6:BB10"/>
    <mergeCell ref="BC6:BD10"/>
    <mergeCell ref="BE6:BF10"/>
    <mergeCell ref="AO6:AP10"/>
    <mergeCell ref="AQ6:AR10"/>
    <mergeCell ref="AS6:AT10"/>
    <mergeCell ref="AU6:AV10"/>
    <mergeCell ref="AW6:AX10"/>
    <mergeCell ref="AG6:AH10"/>
    <mergeCell ref="AM6:AN10"/>
    <mergeCell ref="O6:P6"/>
    <mergeCell ref="U11:V11"/>
    <mergeCell ref="W11:X11"/>
    <mergeCell ref="Y11:Z11"/>
    <mergeCell ref="AA11:AB11"/>
    <mergeCell ref="Q11:R11"/>
    <mergeCell ref="O11:P11"/>
    <mergeCell ref="O7:P7"/>
    <mergeCell ref="O8:P10"/>
    <mergeCell ref="AG11:AH11"/>
    <mergeCell ref="AI11:AJ11"/>
    <mergeCell ref="S11:T11"/>
    <mergeCell ref="AE11:AF11"/>
    <mergeCell ref="AE6:AF10"/>
    <mergeCell ref="BC11:BD11"/>
    <mergeCell ref="BE11:BF11"/>
    <mergeCell ref="AM11:AN11"/>
    <mergeCell ref="AO11:AP11"/>
    <mergeCell ref="AQ11:AR11"/>
    <mergeCell ref="AS11:AT11"/>
    <mergeCell ref="AU11:AV11"/>
    <mergeCell ref="AW11:AX11"/>
    <mergeCell ref="AY11:AZ11"/>
    <mergeCell ref="AK6:AL6"/>
    <mergeCell ref="AK7:AL7"/>
    <mergeCell ref="AK11:AL11"/>
    <mergeCell ref="AI6:AJ6"/>
    <mergeCell ref="AI7:AJ7"/>
    <mergeCell ref="AI8:AJ10"/>
    <mergeCell ref="AK8:AL10"/>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le08"/>
  <dimension ref="A1:BH58"/>
  <sheetViews>
    <sheetView showGridLines="0" zoomScaleNormal="100" workbookViewId="0">
      <pane xSplit="2" ySplit="11" topLeftCell="C12" activePane="bottomRight" state="frozen"/>
      <selection activeCell="AG1" sqref="AG1:AH1048576"/>
      <selection pane="topRight" activeCell="AG1" sqref="AG1:AH1048576"/>
      <selection pane="bottomLeft" activeCell="AG1" sqref="AG1:AH1048576"/>
      <selection pane="bottomRight" activeCell="AG1" sqref="AG1:AH1048576"/>
    </sheetView>
  </sheetViews>
  <sheetFormatPr baseColWidth="10" defaultRowHeight="11" x14ac:dyDescent="0.15"/>
  <cols>
    <col min="1" max="1" width="9.75" customWidth="1"/>
    <col min="2" max="2" width="2.75" customWidth="1"/>
    <col min="3" max="60" width="9.75" customWidth="1"/>
  </cols>
  <sheetData>
    <row r="1" spans="1:60" ht="11.25" customHeight="1" x14ac:dyDescent="0.15">
      <c r="A1" s="6" t="str">
        <f ca="1">INDIRECT("beschriftung!"&amp;ADDRESS(beschriftung!$C$1*12+ROW(beschriftung!$A1)-1,COLUMN(beschriftung!A$1)))</f>
        <v xml:space="preserve">ESA 2010, Quarterly aggregates of Gross Domestic Product, production approach, seasonally, calendar and sport event adjusted data. Background information on sport event adjustment can be found in the publication “Konjunkturtendenzen” (“Economic Trends”) from autumn 2022 and in the technical note from 5 September 2022 on the website www.seco.admin.ch. </v>
      </c>
      <c r="C1" s="9"/>
      <c r="E1" s="9"/>
    </row>
    <row r="2" spans="1:60" ht="11.25" customHeight="1" x14ac:dyDescent="0.15">
      <c r="A2" s="7" t="str">
        <f ca="1">INDIRECT("beschriftung!"&amp;ADDRESS(beschriftung!$C$1*12+ROW(beschriftung!$A3)-1,COLUMN(beschriftung!B$1)))</f>
        <v>In Mio. Swiss Francs, at prices of the preceding year, chained values, reference year 2020, percentage change to previous year</v>
      </c>
      <c r="C2" s="9"/>
      <c r="E2" s="9"/>
    </row>
    <row r="3" spans="1:60" ht="11.25" customHeight="1" x14ac:dyDescent="0.15">
      <c r="C3" s="9"/>
      <c r="E3" s="9"/>
    </row>
    <row r="4" spans="1:60" ht="11.25" customHeight="1" x14ac:dyDescent="0.15">
      <c r="A4" s="5"/>
      <c r="C4" s="46" t="str">
        <f ca="1">INDIRECT("beschriftung!"&amp;ADDRESS(beschriftung!$C$1*12+ROW(beschriftung!$A5)-1,COLUMN(beschriftung!C$1)))</f>
        <v>Gross domestic product</v>
      </c>
      <c r="D4" s="47" t="e">
        <f ca="1">IF(INDIRECT("beschriftung.!"&amp;ADDRESS(#REF!*12+ROW($A5)-1,COLUMN(D$1)))="","",INDIRECT("beschriftung.!"&amp;ADDRESS(#REF!*12+ROW($A5)-1,COLUMN(D$1))))</f>
        <v>#REF!</v>
      </c>
      <c r="E4" s="47" t="e">
        <f ca="1">IF(INDIRECT("beschriftung.!"&amp;ADDRESS(#REF!*12+ROW($A5)-1,COLUMN(E$1)))="","",INDIRECT("beschriftung.!"&amp;ADDRESS(#REF!*12+ROW($A5)-1,COLUMN(E$1))))</f>
        <v>#REF!</v>
      </c>
      <c r="F4" s="47" t="e">
        <f ca="1">IF(INDIRECT("beschriftung.!"&amp;ADDRESS(#REF!*12+ROW($A5)-1,COLUMN(F$1)))="","",INDIRECT("beschriftung.!"&amp;ADDRESS(#REF!*12+ROW($A5)-1,COLUMN(F$1))))</f>
        <v>#REF!</v>
      </c>
      <c r="G4" s="47" t="e">
        <f ca="1">IF(INDIRECT("beschriftung.!"&amp;ADDRESS(#REF!*12+ROW($A5)-1,COLUMN(G$1)))="","",INDIRECT("beschriftung.!"&amp;ADDRESS(#REF!*12+ROW($A5)-1,COLUMN(G$1))))</f>
        <v>#REF!</v>
      </c>
      <c r="H4" s="47" t="e">
        <f ca="1">IF(INDIRECT("beschriftung.!"&amp;ADDRESS(#REF!*12+ROW($A5)-1,COLUMN(H$1)))="","",INDIRECT("beschriftung.!"&amp;ADDRESS(#REF!*12+ROW($A5)-1,COLUMN(H$1))))</f>
        <v>#REF!</v>
      </c>
      <c r="I4" s="47" t="e">
        <f ca="1">IF(INDIRECT("beschriftung.!"&amp;ADDRESS(#REF!*12+ROW($A5)-1,COLUMN(I$1)))="","",INDIRECT("beschriftung.!"&amp;ADDRESS(#REF!*12+ROW($A5)-1,COLUMN(I$1))))</f>
        <v>#REF!</v>
      </c>
      <c r="J4" s="47" t="e">
        <f ca="1">IF(INDIRECT("beschriftung.!"&amp;ADDRESS(#REF!*12+ROW($A5)-1,COLUMN(J$1)))="","",INDIRECT("beschriftung.!"&amp;ADDRESS(#REF!*12+ROW($A5)-1,COLUMN(J$1))))</f>
        <v>#REF!</v>
      </c>
      <c r="K4" s="47" t="e">
        <f ca="1">IF(INDIRECT("beschriftung.!"&amp;ADDRESS(#REF!*12+ROW($A5)-1,COLUMN(K$1)))="","",INDIRECT("beschriftung.!"&amp;ADDRESS(#REF!*12+ROW($A5)-1,COLUMN(K$1))))</f>
        <v>#REF!</v>
      </c>
      <c r="L4" s="47" t="e">
        <f ca="1">IF(INDIRECT("beschriftung.!"&amp;ADDRESS(#REF!*12+ROW($A5)-1,COLUMN(L$1)))="","",INDIRECT("beschriftung.!"&amp;ADDRESS(#REF!*12+ROW($A5)-1,COLUMN(L$1))))</f>
        <v>#REF!</v>
      </c>
      <c r="M4" s="47"/>
      <c r="N4" s="47"/>
      <c r="O4" s="47"/>
      <c r="P4" s="47"/>
      <c r="Q4" s="47" t="e">
        <f ca="1">IF(INDIRECT("beschriftung.!"&amp;ADDRESS(#REF!*12+ROW($A5)-1,COLUMN(Q$1)))="","",INDIRECT("beschriftung.!"&amp;ADDRESS(#REF!*12+ROW($A5)-1,COLUMN(Q$1))))</f>
        <v>#REF!</v>
      </c>
      <c r="R4" s="47" t="e">
        <f ca="1">IF(INDIRECT("beschriftung.!"&amp;ADDRESS(#REF!*12+ROW($A5)-1,COLUMN(R$1)))="","",INDIRECT("beschriftung.!"&amp;ADDRESS(#REF!*12+ROW($A5)-1,COLUMN(R$1))))</f>
        <v>#REF!</v>
      </c>
      <c r="S4" s="47"/>
      <c r="T4" s="47"/>
      <c r="U4" s="47" t="e">
        <f ca="1">IF(INDIRECT("beschriftung.!"&amp;ADDRESS(#REF!*12+ROW($A5)-1,COLUMN(U$1)))="","",INDIRECT("beschriftung.!"&amp;ADDRESS(#REF!*12+ROW($A5)-1,COLUMN(U$1))))</f>
        <v>#REF!</v>
      </c>
      <c r="V4" s="47" t="e">
        <f ca="1">IF(INDIRECT("beschriftung.!"&amp;ADDRESS(#REF!*12+ROW($A5)-1,COLUMN(V$1)))="","",INDIRECT("beschriftung.!"&amp;ADDRESS(#REF!*12+ROW($A5)-1,COLUMN(V$1))))</f>
        <v>#REF!</v>
      </c>
      <c r="W4" s="47" t="e">
        <f ca="1">IF(INDIRECT("beschriftung.!"&amp;ADDRESS(#REF!*12+ROW($A5)-1,COLUMN(W$1)))="","",INDIRECT("beschriftung.!"&amp;ADDRESS(#REF!*12+ROW($A5)-1,COLUMN(W$1))))</f>
        <v>#REF!</v>
      </c>
      <c r="X4" s="47" t="e">
        <f ca="1">IF(INDIRECT("beschriftung.!"&amp;ADDRESS(#REF!*12+ROW($A5)-1,COLUMN(X$1)))="","",INDIRECT("beschriftung.!"&amp;ADDRESS(#REF!*12+ROW($A5)-1,COLUMN(X$1))))</f>
        <v>#REF!</v>
      </c>
      <c r="Y4" s="47"/>
      <c r="Z4" s="47"/>
      <c r="AA4" s="47" t="e">
        <f ca="1">IF(INDIRECT("beschriftung.!"&amp;ADDRESS(#REF!*12+ROW($A5)-1,COLUMN(AA$1)))="","",INDIRECT("beschriftung.!"&amp;ADDRESS(#REF!*12+ROW($A5)-1,COLUMN(AA$1))))</f>
        <v>#REF!</v>
      </c>
      <c r="AB4" s="47" t="e">
        <f ca="1">IF(INDIRECT("beschriftung.!"&amp;ADDRESS(#REF!*12+ROW($A5)-1,COLUMN(AB$1)))="","",INDIRECT("beschriftung.!"&amp;ADDRESS(#REF!*12+ROW($A5)-1,COLUMN(AB$1))))</f>
        <v>#REF!</v>
      </c>
      <c r="AC4" s="47"/>
      <c r="AD4" s="47"/>
      <c r="AE4" s="47"/>
      <c r="AF4" s="47"/>
      <c r="AG4" s="47" t="e">
        <f ca="1">IF(INDIRECT("beschriftung.!"&amp;ADDRESS(#REF!*12+ROW($A5)-1,COLUMN(AG$1)))="","",INDIRECT("beschriftung.!"&amp;ADDRESS(#REF!*12+ROW($A5)-1,COLUMN(AG$1))))</f>
        <v>#REF!</v>
      </c>
      <c r="AH4" s="47" t="e">
        <f ca="1">IF(INDIRECT("beschriftung.!"&amp;ADDRESS(#REF!*12+ROW($A5)-1,COLUMN(AH$1)))="","",INDIRECT("beschriftung.!"&amp;ADDRESS(#REF!*12+ROW($A5)-1,COLUMN(AH$1))))</f>
        <v>#REF!</v>
      </c>
      <c r="AI4" s="47" t="e">
        <f ca="1">IF(INDIRECT("beschriftung.!"&amp;ADDRESS(#REF!*12+ROW($A5)-1,COLUMN(AI$1)))="","",INDIRECT("beschriftung.!"&amp;ADDRESS(#REF!*12+ROW($A5)-1,COLUMN(AI$1))))</f>
        <v>#REF!</v>
      </c>
      <c r="AJ4" s="47" t="e">
        <f ca="1">IF(INDIRECT("beschriftung.!"&amp;ADDRESS(#REF!*12+ROW($A5)-1,COLUMN(AJ$1)))="","",INDIRECT("beschriftung.!"&amp;ADDRESS(#REF!*12+ROW($A5)-1,COLUMN(AJ$1))))</f>
        <v>#REF!</v>
      </c>
      <c r="AK4" s="47"/>
      <c r="AL4" s="47"/>
      <c r="AM4" s="47" t="e">
        <f ca="1">IF(INDIRECT("beschriftung.!"&amp;ADDRESS(#REF!*12+ROW($A5)-1,COLUMN(AM$1)))="","",INDIRECT("beschriftung.!"&amp;ADDRESS(#REF!*12+ROW($A5)-1,COLUMN(AM$1))))</f>
        <v>#REF!</v>
      </c>
      <c r="AN4" s="47" t="e">
        <f ca="1">IF(INDIRECT("beschriftung.!"&amp;ADDRESS(#REF!*12+ROW($A5)-1,COLUMN(AN$1)))="","",INDIRECT("beschriftung.!"&amp;ADDRESS(#REF!*12+ROW($A5)-1,COLUMN(AN$1))))</f>
        <v>#REF!</v>
      </c>
      <c r="AO4" s="47" t="e">
        <f ca="1">IF(INDIRECT("beschriftung.!"&amp;ADDRESS(#REF!*12+ROW($A5)-1,COLUMN(AO$1)))="","",INDIRECT("beschriftung.!"&amp;ADDRESS(#REF!*12+ROW($A5)-1,COLUMN(AO$1))))</f>
        <v>#REF!</v>
      </c>
      <c r="AP4" s="47" t="e">
        <f ca="1">IF(INDIRECT("beschriftung.!"&amp;ADDRESS(#REF!*12+ROW($A5)-1,COLUMN(AP$1)))="","",INDIRECT("beschriftung.!"&amp;ADDRESS(#REF!*12+ROW($A5)-1,COLUMN(AP$1))))</f>
        <v>#REF!</v>
      </c>
      <c r="AQ4" s="47" t="e">
        <f ca="1">IF(INDIRECT("beschriftung.!"&amp;ADDRESS(#REF!*12+ROW($A5)-1,COLUMN(AQ$1)))="","",INDIRECT("beschriftung.!"&amp;ADDRESS(#REF!*12+ROW($A5)-1,COLUMN(AQ$1))))</f>
        <v>#REF!</v>
      </c>
      <c r="AR4" s="47" t="e">
        <f ca="1">IF(INDIRECT("beschriftung.!"&amp;ADDRESS(#REF!*12+ROW($A5)-1,COLUMN(AR$1)))="","",INDIRECT("beschriftung.!"&amp;ADDRESS(#REF!*12+ROW($A5)-1,COLUMN(AR$1))))</f>
        <v>#REF!</v>
      </c>
      <c r="AS4" s="47" t="e">
        <f ca="1">IF(INDIRECT("beschriftung.!"&amp;ADDRESS(#REF!*12+ROW($A5)-1,COLUMN(AS$1)))="","",INDIRECT("beschriftung.!"&amp;ADDRESS(#REF!*12+ROW($A5)-1,COLUMN(AS$1))))</f>
        <v>#REF!</v>
      </c>
      <c r="AT4" s="47" t="e">
        <f ca="1">IF(INDIRECT("beschriftung.!"&amp;ADDRESS(#REF!*12+ROW($A5)-1,COLUMN(AT$1)))="","",INDIRECT("beschriftung.!"&amp;ADDRESS(#REF!*12+ROW($A5)-1,COLUMN(AT$1))))</f>
        <v>#REF!</v>
      </c>
      <c r="AU4" s="47" t="e">
        <f ca="1">IF(INDIRECT("beschriftung.!"&amp;ADDRESS(#REF!*12+ROW($A5)-1,COLUMN(AU$1)))="","",INDIRECT("beschriftung.!"&amp;ADDRESS(#REF!*12+ROW($A5)-1,COLUMN(AU$1))))</f>
        <v>#REF!</v>
      </c>
      <c r="AV4" s="47" t="e">
        <f ca="1">IF(INDIRECT("beschriftung.!"&amp;ADDRESS(#REF!*12+ROW($A5)-1,COLUMN(AV$1)))="","",INDIRECT("beschriftung.!"&amp;ADDRESS(#REF!*12+ROW($A5)-1,COLUMN(AV$1))))</f>
        <v>#REF!</v>
      </c>
      <c r="AW4" s="47"/>
      <c r="AX4" s="47"/>
      <c r="AY4" s="47" t="e">
        <f ca="1">IF(INDIRECT("beschriftung.!"&amp;ADDRESS(#REF!*12+ROW($A5)-1,COLUMN(AY$1)))="","",INDIRECT("beschriftung.!"&amp;ADDRESS(#REF!*12+ROW($A5)-1,COLUMN(AY$1))))</f>
        <v>#REF!</v>
      </c>
      <c r="AZ4" s="47" t="e">
        <f ca="1">IF(INDIRECT("beschriftung.!"&amp;ADDRESS(#REF!*12+ROW($A5)-1,COLUMN(AZ$1)))="","",INDIRECT("beschriftung.!"&amp;ADDRESS(#REF!*12+ROW($A5)-1,COLUMN(AZ$1))))</f>
        <v>#REF!</v>
      </c>
      <c r="BA4" s="47" t="e">
        <f ca="1">IF(INDIRECT("beschriftung.!"&amp;ADDRESS(#REF!*12+ROW($A5)-1,COLUMN(BA$1)))="","",INDIRECT("beschriftung.!"&amp;ADDRESS(#REF!*12+ROW($A5)-1,COLUMN(BA$1))))</f>
        <v>#REF!</v>
      </c>
      <c r="BB4" s="47" t="e">
        <f ca="1">IF(INDIRECT("beschriftung.!"&amp;ADDRESS(#REF!*12+ROW($A5)-1,COLUMN(BB$1)))="","",INDIRECT("beschriftung.!"&amp;ADDRESS(#REF!*12+ROW($A5)-1,COLUMN(BB$1))))</f>
        <v>#REF!</v>
      </c>
      <c r="BC4" s="47" t="e">
        <f ca="1">IF(INDIRECT("beschriftung.!"&amp;ADDRESS(#REF!*12+ROW($A5)-1,COLUMN(BC$1)))="","",INDIRECT("beschriftung.!"&amp;ADDRESS(#REF!*12+ROW($A5)-1,COLUMN(BC$1))))</f>
        <v>#REF!</v>
      </c>
      <c r="BD4" s="47" t="e">
        <f ca="1">IF(INDIRECT("beschriftung.!"&amp;ADDRESS(#REF!*12+ROW($A5)-1,COLUMN(BD$1)))="","",INDIRECT("beschriftung.!"&amp;ADDRESS(#REF!*12+ROW($A5)-1,COLUMN(BD$1))))</f>
        <v>#REF!</v>
      </c>
      <c r="BE4" s="47" t="e">
        <f ca="1">IF(INDIRECT("beschriftung.!"&amp;ADDRESS(#REF!*12+ROW($A5)-1,COLUMN(BE$1)))="","",INDIRECT("beschriftung.!"&amp;ADDRESS(#REF!*12+ROW($A5)-1,COLUMN(BE$1))))</f>
        <v>#REF!</v>
      </c>
      <c r="BF4" s="48" t="e">
        <f ca="1">IF(INDIRECT("beschriftung.!"&amp;ADDRESS(#REF!*12+ROW($A5)-1,COLUMN(BF$1)))="","",INDIRECT("beschriftung.!"&amp;ADDRESS(#REF!*12+ROW($A5)-1,COLUMN(BF$1))))</f>
        <v>#REF!</v>
      </c>
    </row>
    <row r="5" spans="1:60" ht="11.25" customHeight="1" x14ac:dyDescent="0.15">
      <c r="A5" s="5"/>
      <c r="C5" s="65"/>
      <c r="D5" s="66"/>
      <c r="E5" s="49" t="str">
        <f ca="1">INDIRECT("beschriftung!"&amp;ADDRESS(beschriftung!$C$1*12+ROW(beschriftung!$A6)-1,COLUMN(beschriftung!D$1)))</f>
        <v>Gross value added before adjustments</v>
      </c>
      <c r="F5" s="47" t="e">
        <f ca="1">IF(INDIRECT("beschriftung.!"&amp;ADDRESS(#REF!*12+ROW($A6)-1,COLUMN(F$1)))="","",INDIRECT("beschriftung.!"&amp;ADDRESS(#REF!*12+ROW($A6)-1,COLUMN(F$1))))</f>
        <v>#REF!</v>
      </c>
      <c r="G5" s="47" t="e">
        <f ca="1">IF(INDIRECT("beschriftung.!"&amp;ADDRESS(#REF!*12+ROW($A6)-1,COLUMN(G$1)))="","",INDIRECT("beschriftung.!"&amp;ADDRESS(#REF!*12+ROW($A6)-1,COLUMN(G$1))))</f>
        <v>#REF!</v>
      </c>
      <c r="H5" s="47" t="e">
        <f ca="1">IF(INDIRECT("beschriftung.!"&amp;ADDRESS(#REF!*12+ROW($A6)-1,COLUMN(H$1)))="","",INDIRECT("beschriftung.!"&amp;ADDRESS(#REF!*12+ROW($A6)-1,COLUMN(H$1))))</f>
        <v>#REF!</v>
      </c>
      <c r="I5" s="47" t="e">
        <f ca="1">IF(INDIRECT("beschriftung.!"&amp;ADDRESS(#REF!*12+ROW($A6)-1,COLUMN(I$1)))="","",INDIRECT("beschriftung.!"&amp;ADDRESS(#REF!*12+ROW($A6)-1,COLUMN(I$1))))</f>
        <v>#REF!</v>
      </c>
      <c r="J5" s="47" t="e">
        <f ca="1">IF(INDIRECT("beschriftung.!"&amp;ADDRESS(#REF!*12+ROW($A6)-1,COLUMN(J$1)))="","",INDIRECT("beschriftung.!"&amp;ADDRESS(#REF!*12+ROW($A6)-1,COLUMN(J$1))))</f>
        <v>#REF!</v>
      </c>
      <c r="K5" s="47" t="e">
        <f ca="1">IF(INDIRECT("beschriftung.!"&amp;ADDRESS(#REF!*12+ROW($A6)-1,COLUMN(K$1)))="","",INDIRECT("beschriftung.!"&amp;ADDRESS(#REF!*12+ROW($A6)-1,COLUMN(K$1))))</f>
        <v>#REF!</v>
      </c>
      <c r="L5" s="47" t="e">
        <f ca="1">IF(INDIRECT("beschriftung.!"&amp;ADDRESS(#REF!*12+ROW($A6)-1,COLUMN(L$1)))="","",INDIRECT("beschriftung.!"&amp;ADDRESS(#REF!*12+ROW($A6)-1,COLUMN(L$1))))</f>
        <v>#REF!</v>
      </c>
      <c r="M5" s="47"/>
      <c r="N5" s="47"/>
      <c r="O5" s="47"/>
      <c r="P5" s="47"/>
      <c r="Q5" s="47" t="e">
        <f ca="1">IF(INDIRECT("beschriftung.!"&amp;ADDRESS(#REF!*12+ROW($A6)-1,COLUMN(Q$1)))="","",INDIRECT("beschriftung.!"&amp;ADDRESS(#REF!*12+ROW($A6)-1,COLUMN(Q$1))))</f>
        <v>#REF!</v>
      </c>
      <c r="R5" s="47" t="e">
        <f ca="1">IF(INDIRECT("beschriftung.!"&amp;ADDRESS(#REF!*12+ROW($A6)-1,COLUMN(R$1)))="","",INDIRECT("beschriftung.!"&amp;ADDRESS(#REF!*12+ROW($A6)-1,COLUMN(R$1))))</f>
        <v>#REF!</v>
      </c>
      <c r="S5" s="47"/>
      <c r="T5" s="47"/>
      <c r="U5" s="47" t="e">
        <f ca="1">IF(INDIRECT("beschriftung.!"&amp;ADDRESS(#REF!*12+ROW($A6)-1,COLUMN(U$1)))="","",INDIRECT("beschriftung.!"&amp;ADDRESS(#REF!*12+ROW($A6)-1,COLUMN(U$1))))</f>
        <v>#REF!</v>
      </c>
      <c r="V5" s="47" t="e">
        <f ca="1">IF(INDIRECT("beschriftung.!"&amp;ADDRESS(#REF!*12+ROW($A6)-1,COLUMN(V$1)))="","",INDIRECT("beschriftung.!"&amp;ADDRESS(#REF!*12+ROW($A6)-1,COLUMN(V$1))))</f>
        <v>#REF!</v>
      </c>
      <c r="W5" s="47" t="e">
        <f ca="1">IF(INDIRECT("beschriftung.!"&amp;ADDRESS(#REF!*12+ROW($A6)-1,COLUMN(W$1)))="","",INDIRECT("beschriftung.!"&amp;ADDRESS(#REF!*12+ROW($A6)-1,COLUMN(W$1))))</f>
        <v>#REF!</v>
      </c>
      <c r="X5" s="47" t="e">
        <f ca="1">IF(INDIRECT("beschriftung.!"&amp;ADDRESS(#REF!*12+ROW($A6)-1,COLUMN(X$1)))="","",INDIRECT("beschriftung.!"&amp;ADDRESS(#REF!*12+ROW($A6)-1,COLUMN(X$1))))</f>
        <v>#REF!</v>
      </c>
      <c r="Y5" s="47"/>
      <c r="Z5" s="47"/>
      <c r="AA5" s="47" t="e">
        <f ca="1">IF(INDIRECT("beschriftung.!"&amp;ADDRESS(#REF!*12+ROW($A6)-1,COLUMN(AA$1)))="","",INDIRECT("beschriftung.!"&amp;ADDRESS(#REF!*12+ROW($A6)-1,COLUMN(AA$1))))</f>
        <v>#REF!</v>
      </c>
      <c r="AB5" s="47" t="e">
        <f ca="1">IF(INDIRECT("beschriftung.!"&amp;ADDRESS(#REF!*12+ROW($A6)-1,COLUMN(AB$1)))="","",INDIRECT("beschriftung.!"&amp;ADDRESS(#REF!*12+ROW($A6)-1,COLUMN(AB$1))))</f>
        <v>#REF!</v>
      </c>
      <c r="AC5" s="47"/>
      <c r="AD5" s="47"/>
      <c r="AE5" s="47"/>
      <c r="AF5" s="47"/>
      <c r="AG5" s="47" t="e">
        <f ca="1">IF(INDIRECT("beschriftung.!"&amp;ADDRESS(#REF!*12+ROW($A6)-1,COLUMN(AG$1)))="","",INDIRECT("beschriftung.!"&amp;ADDRESS(#REF!*12+ROW($A6)-1,COLUMN(AG$1))))</f>
        <v>#REF!</v>
      </c>
      <c r="AH5" s="47" t="e">
        <f ca="1">IF(INDIRECT("beschriftung.!"&amp;ADDRESS(#REF!*12+ROW($A6)-1,COLUMN(AH$1)))="","",INDIRECT("beschriftung.!"&amp;ADDRESS(#REF!*12+ROW($A6)-1,COLUMN(AH$1))))</f>
        <v>#REF!</v>
      </c>
      <c r="AI5" s="47" t="e">
        <f ca="1">IF(INDIRECT("beschriftung.!"&amp;ADDRESS(#REF!*12+ROW($A6)-1,COLUMN(AI$1)))="","",INDIRECT("beschriftung.!"&amp;ADDRESS(#REF!*12+ROW($A6)-1,COLUMN(AI$1))))</f>
        <v>#REF!</v>
      </c>
      <c r="AJ5" s="47" t="e">
        <f ca="1">IF(INDIRECT("beschriftung.!"&amp;ADDRESS(#REF!*12+ROW($A6)-1,COLUMN(AJ$1)))="","",INDIRECT("beschriftung.!"&amp;ADDRESS(#REF!*12+ROW($A6)-1,COLUMN(AJ$1))))</f>
        <v>#REF!</v>
      </c>
      <c r="AK5" s="47"/>
      <c r="AL5" s="47"/>
      <c r="AM5" s="47" t="e">
        <f ca="1">IF(INDIRECT("beschriftung.!"&amp;ADDRESS(#REF!*12+ROW($A6)-1,COLUMN(AM$1)))="","",INDIRECT("beschriftung.!"&amp;ADDRESS(#REF!*12+ROW($A6)-1,COLUMN(AM$1))))</f>
        <v>#REF!</v>
      </c>
      <c r="AN5" s="47" t="e">
        <f ca="1">IF(INDIRECT("beschriftung.!"&amp;ADDRESS(#REF!*12+ROW($A6)-1,COLUMN(AN$1)))="","",INDIRECT("beschriftung.!"&amp;ADDRESS(#REF!*12+ROW($A6)-1,COLUMN(AN$1))))</f>
        <v>#REF!</v>
      </c>
      <c r="AO5" s="47" t="e">
        <f ca="1">IF(INDIRECT("beschriftung.!"&amp;ADDRESS(#REF!*12+ROW($A6)-1,COLUMN(AO$1)))="","",INDIRECT("beschriftung.!"&amp;ADDRESS(#REF!*12+ROW($A6)-1,COLUMN(AO$1))))</f>
        <v>#REF!</v>
      </c>
      <c r="AP5" s="47" t="e">
        <f ca="1">IF(INDIRECT("beschriftung.!"&amp;ADDRESS(#REF!*12+ROW($A6)-1,COLUMN(AP$1)))="","",INDIRECT("beschriftung.!"&amp;ADDRESS(#REF!*12+ROW($A6)-1,COLUMN(AP$1))))</f>
        <v>#REF!</v>
      </c>
      <c r="AQ5" s="47" t="e">
        <f ca="1">IF(INDIRECT("beschriftung.!"&amp;ADDRESS(#REF!*12+ROW($A6)-1,COLUMN(AQ$1)))="","",INDIRECT("beschriftung.!"&amp;ADDRESS(#REF!*12+ROW($A6)-1,COLUMN(AQ$1))))</f>
        <v>#REF!</v>
      </c>
      <c r="AR5" s="47" t="e">
        <f ca="1">IF(INDIRECT("beschriftung.!"&amp;ADDRESS(#REF!*12+ROW($A6)-1,COLUMN(AR$1)))="","",INDIRECT("beschriftung.!"&amp;ADDRESS(#REF!*12+ROW($A6)-1,COLUMN(AR$1))))</f>
        <v>#REF!</v>
      </c>
      <c r="AS5" s="47" t="e">
        <f ca="1">IF(INDIRECT("beschriftung.!"&amp;ADDRESS(#REF!*12+ROW($A6)-1,COLUMN(AS$1)))="","",INDIRECT("beschriftung.!"&amp;ADDRESS(#REF!*12+ROW($A6)-1,COLUMN(AS$1))))</f>
        <v>#REF!</v>
      </c>
      <c r="AT5" s="47" t="e">
        <f ca="1">IF(INDIRECT("beschriftung.!"&amp;ADDRESS(#REF!*12+ROW($A6)-1,COLUMN(AT$1)))="","",INDIRECT("beschriftung.!"&amp;ADDRESS(#REF!*12+ROW($A6)-1,COLUMN(AT$1))))</f>
        <v>#REF!</v>
      </c>
      <c r="AU5" s="47" t="e">
        <f ca="1">IF(INDIRECT("beschriftung.!"&amp;ADDRESS(#REF!*12+ROW($A6)-1,COLUMN(AU$1)))="","",INDIRECT("beschriftung.!"&amp;ADDRESS(#REF!*12+ROW($A6)-1,COLUMN(AU$1))))</f>
        <v>#REF!</v>
      </c>
      <c r="AV5" s="47" t="e">
        <f ca="1">IF(INDIRECT("beschriftung.!"&amp;ADDRESS(#REF!*12+ROW($A6)-1,COLUMN(AV$1)))="","",INDIRECT("beschriftung.!"&amp;ADDRESS(#REF!*12+ROW($A6)-1,COLUMN(AV$1))))</f>
        <v>#REF!</v>
      </c>
      <c r="AW5" s="47"/>
      <c r="AX5" s="47"/>
      <c r="AY5" s="47" t="e">
        <f ca="1">IF(INDIRECT("beschriftung.!"&amp;ADDRESS(#REF!*12+ROW($A6)-1,COLUMN(AY$1)))="","",INDIRECT("beschriftung.!"&amp;ADDRESS(#REF!*12+ROW($A6)-1,COLUMN(AY$1))))</f>
        <v>#REF!</v>
      </c>
      <c r="AZ5" s="50" t="e">
        <f ca="1">IF(INDIRECT("beschriftung.!"&amp;ADDRESS(#REF!*12+ROW($A6)-1,COLUMN(AZ$1)))="","",INDIRECT("beschriftung.!"&amp;ADDRESS(#REF!*12+ROW($A6)-1,COLUMN(AZ$1))))</f>
        <v>#REF!</v>
      </c>
      <c r="BA5" s="49" t="str">
        <f ca="1">INDIRECT("beschriftung!"&amp;ADDRESS(beschriftung!$C$1*12+ROW(beschriftung!$A6)-1,COLUMN(beschriftung!AS$1)))</f>
        <v>Adjustments</v>
      </c>
      <c r="BB5" s="47" t="e">
        <f ca="1">IF(INDIRECT("beschriftung.!"&amp;ADDRESS(#REF!*12+ROW($A6)-1,COLUMN(BB$1)))="","",INDIRECT("beschriftung.!"&amp;ADDRESS(#REF!*12+ROW($A6)-1,COLUMN(BB$1))))</f>
        <v>#REF!</v>
      </c>
      <c r="BC5" s="47" t="e">
        <f ca="1">IF(INDIRECT("beschriftung.!"&amp;ADDRESS(#REF!*12+ROW($A6)-1,COLUMN(BC$1)))="","",INDIRECT("beschriftung.!"&amp;ADDRESS(#REF!*12+ROW($A6)-1,COLUMN(BC$1))))</f>
        <v>#REF!</v>
      </c>
      <c r="BD5" s="47" t="e">
        <f ca="1">IF(INDIRECT("beschriftung.!"&amp;ADDRESS(#REF!*12+ROW($A6)-1,COLUMN(BD$1)))="","",INDIRECT("beschriftung.!"&amp;ADDRESS(#REF!*12+ROW($A6)-1,COLUMN(BD$1))))</f>
        <v>#REF!</v>
      </c>
      <c r="BE5" s="47" t="e">
        <f ca="1">IF(INDIRECT("beschriftung.!"&amp;ADDRESS(#REF!*12+ROW($A6)-1,COLUMN(BE$1)))="","",INDIRECT("beschriftung.!"&amp;ADDRESS(#REF!*12+ROW($A6)-1,COLUMN(BE$1))))</f>
        <v>#REF!</v>
      </c>
      <c r="BF5" s="50" t="e">
        <f ca="1">IF(INDIRECT("beschriftung.!"&amp;ADDRESS(#REF!*12+ROW($A6)-1,COLUMN(BF$1)))="","",INDIRECT("beschriftung.!"&amp;ADDRESS(#REF!*12+ROW($A6)-1,COLUMN(BF$1))))</f>
        <v>#REF!</v>
      </c>
    </row>
    <row r="6" spans="1:60" ht="11.25" customHeight="1" x14ac:dyDescent="0.15">
      <c r="A6" s="5"/>
      <c r="C6" s="67"/>
      <c r="D6" s="55"/>
      <c r="E6" s="60" t="s">
        <v>3</v>
      </c>
      <c r="F6" s="29"/>
      <c r="G6" s="36" t="str">
        <f ca="1">INDIRECT("beschriftung!"&amp;ADDRESS(beschriftung!$C$1*12+ROW(beschriftung!$A7)-1,COLUMN(beschriftung!E$1)))</f>
        <v xml:space="preserve">Agriculture, forestry and fishing </v>
      </c>
      <c r="H6" s="36"/>
      <c r="I6" s="36" t="str">
        <f ca="1">INDIRECT("beschriftung!"&amp;ADDRESS(beschriftung!$C$1*12+ROW(beschriftung!$A7)-1,COLUMN(beschriftung!G$1)))</f>
        <v>Mining and quarrying</v>
      </c>
      <c r="J6" s="36"/>
      <c r="K6" s="36" t="str">
        <f ca="1">INDIRECT("beschriftung!"&amp;ADDRESS(beschriftung!$C$1*12+ROW(beschriftung!$A7)-1,COLUMN(beschriftung!I$1)))</f>
        <v>Manufacturing</v>
      </c>
      <c r="L6" s="37"/>
      <c r="M6" s="42"/>
      <c r="N6" s="42"/>
      <c r="O6" s="42"/>
      <c r="P6" s="43"/>
      <c r="Q6" s="41" t="str">
        <f ca="1">INDIRECT("beschriftung!"&amp;ADDRESS(beschriftung!$C$1*12+ROW(beschriftung!$A7)-1,COLUMN(beschriftung!M$1)))</f>
        <v>Electricity, gas, steam and air conditioning supply</v>
      </c>
      <c r="R6" s="36"/>
      <c r="S6" s="36" t="str">
        <f ca="1">INDIRECT("beschriftung!"&amp;ADDRESS(beschriftung!$C$1*12+ROW(beschriftung!$A7)-1,COLUMN(beschriftung!O$1)))</f>
        <v>Water supply, sewerage, waste management and remediation activities</v>
      </c>
      <c r="T6" s="36"/>
      <c r="U6" s="36" t="str">
        <f ca="1">INDIRECT("beschriftung!"&amp;ADDRESS(beschriftung!$C$1*12+ROW(beschriftung!$A7)-1,COLUMN(beschriftung!Q$1)))</f>
        <v>Construction</v>
      </c>
      <c r="V6" s="36"/>
      <c r="W6" s="36" t="str">
        <f ca="1">INDIRECT("beschriftung!"&amp;ADDRESS(beschriftung!$C$1*12+ROW(beschriftung!$A7)-1,COLUMN(beschriftung!S$1)))</f>
        <v>Trade, repair of motor vehicles and motorcycles</v>
      </c>
      <c r="X6" s="37"/>
      <c r="Y6" s="51"/>
      <c r="Z6" s="52"/>
      <c r="AA6" s="36" t="str">
        <f ca="1">INDIRECT("beschriftung!"&amp;ADDRESS(beschriftung!$C$1*12+ROW(beschriftung!$A7)-1,COLUMN(beschriftung!W$1)))</f>
        <v>Transportation and storage</v>
      </c>
      <c r="AB6" s="36"/>
      <c r="AC6" s="36" t="str">
        <f ca="1">INDIRECT("beschriftung!"&amp;ADDRESS(beschriftung!$C$1*12+ROW(beschriftung!$A7)-1,COLUMN(beschriftung!Y$1)))</f>
        <v>Accommodation and food service activities</v>
      </c>
      <c r="AD6" s="36"/>
      <c r="AE6" s="37" t="str">
        <f ca="1">INDIRECT("beschriftung!"&amp;ADDRESS(beschriftung!$C$1*12+ROW(beschriftung!$A7)-1,COLUMN(beschriftung!X$1)))</f>
        <v>Information and communication</v>
      </c>
      <c r="AF6" s="41"/>
      <c r="AG6" s="36" t="str">
        <f ca="1">INDIRECT("beschriftung!"&amp;ADDRESS(beschriftung!$C$1*12+ROW(beschriftung!$A7)-1,COLUMN(beschriftung!AA$1)))</f>
        <v>Financial and insurance activities</v>
      </c>
      <c r="AH6" s="37"/>
      <c r="AI6" s="22"/>
      <c r="AJ6" s="22"/>
      <c r="AK6" s="22"/>
      <c r="AL6" s="23"/>
      <c r="AM6" s="41" t="str">
        <f ca="1">INDIRECT("beschriftung!"&amp;ADDRESS(beschriftung!$C$1*12+ROW(beschriftung!$A7)-1,COLUMN(beschriftung!AE$1)))</f>
        <v>Real estate, professional, scientific, technical activities and administrative services</v>
      </c>
      <c r="AN6" s="36"/>
      <c r="AO6" s="36" t="str">
        <f ca="1">INDIRECT("beschriftung!"&amp;ADDRESS(beschriftung!$C$1*12+ROW(beschriftung!$A7)-1,COLUMN(beschriftung!AG$1)))</f>
        <v>Public administration</v>
      </c>
      <c r="AP6" s="36"/>
      <c r="AQ6" s="36" t="str">
        <f ca="1">INDIRECT("beschriftung!"&amp;ADDRESS(beschriftung!$C$1*12+ROW(beschriftung!$A7)-1,COLUMN(beschriftung!AI$1)))</f>
        <v>Education</v>
      </c>
      <c r="AR6" s="36"/>
      <c r="AS6" s="36" t="str">
        <f ca="1">INDIRECT("beschriftung!"&amp;ADDRESS(beschriftung!$C$1*12+ROW(beschriftung!$A7)-1,COLUMN(beschriftung!AK$1)))</f>
        <v>Human health and social work activities</v>
      </c>
      <c r="AT6" s="36"/>
      <c r="AU6" s="36" t="str">
        <f ca="1">INDIRECT("beschriftung!"&amp;ADDRESS(beschriftung!$C$1*12+ROW(beschriftung!$A7)-1,COLUMN(beschriftung!AM$1)))</f>
        <v xml:space="preserve">Arts, entertainment and recreation </v>
      </c>
      <c r="AV6" s="36"/>
      <c r="AW6" s="36" t="str">
        <f ca="1">INDIRECT("beschriftung!"&amp;ADDRESS(beschriftung!$C$1*12+ROW(beschriftung!$A7)-1,COLUMN(beschriftung!AO$1)))</f>
        <v>Other service activities</v>
      </c>
      <c r="AX6" s="36"/>
      <c r="AY6" s="36" t="str">
        <f ca="1">INDIRECT("beschriftung!"&amp;ADDRESS(beschriftung!$C$1*12+ROW(beschriftung!$A7)-1,COLUMN(beschriftung!AQ$1)))</f>
        <v>Activities of housholds as employers and producers for own use</v>
      </c>
      <c r="AZ6" s="36"/>
      <c r="BA6" s="55"/>
      <c r="BB6" s="55"/>
      <c r="BC6" s="36" t="str">
        <f ca="1">INDIRECT("beschriftung!"&amp;ADDRESS(beschriftung!$C$1*12+ROW(beschriftung!$A7)-1,COLUMN(beschriftung!AU$1)))</f>
        <v>Taxes on products</v>
      </c>
      <c r="BD6" s="36"/>
      <c r="BE6" s="36" t="str">
        <f ca="1">INDIRECT("beschriftung!"&amp;ADDRESS(beschriftung!$C$1*12+ROW(beschriftung!$A7)-1,COLUMN(beschriftung!AW$1)))</f>
        <v>Subsidies on products</v>
      </c>
      <c r="BF6" s="36"/>
    </row>
    <row r="7" spans="1:60" ht="11.25" customHeight="1" x14ac:dyDescent="0.15">
      <c r="A7" s="8"/>
      <c r="B7" s="8"/>
      <c r="C7" s="67"/>
      <c r="D7" s="55"/>
      <c r="E7" s="60"/>
      <c r="F7" s="29"/>
      <c r="G7" s="38"/>
      <c r="H7" s="38"/>
      <c r="I7" s="38"/>
      <c r="J7" s="38"/>
      <c r="K7" s="38"/>
      <c r="L7" s="28"/>
      <c r="M7" s="44"/>
      <c r="N7" s="44"/>
      <c r="O7" s="44"/>
      <c r="P7" s="45"/>
      <c r="Q7" s="29"/>
      <c r="R7" s="38"/>
      <c r="S7" s="38"/>
      <c r="T7" s="38"/>
      <c r="U7" s="38"/>
      <c r="V7" s="38"/>
      <c r="W7" s="38"/>
      <c r="X7" s="28"/>
      <c r="Y7" s="53"/>
      <c r="Z7" s="54"/>
      <c r="AA7" s="38"/>
      <c r="AB7" s="38"/>
      <c r="AC7" s="38"/>
      <c r="AD7" s="38"/>
      <c r="AE7" s="28"/>
      <c r="AF7" s="29"/>
      <c r="AG7" s="38"/>
      <c r="AH7" s="28"/>
      <c r="AI7" s="24"/>
      <c r="AJ7" s="24"/>
      <c r="AK7" s="24"/>
      <c r="AL7" s="25"/>
      <c r="AM7" s="29"/>
      <c r="AN7" s="38"/>
      <c r="AO7" s="38"/>
      <c r="AP7" s="38"/>
      <c r="AQ7" s="38"/>
      <c r="AR7" s="38"/>
      <c r="AS7" s="38"/>
      <c r="AT7" s="38"/>
      <c r="AU7" s="38"/>
      <c r="AV7" s="38"/>
      <c r="AW7" s="38"/>
      <c r="AX7" s="38"/>
      <c r="AY7" s="38"/>
      <c r="AZ7" s="38"/>
      <c r="BA7" s="55"/>
      <c r="BB7" s="55"/>
      <c r="BC7" s="38"/>
      <c r="BD7" s="38"/>
      <c r="BE7" s="38"/>
      <c r="BF7" s="38"/>
    </row>
    <row r="8" spans="1:60" ht="11.25" customHeight="1" x14ac:dyDescent="0.15">
      <c r="A8" s="2"/>
      <c r="B8" s="2"/>
      <c r="C8" s="67"/>
      <c r="D8" s="55"/>
      <c r="E8" s="61"/>
      <c r="F8" s="62"/>
      <c r="G8" s="39"/>
      <c r="H8" s="39"/>
      <c r="I8" s="39"/>
      <c r="J8" s="39"/>
      <c r="K8" s="39"/>
      <c r="L8" s="39"/>
      <c r="M8" s="28" t="str">
        <f ca="1">INDIRECT("beschriftung!"&amp;ADDRESS(beschriftung!$C$1*12+ROW(beschriftung!$A7),COLUMN(beschriftung!J$1)))</f>
        <v>thereof chemicals and pharmaceuticals</v>
      </c>
      <c r="N8" s="29"/>
      <c r="O8" s="28" t="str">
        <f ca="1">INDIRECT("beschriftung!"&amp;ADDRESS(beschriftung!$C$1*12+ROW(beschriftung!$A7),COLUMN(beschriftung!K$1)))</f>
        <v xml:space="preserve">thereof other manufacturing </v>
      </c>
      <c r="P8" s="29"/>
      <c r="Q8" s="39"/>
      <c r="R8" s="39"/>
      <c r="S8" s="39"/>
      <c r="T8" s="39"/>
      <c r="U8" s="39"/>
      <c r="V8" s="39"/>
      <c r="W8" s="39"/>
      <c r="X8" s="39"/>
      <c r="Y8" s="28" t="str">
        <f ca="1">INDIRECT("beschriftung!"&amp;ADDRESS(beschriftung!$C$1*12+ROW(beschriftung!$A7),COLUMN(beschriftung!U$1)))</f>
        <v>thereof retail trade</v>
      </c>
      <c r="Z8" s="29"/>
      <c r="AA8" s="39"/>
      <c r="AB8" s="39"/>
      <c r="AC8" s="39"/>
      <c r="AD8" s="39"/>
      <c r="AE8" s="28"/>
      <c r="AF8" s="29"/>
      <c r="AG8" s="39"/>
      <c r="AH8" s="39"/>
      <c r="AI8" s="28" t="str">
        <f ca="1">INDIRECT("beschriftung!"&amp;ADDRESS(beschriftung!$C$1*12+ROW(beschriftung!$A7),COLUMN(beschriftung!AB$1)))</f>
        <v>thereof financial activities</v>
      </c>
      <c r="AJ8" s="29"/>
      <c r="AK8" s="28" t="str">
        <f ca="1">INDIRECT("beschriftung!"&amp;ADDRESS(beschriftung!$C$1*12+ROW(beschriftung!$A7),COLUMN(beschriftung!AC$1)))</f>
        <v>thereof insurance activities</v>
      </c>
      <c r="AL8" s="29"/>
      <c r="AM8" s="39"/>
      <c r="AN8" s="39"/>
      <c r="AO8" s="39"/>
      <c r="AP8" s="39"/>
      <c r="AQ8" s="39"/>
      <c r="AR8" s="39"/>
      <c r="AS8" s="39"/>
      <c r="AT8" s="39"/>
      <c r="AU8" s="39"/>
      <c r="AV8" s="39"/>
      <c r="AW8" s="39"/>
      <c r="AX8" s="39"/>
      <c r="AY8" s="39"/>
      <c r="AZ8" s="39"/>
      <c r="BA8" s="55"/>
      <c r="BB8" s="55"/>
      <c r="BC8" s="39"/>
      <c r="BD8" s="39"/>
      <c r="BE8" s="39"/>
      <c r="BF8" s="39"/>
    </row>
    <row r="9" spans="1:60" ht="11.25" customHeight="1" x14ac:dyDescent="0.15">
      <c r="A9" s="2"/>
      <c r="B9" s="2"/>
      <c r="C9" s="67"/>
      <c r="D9" s="55"/>
      <c r="E9" s="61"/>
      <c r="F9" s="62"/>
      <c r="G9" s="39"/>
      <c r="H9" s="39"/>
      <c r="I9" s="39"/>
      <c r="J9" s="39"/>
      <c r="K9" s="39"/>
      <c r="L9" s="39"/>
      <c r="M9" s="28"/>
      <c r="N9" s="29"/>
      <c r="O9" s="28"/>
      <c r="P9" s="29"/>
      <c r="Q9" s="39"/>
      <c r="R9" s="39"/>
      <c r="S9" s="39"/>
      <c r="T9" s="39"/>
      <c r="U9" s="39"/>
      <c r="V9" s="39"/>
      <c r="W9" s="39"/>
      <c r="X9" s="39"/>
      <c r="Y9" s="28"/>
      <c r="Z9" s="29"/>
      <c r="AA9" s="39"/>
      <c r="AB9" s="39"/>
      <c r="AC9" s="39"/>
      <c r="AD9" s="39"/>
      <c r="AE9" s="28"/>
      <c r="AF9" s="29"/>
      <c r="AG9" s="39"/>
      <c r="AH9" s="39"/>
      <c r="AI9" s="28"/>
      <c r="AJ9" s="29"/>
      <c r="AK9" s="28"/>
      <c r="AL9" s="29"/>
      <c r="AM9" s="39"/>
      <c r="AN9" s="39"/>
      <c r="AO9" s="39"/>
      <c r="AP9" s="39"/>
      <c r="AQ9" s="39"/>
      <c r="AR9" s="39"/>
      <c r="AS9" s="39"/>
      <c r="AT9" s="39"/>
      <c r="AU9" s="39"/>
      <c r="AV9" s="39"/>
      <c r="AW9" s="39"/>
      <c r="AX9" s="39"/>
      <c r="AY9" s="39"/>
      <c r="AZ9" s="39"/>
      <c r="BA9" s="55"/>
      <c r="BB9" s="55"/>
      <c r="BC9" s="39"/>
      <c r="BD9" s="39"/>
      <c r="BE9" s="39"/>
      <c r="BF9" s="39"/>
    </row>
    <row r="10" spans="1:60" ht="11.25" customHeight="1" x14ac:dyDescent="0.15">
      <c r="A10" s="2"/>
      <c r="B10" s="8"/>
      <c r="C10" s="68"/>
      <c r="D10" s="69"/>
      <c r="E10" s="63"/>
      <c r="F10" s="64"/>
      <c r="G10" s="40"/>
      <c r="H10" s="40"/>
      <c r="I10" s="40"/>
      <c r="J10" s="40"/>
      <c r="K10" s="40"/>
      <c r="L10" s="40"/>
      <c r="M10" s="30"/>
      <c r="N10" s="31"/>
      <c r="O10" s="30"/>
      <c r="P10" s="31"/>
      <c r="Q10" s="40"/>
      <c r="R10" s="40"/>
      <c r="S10" s="40"/>
      <c r="T10" s="40"/>
      <c r="U10" s="40"/>
      <c r="V10" s="40"/>
      <c r="W10" s="40"/>
      <c r="X10" s="40"/>
      <c r="Y10" s="30"/>
      <c r="Z10" s="31"/>
      <c r="AA10" s="40"/>
      <c r="AB10" s="40"/>
      <c r="AC10" s="40"/>
      <c r="AD10" s="40"/>
      <c r="AE10" s="30"/>
      <c r="AF10" s="31"/>
      <c r="AG10" s="40"/>
      <c r="AH10" s="40"/>
      <c r="AI10" s="30"/>
      <c r="AJ10" s="31"/>
      <c r="AK10" s="30"/>
      <c r="AL10" s="31"/>
      <c r="AM10" s="40"/>
      <c r="AN10" s="40"/>
      <c r="AO10" s="40"/>
      <c r="AP10" s="40"/>
      <c r="AQ10" s="40"/>
      <c r="AR10" s="40"/>
      <c r="AS10" s="40"/>
      <c r="AT10" s="40"/>
      <c r="AU10" s="40"/>
      <c r="AV10" s="40"/>
      <c r="AW10" s="40"/>
      <c r="AX10" s="40"/>
      <c r="AY10" s="40"/>
      <c r="AZ10" s="40"/>
      <c r="BA10" s="55"/>
      <c r="BB10" s="55"/>
      <c r="BC10" s="40"/>
      <c r="BD10" s="40"/>
      <c r="BE10" s="40"/>
      <c r="BF10" s="40"/>
    </row>
    <row r="11" spans="1:60" ht="11.25" customHeight="1" x14ac:dyDescent="0.15">
      <c r="A11" s="2"/>
      <c r="B11" s="8"/>
      <c r="C11" s="58" t="s">
        <v>201</v>
      </c>
      <c r="D11" s="59"/>
      <c r="E11" s="56" t="s">
        <v>202</v>
      </c>
      <c r="F11" s="57"/>
      <c r="G11" s="34" t="s">
        <v>113</v>
      </c>
      <c r="H11" s="35"/>
      <c r="I11" s="34" t="s">
        <v>114</v>
      </c>
      <c r="J11" s="35"/>
      <c r="K11" s="34" t="s">
        <v>115</v>
      </c>
      <c r="L11" s="35"/>
      <c r="M11" s="34" t="s">
        <v>116</v>
      </c>
      <c r="N11" s="35"/>
      <c r="O11" s="26" t="s">
        <v>195</v>
      </c>
      <c r="P11" s="27"/>
      <c r="Q11" s="34" t="s">
        <v>117</v>
      </c>
      <c r="R11" s="35"/>
      <c r="S11" s="34" t="s">
        <v>118</v>
      </c>
      <c r="T11" s="35"/>
      <c r="U11" s="34" t="s">
        <v>119</v>
      </c>
      <c r="V11" s="35"/>
      <c r="W11" s="34" t="s">
        <v>120</v>
      </c>
      <c r="X11" s="35"/>
      <c r="Y11" s="34" t="s">
        <v>121</v>
      </c>
      <c r="Z11" s="35"/>
      <c r="AA11" s="34" t="s">
        <v>196</v>
      </c>
      <c r="AB11" s="35"/>
      <c r="AC11" s="34" t="s">
        <v>122</v>
      </c>
      <c r="AD11" s="35"/>
      <c r="AE11" s="26" t="s">
        <v>197</v>
      </c>
      <c r="AF11" s="27"/>
      <c r="AG11" s="34" t="s">
        <v>198</v>
      </c>
      <c r="AH11" s="35"/>
      <c r="AI11" s="34" t="s">
        <v>123</v>
      </c>
      <c r="AJ11" s="35"/>
      <c r="AK11" s="26" t="s">
        <v>124</v>
      </c>
      <c r="AL11" s="27"/>
      <c r="AM11" s="34" t="s">
        <v>125</v>
      </c>
      <c r="AN11" s="35"/>
      <c r="AO11" s="34" t="s">
        <v>126</v>
      </c>
      <c r="AP11" s="35"/>
      <c r="AQ11" s="34" t="s">
        <v>127</v>
      </c>
      <c r="AR11" s="35"/>
      <c r="AS11" s="34" t="s">
        <v>128</v>
      </c>
      <c r="AT11" s="34"/>
      <c r="AU11" s="34" t="s">
        <v>96</v>
      </c>
      <c r="AV11" s="35"/>
      <c r="AW11" s="34" t="s">
        <v>129</v>
      </c>
      <c r="AX11" s="35"/>
      <c r="AY11" s="34" t="s">
        <v>130</v>
      </c>
      <c r="AZ11" s="35"/>
      <c r="BA11" s="10"/>
      <c r="BB11" s="11"/>
      <c r="BC11" s="32" t="s">
        <v>199</v>
      </c>
      <c r="BD11" s="33"/>
      <c r="BE11" s="32" t="s">
        <v>200</v>
      </c>
      <c r="BF11" s="33"/>
    </row>
    <row r="12" spans="1:60" x14ac:dyDescent="0.15">
      <c r="A12" s="17">
        <v>1980</v>
      </c>
      <c r="B12" s="17"/>
      <c r="C12" s="18">
        <v>367563.18218398298</v>
      </c>
      <c r="D12" s="19"/>
      <c r="E12" s="18"/>
      <c r="F12" s="19"/>
      <c r="G12" s="18"/>
      <c r="H12" s="19"/>
      <c r="I12" s="18"/>
      <c r="J12" s="19"/>
      <c r="K12" s="18"/>
      <c r="L12" s="19"/>
      <c r="M12" s="18"/>
      <c r="N12" s="19"/>
      <c r="O12" s="18"/>
      <c r="P12" s="19"/>
      <c r="Q12" s="18"/>
      <c r="R12" s="19"/>
      <c r="S12" s="18"/>
      <c r="T12" s="19"/>
      <c r="U12" s="18"/>
      <c r="V12" s="19"/>
      <c r="W12" s="18"/>
      <c r="X12" s="19"/>
      <c r="Y12" s="18"/>
      <c r="Z12" s="19"/>
      <c r="AA12" s="18"/>
      <c r="AB12" s="19"/>
      <c r="AC12" s="18"/>
      <c r="AD12" s="19"/>
      <c r="AE12" s="18"/>
      <c r="AF12" s="19"/>
      <c r="AG12" s="18"/>
      <c r="AH12" s="19"/>
      <c r="AI12" s="18"/>
      <c r="AJ12" s="19"/>
      <c r="AK12" s="18"/>
      <c r="AL12" s="19"/>
      <c r="AM12" s="18"/>
      <c r="AN12" s="19"/>
      <c r="AO12" s="18"/>
      <c r="AP12" s="19"/>
      <c r="AQ12" s="18"/>
      <c r="AR12" s="19"/>
      <c r="AS12" s="18"/>
      <c r="AT12" s="19"/>
      <c r="AU12" s="18"/>
      <c r="AV12" s="19"/>
      <c r="AW12" s="18"/>
      <c r="AX12" s="19"/>
      <c r="AY12" s="18"/>
      <c r="AZ12" s="19"/>
      <c r="BA12" s="18"/>
      <c r="BB12" s="19"/>
      <c r="BC12" s="18"/>
      <c r="BD12" s="19"/>
      <c r="BE12" s="18"/>
      <c r="BF12" s="19"/>
      <c r="BG12" s="18"/>
      <c r="BH12" s="19"/>
    </row>
    <row r="13" spans="1:60" x14ac:dyDescent="0.15">
      <c r="A13" s="17">
        <v>1981</v>
      </c>
      <c r="B13" s="17"/>
      <c r="C13" s="18">
        <v>373669.13468060899</v>
      </c>
      <c r="D13" s="19">
        <v>1.66119807221876E-2</v>
      </c>
      <c r="E13" s="18"/>
      <c r="F13" s="19"/>
      <c r="G13" s="18"/>
      <c r="H13" s="19"/>
      <c r="I13" s="18"/>
      <c r="J13" s="19"/>
      <c r="K13" s="18"/>
      <c r="L13" s="19"/>
      <c r="M13" s="18"/>
      <c r="N13" s="19"/>
      <c r="O13" s="18"/>
      <c r="P13" s="19"/>
      <c r="Q13" s="18"/>
      <c r="R13" s="19"/>
      <c r="S13" s="18"/>
      <c r="T13" s="19"/>
      <c r="U13" s="18"/>
      <c r="V13" s="19"/>
      <c r="W13" s="18"/>
      <c r="X13" s="19"/>
      <c r="Y13" s="18"/>
      <c r="Z13" s="19"/>
      <c r="AA13" s="18"/>
      <c r="AB13" s="19"/>
      <c r="AC13" s="18"/>
      <c r="AD13" s="19"/>
      <c r="AE13" s="18"/>
      <c r="AF13" s="19"/>
      <c r="AG13" s="18"/>
      <c r="AH13" s="19"/>
      <c r="AI13" s="18"/>
      <c r="AJ13" s="19"/>
      <c r="AK13" s="18"/>
      <c r="AL13" s="19"/>
      <c r="AM13" s="18"/>
      <c r="AN13" s="19"/>
      <c r="AO13" s="18"/>
      <c r="AP13" s="19"/>
      <c r="AQ13" s="18"/>
      <c r="AR13" s="19"/>
      <c r="AS13" s="18"/>
      <c r="AT13" s="19"/>
      <c r="AU13" s="18"/>
      <c r="AV13" s="19"/>
      <c r="AW13" s="18"/>
      <c r="AX13" s="19"/>
      <c r="AY13" s="18"/>
      <c r="AZ13" s="19"/>
      <c r="BA13" s="18"/>
      <c r="BB13" s="19"/>
      <c r="BC13" s="18"/>
      <c r="BD13" s="19"/>
      <c r="BE13" s="18"/>
      <c r="BF13" s="19"/>
      <c r="BG13" s="18"/>
      <c r="BH13" s="19"/>
    </row>
    <row r="14" spans="1:60" x14ac:dyDescent="0.15">
      <c r="A14" s="17">
        <v>1982</v>
      </c>
      <c r="B14" s="17"/>
      <c r="C14" s="18">
        <v>368693.98373790702</v>
      </c>
      <c r="D14" s="19">
        <v>-1.3314321363347901E-2</v>
      </c>
      <c r="E14" s="18"/>
      <c r="F14" s="19"/>
      <c r="G14" s="18"/>
      <c r="H14" s="19"/>
      <c r="I14" s="18"/>
      <c r="J14" s="19"/>
      <c r="K14" s="18"/>
      <c r="L14" s="19"/>
      <c r="M14" s="18"/>
      <c r="N14" s="19"/>
      <c r="O14" s="18"/>
      <c r="P14" s="19"/>
      <c r="Q14" s="18"/>
      <c r="R14" s="19"/>
      <c r="S14" s="18"/>
      <c r="T14" s="19"/>
      <c r="U14" s="18"/>
      <c r="V14" s="19"/>
      <c r="W14" s="18"/>
      <c r="X14" s="19"/>
      <c r="Y14" s="18"/>
      <c r="Z14" s="19"/>
      <c r="AA14" s="18"/>
      <c r="AB14" s="19"/>
      <c r="AC14" s="18"/>
      <c r="AD14" s="19"/>
      <c r="AE14" s="18"/>
      <c r="AF14" s="19"/>
      <c r="AG14" s="18"/>
      <c r="AH14" s="19"/>
      <c r="AI14" s="18"/>
      <c r="AJ14" s="19"/>
      <c r="AK14" s="18"/>
      <c r="AL14" s="19"/>
      <c r="AM14" s="18"/>
      <c r="AN14" s="19"/>
      <c r="AO14" s="18"/>
      <c r="AP14" s="19"/>
      <c r="AQ14" s="18"/>
      <c r="AR14" s="19"/>
      <c r="AS14" s="18"/>
      <c r="AT14" s="19"/>
      <c r="AU14" s="18"/>
      <c r="AV14" s="19"/>
      <c r="AW14" s="18"/>
      <c r="AX14" s="19"/>
      <c r="AY14" s="18"/>
      <c r="AZ14" s="19"/>
      <c r="BA14" s="18"/>
      <c r="BB14" s="19"/>
      <c r="BC14" s="18"/>
      <c r="BD14" s="19"/>
      <c r="BE14" s="18"/>
      <c r="BF14" s="19"/>
      <c r="BG14" s="18"/>
      <c r="BH14" s="19"/>
    </row>
    <row r="15" spans="1:60" x14ac:dyDescent="0.15">
      <c r="A15" s="17">
        <v>1983</v>
      </c>
      <c r="B15" s="17"/>
      <c r="C15" s="18">
        <v>371026.87451012997</v>
      </c>
      <c r="D15" s="19">
        <v>6.3274446427663599E-3</v>
      </c>
      <c r="E15" s="18"/>
      <c r="F15" s="19"/>
      <c r="G15" s="18"/>
      <c r="H15" s="19"/>
      <c r="I15" s="18"/>
      <c r="J15" s="19"/>
      <c r="K15" s="18"/>
      <c r="L15" s="19"/>
      <c r="M15" s="18"/>
      <c r="N15" s="19"/>
      <c r="O15" s="18"/>
      <c r="P15" s="19"/>
      <c r="Q15" s="18"/>
      <c r="R15" s="19"/>
      <c r="S15" s="18"/>
      <c r="T15" s="19"/>
      <c r="U15" s="18"/>
      <c r="V15" s="19"/>
      <c r="W15" s="18"/>
      <c r="X15" s="19"/>
      <c r="Y15" s="18"/>
      <c r="Z15" s="19"/>
      <c r="AA15" s="18"/>
      <c r="AB15" s="19"/>
      <c r="AC15" s="18"/>
      <c r="AD15" s="19"/>
      <c r="AE15" s="18"/>
      <c r="AF15" s="19"/>
      <c r="AG15" s="18"/>
      <c r="AH15" s="19"/>
      <c r="AI15" s="18"/>
      <c r="AJ15" s="19"/>
      <c r="AK15" s="18"/>
      <c r="AL15" s="19"/>
      <c r="AM15" s="18"/>
      <c r="AN15" s="19"/>
      <c r="AO15" s="18"/>
      <c r="AP15" s="19"/>
      <c r="AQ15" s="18"/>
      <c r="AR15" s="19"/>
      <c r="AS15" s="18"/>
      <c r="AT15" s="19"/>
      <c r="AU15" s="18"/>
      <c r="AV15" s="19"/>
      <c r="AW15" s="18"/>
      <c r="AX15" s="19"/>
      <c r="AY15" s="18"/>
      <c r="AZ15" s="19"/>
      <c r="BA15" s="18"/>
      <c r="BB15" s="19"/>
      <c r="BC15" s="18"/>
      <c r="BD15" s="19"/>
      <c r="BE15" s="18"/>
      <c r="BF15" s="19"/>
      <c r="BG15" s="18"/>
      <c r="BH15" s="19"/>
    </row>
    <row r="16" spans="1:60" x14ac:dyDescent="0.15">
      <c r="A16" s="17">
        <v>1984</v>
      </c>
      <c r="B16" s="17"/>
      <c r="C16" s="18">
        <v>382109.27261889802</v>
      </c>
      <c r="D16" s="19">
        <v>2.98695293256073E-2</v>
      </c>
      <c r="E16" s="18"/>
      <c r="F16" s="19"/>
      <c r="G16" s="18"/>
      <c r="H16" s="19"/>
      <c r="I16" s="18"/>
      <c r="J16" s="19"/>
      <c r="K16" s="18"/>
      <c r="L16" s="19"/>
      <c r="M16" s="18"/>
      <c r="N16" s="19"/>
      <c r="O16" s="18"/>
      <c r="P16" s="19"/>
      <c r="Q16" s="18"/>
      <c r="R16" s="19"/>
      <c r="S16" s="18"/>
      <c r="T16" s="19"/>
      <c r="U16" s="18"/>
      <c r="V16" s="19"/>
      <c r="W16" s="18"/>
      <c r="X16" s="19"/>
      <c r="Y16" s="18"/>
      <c r="Z16" s="19"/>
      <c r="AA16" s="18"/>
      <c r="AB16" s="19"/>
      <c r="AC16" s="18"/>
      <c r="AD16" s="19"/>
      <c r="AE16" s="18"/>
      <c r="AF16" s="19"/>
      <c r="AG16" s="18"/>
      <c r="AH16" s="19"/>
      <c r="AI16" s="18"/>
      <c r="AJ16" s="19"/>
      <c r="AK16" s="18"/>
      <c r="AL16" s="19"/>
      <c r="AM16" s="18"/>
      <c r="AN16" s="19"/>
      <c r="AO16" s="18"/>
      <c r="AP16" s="19"/>
      <c r="AQ16" s="18"/>
      <c r="AR16" s="19"/>
      <c r="AS16" s="18"/>
      <c r="AT16" s="19"/>
      <c r="AU16" s="18"/>
      <c r="AV16" s="19"/>
      <c r="AW16" s="18"/>
      <c r="AX16" s="19"/>
      <c r="AY16" s="18"/>
      <c r="AZ16" s="19"/>
      <c r="BA16" s="18"/>
      <c r="BB16" s="19"/>
      <c r="BC16" s="18"/>
      <c r="BD16" s="19"/>
      <c r="BE16" s="18"/>
      <c r="BF16" s="19"/>
      <c r="BG16" s="18"/>
      <c r="BH16" s="19"/>
    </row>
    <row r="17" spans="1:60" x14ac:dyDescent="0.15">
      <c r="A17" s="17">
        <v>1985</v>
      </c>
      <c r="B17" s="17"/>
      <c r="C17" s="18">
        <v>396465.964553489</v>
      </c>
      <c r="D17" s="19">
        <v>3.7572215497919698E-2</v>
      </c>
      <c r="E17" s="18"/>
      <c r="F17" s="19"/>
      <c r="G17" s="18"/>
      <c r="H17" s="19"/>
      <c r="I17" s="18"/>
      <c r="J17" s="19"/>
      <c r="K17" s="18"/>
      <c r="L17" s="19"/>
      <c r="M17" s="18"/>
      <c r="N17" s="19"/>
      <c r="O17" s="18"/>
      <c r="P17" s="19"/>
      <c r="Q17" s="18"/>
      <c r="R17" s="19"/>
      <c r="S17" s="18"/>
      <c r="T17" s="19"/>
      <c r="U17" s="18"/>
      <c r="V17" s="19"/>
      <c r="W17" s="18"/>
      <c r="X17" s="19"/>
      <c r="Y17" s="18"/>
      <c r="Z17" s="19"/>
      <c r="AA17" s="18"/>
      <c r="AB17" s="19"/>
      <c r="AC17" s="18"/>
      <c r="AD17" s="19"/>
      <c r="AE17" s="18"/>
      <c r="AF17" s="19"/>
      <c r="AG17" s="18"/>
      <c r="AH17" s="19"/>
      <c r="AI17" s="18"/>
      <c r="AJ17" s="19"/>
      <c r="AK17" s="18"/>
      <c r="AL17" s="19"/>
      <c r="AM17" s="18"/>
      <c r="AN17" s="19"/>
      <c r="AO17" s="18"/>
      <c r="AP17" s="19"/>
      <c r="AQ17" s="18"/>
      <c r="AR17" s="19"/>
      <c r="AS17" s="18"/>
      <c r="AT17" s="19"/>
      <c r="AU17" s="18"/>
      <c r="AV17" s="19"/>
      <c r="AW17" s="18"/>
      <c r="AX17" s="19"/>
      <c r="AY17" s="18"/>
      <c r="AZ17" s="19"/>
      <c r="BA17" s="18"/>
      <c r="BB17" s="19"/>
      <c r="BC17" s="18"/>
      <c r="BD17" s="19"/>
      <c r="BE17" s="18"/>
      <c r="BF17" s="19"/>
      <c r="BG17" s="18"/>
      <c r="BH17" s="19"/>
    </row>
    <row r="18" spans="1:60" x14ac:dyDescent="0.15">
      <c r="A18" s="17">
        <v>1986</v>
      </c>
      <c r="B18" s="17"/>
      <c r="C18" s="18">
        <v>403749.01963061799</v>
      </c>
      <c r="D18" s="19">
        <v>1.8369937720458699E-2</v>
      </c>
      <c r="E18" s="18"/>
      <c r="F18" s="19"/>
      <c r="G18" s="18"/>
      <c r="H18" s="19"/>
      <c r="I18" s="18"/>
      <c r="J18" s="19"/>
      <c r="K18" s="18"/>
      <c r="L18" s="19"/>
      <c r="M18" s="18"/>
      <c r="N18" s="19"/>
      <c r="O18" s="18"/>
      <c r="P18" s="19"/>
      <c r="Q18" s="18"/>
      <c r="R18" s="19"/>
      <c r="S18" s="18"/>
      <c r="T18" s="19"/>
      <c r="U18" s="18"/>
      <c r="V18" s="19"/>
      <c r="W18" s="18"/>
      <c r="X18" s="19"/>
      <c r="Y18" s="18"/>
      <c r="Z18" s="19"/>
      <c r="AA18" s="18"/>
      <c r="AB18" s="19"/>
      <c r="AC18" s="18"/>
      <c r="AD18" s="19"/>
      <c r="AE18" s="18"/>
      <c r="AF18" s="19"/>
      <c r="AG18" s="18"/>
      <c r="AH18" s="19"/>
      <c r="AI18" s="18"/>
      <c r="AJ18" s="19"/>
      <c r="AK18" s="18"/>
      <c r="AL18" s="19"/>
      <c r="AM18" s="18"/>
      <c r="AN18" s="19"/>
      <c r="AO18" s="18"/>
      <c r="AP18" s="19"/>
      <c r="AQ18" s="18"/>
      <c r="AR18" s="19"/>
      <c r="AS18" s="18"/>
      <c r="AT18" s="19"/>
      <c r="AU18" s="18"/>
      <c r="AV18" s="19"/>
      <c r="AW18" s="18"/>
      <c r="AX18" s="19"/>
      <c r="AY18" s="18"/>
      <c r="AZ18" s="19"/>
      <c r="BA18" s="18"/>
      <c r="BB18" s="19"/>
      <c r="BC18" s="18"/>
      <c r="BD18" s="19"/>
      <c r="BE18" s="18"/>
      <c r="BF18" s="19"/>
      <c r="BG18" s="18"/>
      <c r="BH18" s="19"/>
    </row>
    <row r="19" spans="1:60" x14ac:dyDescent="0.15">
      <c r="A19" s="17">
        <v>1987</v>
      </c>
      <c r="B19" s="17"/>
      <c r="C19" s="18">
        <v>410108.09013715101</v>
      </c>
      <c r="D19" s="19">
        <v>1.5750058074074799E-2</v>
      </c>
      <c r="E19" s="18"/>
      <c r="F19" s="19"/>
      <c r="G19" s="18"/>
      <c r="H19" s="19"/>
      <c r="I19" s="18"/>
      <c r="J19" s="19"/>
      <c r="K19" s="18"/>
      <c r="L19" s="19"/>
      <c r="M19" s="18"/>
      <c r="N19" s="19"/>
      <c r="O19" s="18"/>
      <c r="P19" s="19"/>
      <c r="Q19" s="18"/>
      <c r="R19" s="19"/>
      <c r="S19" s="18"/>
      <c r="T19" s="19"/>
      <c r="U19" s="18"/>
      <c r="V19" s="19"/>
      <c r="W19" s="18"/>
      <c r="X19" s="19"/>
      <c r="Y19" s="18"/>
      <c r="Z19" s="19"/>
      <c r="AA19" s="18"/>
      <c r="AB19" s="19"/>
      <c r="AC19" s="18"/>
      <c r="AD19" s="19"/>
      <c r="AE19" s="18"/>
      <c r="AF19" s="19"/>
      <c r="AG19" s="18"/>
      <c r="AH19" s="19"/>
      <c r="AI19" s="18"/>
      <c r="AJ19" s="19"/>
      <c r="AK19" s="18"/>
      <c r="AL19" s="19"/>
      <c r="AM19" s="18"/>
      <c r="AN19" s="19"/>
      <c r="AO19" s="18"/>
      <c r="AP19" s="19"/>
      <c r="AQ19" s="18"/>
      <c r="AR19" s="19"/>
      <c r="AS19" s="18"/>
      <c r="AT19" s="19"/>
      <c r="AU19" s="18"/>
      <c r="AV19" s="19"/>
      <c r="AW19" s="18"/>
      <c r="AX19" s="19"/>
      <c r="AY19" s="18"/>
      <c r="AZ19" s="19"/>
      <c r="BA19" s="18"/>
      <c r="BB19" s="19"/>
      <c r="BC19" s="18"/>
      <c r="BD19" s="19"/>
      <c r="BE19" s="18"/>
      <c r="BF19" s="19"/>
      <c r="BG19" s="18"/>
      <c r="BH19" s="19"/>
    </row>
    <row r="20" spans="1:60" x14ac:dyDescent="0.15">
      <c r="A20" s="17">
        <v>1988</v>
      </c>
      <c r="B20" s="17"/>
      <c r="C20" s="18">
        <v>423176.80427532102</v>
      </c>
      <c r="D20" s="19">
        <v>3.1866511420926898E-2</v>
      </c>
      <c r="E20" s="18"/>
      <c r="F20" s="19"/>
      <c r="G20" s="18"/>
      <c r="H20" s="19"/>
      <c r="I20" s="18"/>
      <c r="J20" s="19"/>
      <c r="K20" s="18"/>
      <c r="L20" s="19"/>
      <c r="M20" s="18"/>
      <c r="N20" s="19"/>
      <c r="O20" s="18"/>
      <c r="P20" s="19"/>
      <c r="Q20" s="18"/>
      <c r="R20" s="19"/>
      <c r="S20" s="18"/>
      <c r="T20" s="19"/>
      <c r="U20" s="18"/>
      <c r="V20" s="19"/>
      <c r="W20" s="18"/>
      <c r="X20" s="19"/>
      <c r="Y20" s="18"/>
      <c r="Z20" s="19"/>
      <c r="AA20" s="18"/>
      <c r="AB20" s="19"/>
      <c r="AC20" s="18"/>
      <c r="AD20" s="19"/>
      <c r="AE20" s="18"/>
      <c r="AF20" s="19"/>
      <c r="AG20" s="18"/>
      <c r="AH20" s="19"/>
      <c r="AI20" s="18"/>
      <c r="AJ20" s="19"/>
      <c r="AK20" s="18"/>
      <c r="AL20" s="19"/>
      <c r="AM20" s="18"/>
      <c r="AN20" s="19"/>
      <c r="AO20" s="18"/>
      <c r="AP20" s="19"/>
      <c r="AQ20" s="18"/>
      <c r="AR20" s="19"/>
      <c r="AS20" s="18"/>
      <c r="AT20" s="19"/>
      <c r="AU20" s="18"/>
      <c r="AV20" s="19"/>
      <c r="AW20" s="18"/>
      <c r="AX20" s="19"/>
      <c r="AY20" s="18"/>
      <c r="AZ20" s="19"/>
      <c r="BA20" s="18"/>
      <c r="BB20" s="19"/>
      <c r="BC20" s="18"/>
      <c r="BD20" s="19"/>
      <c r="BE20" s="18"/>
      <c r="BF20" s="19"/>
      <c r="BG20" s="18"/>
      <c r="BH20" s="19"/>
    </row>
    <row r="21" spans="1:60" x14ac:dyDescent="0.15">
      <c r="A21" s="17">
        <v>1989</v>
      </c>
      <c r="B21" s="17"/>
      <c r="C21" s="18">
        <v>441906.16790293</v>
      </c>
      <c r="D21" s="19">
        <v>4.4258956158248E-2</v>
      </c>
      <c r="E21" s="18"/>
      <c r="F21" s="19"/>
      <c r="G21" s="18"/>
      <c r="H21" s="19"/>
      <c r="I21" s="18"/>
      <c r="J21" s="19"/>
      <c r="K21" s="18"/>
      <c r="L21" s="19"/>
      <c r="M21" s="18"/>
      <c r="N21" s="19"/>
      <c r="O21" s="18"/>
      <c r="P21" s="19"/>
      <c r="Q21" s="18"/>
      <c r="R21" s="19"/>
      <c r="S21" s="18"/>
      <c r="T21" s="19"/>
      <c r="U21" s="18"/>
      <c r="V21" s="19"/>
      <c r="W21" s="18"/>
      <c r="X21" s="19"/>
      <c r="Y21" s="18"/>
      <c r="Z21" s="19"/>
      <c r="AA21" s="18"/>
      <c r="AB21" s="19"/>
      <c r="AC21" s="18"/>
      <c r="AD21" s="19"/>
      <c r="AE21" s="18"/>
      <c r="AF21" s="19"/>
      <c r="AG21" s="18"/>
      <c r="AH21" s="19"/>
      <c r="AI21" s="18"/>
      <c r="AJ21" s="19"/>
      <c r="AK21" s="18"/>
      <c r="AL21" s="19"/>
      <c r="AM21" s="18"/>
      <c r="AN21" s="19"/>
      <c r="AO21" s="18"/>
      <c r="AP21" s="19"/>
      <c r="AQ21" s="18"/>
      <c r="AR21" s="19"/>
      <c r="AS21" s="18"/>
      <c r="AT21" s="19"/>
      <c r="AU21" s="18"/>
      <c r="AV21" s="19"/>
      <c r="AW21" s="18"/>
      <c r="AX21" s="19"/>
      <c r="AY21" s="18"/>
      <c r="AZ21" s="19"/>
      <c r="BA21" s="18"/>
      <c r="BB21" s="19"/>
      <c r="BC21" s="18"/>
      <c r="BD21" s="19"/>
      <c r="BE21" s="18"/>
      <c r="BF21" s="19"/>
      <c r="BG21" s="18"/>
      <c r="BH21" s="19"/>
    </row>
    <row r="22" spans="1:60" x14ac:dyDescent="0.15">
      <c r="A22" s="17">
        <v>1990</v>
      </c>
      <c r="B22" s="17"/>
      <c r="C22" s="18">
        <v>458218.58941237198</v>
      </c>
      <c r="D22" s="19">
        <v>3.6913767433598602E-2</v>
      </c>
      <c r="E22" s="18">
        <v>448266.31923699903</v>
      </c>
      <c r="F22" s="19"/>
      <c r="G22" s="18">
        <v>5048.1492459276096</v>
      </c>
      <c r="H22" s="19"/>
      <c r="I22" s="18">
        <v>795.21160847419503</v>
      </c>
      <c r="J22" s="19"/>
      <c r="K22" s="18">
        <v>70297.962966603402</v>
      </c>
      <c r="L22" s="19"/>
      <c r="M22" s="18">
        <v>5424.2159921592702</v>
      </c>
      <c r="N22" s="19"/>
      <c r="O22" s="18">
        <v>77255.908824949496</v>
      </c>
      <c r="P22" s="19"/>
      <c r="Q22" s="18">
        <v>13495.932049516199</v>
      </c>
      <c r="R22" s="19"/>
      <c r="S22" s="18">
        <v>1311.35828599872</v>
      </c>
      <c r="T22" s="19"/>
      <c r="U22" s="18">
        <v>36823.930378815101</v>
      </c>
      <c r="V22" s="19"/>
      <c r="W22" s="18">
        <v>66340.991612123194</v>
      </c>
      <c r="X22" s="19"/>
      <c r="Y22" s="18">
        <v>19211.885321109399</v>
      </c>
      <c r="Z22" s="19"/>
      <c r="AA22" s="18">
        <v>23790.111524859702</v>
      </c>
      <c r="AB22" s="19"/>
      <c r="AC22" s="18">
        <v>14861.3688872073</v>
      </c>
      <c r="AD22" s="19"/>
      <c r="AE22" s="18">
        <v>17115.7504170348</v>
      </c>
      <c r="AF22" s="19"/>
      <c r="AG22" s="18">
        <v>25531.204470818899</v>
      </c>
      <c r="AH22" s="19"/>
      <c r="AI22" s="18">
        <v>14635.2611253043</v>
      </c>
      <c r="AJ22" s="19"/>
      <c r="AK22" s="18">
        <v>8447.2426869144401</v>
      </c>
      <c r="AL22" s="19"/>
      <c r="AM22" s="18">
        <v>89711.401905846302</v>
      </c>
      <c r="AN22" s="19"/>
      <c r="AO22" s="18">
        <v>34935.026613324</v>
      </c>
      <c r="AP22" s="19"/>
      <c r="AQ22" s="18">
        <v>27429.197583001998</v>
      </c>
      <c r="AR22" s="19"/>
      <c r="AS22" s="18">
        <v>22502.4008977413</v>
      </c>
      <c r="AT22" s="19"/>
      <c r="AU22" s="18">
        <v>2951.7198845794401</v>
      </c>
      <c r="AV22" s="19"/>
      <c r="AW22" s="18">
        <v>12838.050484378</v>
      </c>
      <c r="AX22" s="19"/>
      <c r="AY22" s="18">
        <v>1690.75439491213</v>
      </c>
      <c r="AZ22" s="19"/>
      <c r="BA22" s="18">
        <v>10678.517458725801</v>
      </c>
      <c r="BB22" s="19"/>
      <c r="BC22" s="18">
        <v>21676.587491836999</v>
      </c>
      <c r="BD22" s="19"/>
      <c r="BE22" s="18">
        <v>-11553.466991544299</v>
      </c>
      <c r="BF22" s="19"/>
      <c r="BG22" s="18"/>
      <c r="BH22" s="19"/>
    </row>
    <row r="23" spans="1:60" x14ac:dyDescent="0.15">
      <c r="A23" s="17">
        <v>1991</v>
      </c>
      <c r="B23" s="17"/>
      <c r="C23" s="18">
        <v>454065.30818157701</v>
      </c>
      <c r="D23" s="19">
        <v>-9.0639736727410308E-3</v>
      </c>
      <c r="E23" s="18">
        <v>445225.122972554</v>
      </c>
      <c r="F23" s="19">
        <v>-6.7843514757501798E-3</v>
      </c>
      <c r="G23" s="18">
        <v>5019.5776925720902</v>
      </c>
      <c r="H23" s="19">
        <v>-5.6598075777109002E-3</v>
      </c>
      <c r="I23" s="18">
        <v>784.74762861817896</v>
      </c>
      <c r="J23" s="19">
        <v>-1.3158736296737E-2</v>
      </c>
      <c r="K23" s="18">
        <v>70737.782251808501</v>
      </c>
      <c r="L23" s="19">
        <v>6.2565011366546601E-3</v>
      </c>
      <c r="M23" s="18">
        <v>5721.5269896648597</v>
      </c>
      <c r="N23" s="19">
        <v>5.4811791775134698E-2</v>
      </c>
      <c r="O23" s="18">
        <v>77025.230580296004</v>
      </c>
      <c r="P23" s="19">
        <v>-2.9858977541267202E-3</v>
      </c>
      <c r="Q23" s="18">
        <v>13908.540612336699</v>
      </c>
      <c r="R23" s="19">
        <v>3.05728097404947E-2</v>
      </c>
      <c r="S23" s="18">
        <v>1478.6053954392</v>
      </c>
      <c r="T23" s="19">
        <v>0.127537310913554</v>
      </c>
      <c r="U23" s="18">
        <v>35702.166662079297</v>
      </c>
      <c r="V23" s="19">
        <v>-3.04629002172245E-2</v>
      </c>
      <c r="W23" s="18">
        <v>60624.299861426298</v>
      </c>
      <c r="X23" s="19">
        <v>-8.6171334069300401E-2</v>
      </c>
      <c r="Y23" s="18">
        <v>18304.977489772999</v>
      </c>
      <c r="Z23" s="19">
        <v>-4.7205561358412501E-2</v>
      </c>
      <c r="AA23" s="18">
        <v>26316.3517084917</v>
      </c>
      <c r="AB23" s="19">
        <v>0.106188665025474</v>
      </c>
      <c r="AC23" s="18">
        <v>15013.400901552701</v>
      </c>
      <c r="AD23" s="19">
        <v>1.02300141729406E-2</v>
      </c>
      <c r="AE23" s="18">
        <v>17442.645627694401</v>
      </c>
      <c r="AF23" s="19">
        <v>1.9099087255574999E-2</v>
      </c>
      <c r="AG23" s="18">
        <v>26593.001371398499</v>
      </c>
      <c r="AH23" s="19">
        <v>4.1588202459980302E-2</v>
      </c>
      <c r="AI23" s="18">
        <v>15133.8876612773</v>
      </c>
      <c r="AJ23" s="19">
        <v>3.4070217928048097E-2</v>
      </c>
      <c r="AK23" s="18">
        <v>8838.0325679386297</v>
      </c>
      <c r="AL23" s="19">
        <v>4.6262419052971203E-2</v>
      </c>
      <c r="AM23" s="18">
        <v>89643.249578363306</v>
      </c>
      <c r="AN23" s="19">
        <v>-7.5968412080462699E-4</v>
      </c>
      <c r="AO23" s="18">
        <v>35457.764715286801</v>
      </c>
      <c r="AP23" s="19">
        <v>1.4963151674354899E-2</v>
      </c>
      <c r="AQ23" s="18">
        <v>26960.223158240999</v>
      </c>
      <c r="AR23" s="19">
        <v>-1.7097635588568399E-2</v>
      </c>
      <c r="AS23" s="18">
        <v>22713.134651633201</v>
      </c>
      <c r="AT23" s="19">
        <v>9.3649453162594192E-3</v>
      </c>
      <c r="AU23" s="18">
        <v>3167.6953803603201</v>
      </c>
      <c r="AV23" s="19">
        <v>7.3169373865454204E-2</v>
      </c>
      <c r="AW23" s="18">
        <v>11344.3234755908</v>
      </c>
      <c r="AX23" s="19">
        <v>-0.116351545011041</v>
      </c>
      <c r="AY23" s="18">
        <v>1689.4698698187799</v>
      </c>
      <c r="AZ23" s="19">
        <v>-7.5973488356106999E-4</v>
      </c>
      <c r="BA23" s="18">
        <v>9683.8137219769505</v>
      </c>
      <c r="BB23" s="19">
        <v>-9.3149984592297105E-2</v>
      </c>
      <c r="BC23" s="18">
        <v>21265.7901514443</v>
      </c>
      <c r="BD23" s="19">
        <v>-1.89511997932067E-2</v>
      </c>
      <c r="BE23" s="18">
        <v>-12391.774036667</v>
      </c>
      <c r="BF23" s="19">
        <v>7.25589163613167E-2</v>
      </c>
      <c r="BG23" s="18"/>
      <c r="BH23" s="19"/>
    </row>
    <row r="24" spans="1:60" x14ac:dyDescent="0.15">
      <c r="A24" s="17">
        <v>1992</v>
      </c>
      <c r="B24" s="17"/>
      <c r="C24" s="18">
        <v>453443.00131315098</v>
      </c>
      <c r="D24" s="19">
        <v>-1.3705228239496701E-3</v>
      </c>
      <c r="E24" s="18">
        <v>445005.115311587</v>
      </c>
      <c r="F24" s="19">
        <v>-4.9414925082846796E-4</v>
      </c>
      <c r="G24" s="18">
        <v>5164.1706812748798</v>
      </c>
      <c r="H24" s="19">
        <v>2.8805807491883301E-2</v>
      </c>
      <c r="I24" s="18">
        <v>663.98746395941998</v>
      </c>
      <c r="J24" s="19">
        <v>-0.15388407719230601</v>
      </c>
      <c r="K24" s="18">
        <v>70789.202952615393</v>
      </c>
      <c r="L24" s="19">
        <v>7.2691988877804402E-4</v>
      </c>
      <c r="M24" s="18">
        <v>6076.6883133725596</v>
      </c>
      <c r="N24" s="19">
        <v>6.20745693150195E-2</v>
      </c>
      <c r="O24" s="18">
        <v>76149.468658392798</v>
      </c>
      <c r="P24" s="19">
        <v>-1.13698059104191E-2</v>
      </c>
      <c r="Q24" s="18">
        <v>14365.309981012701</v>
      </c>
      <c r="R24" s="19">
        <v>3.2840927125802603E-2</v>
      </c>
      <c r="S24" s="18">
        <v>1633.1741496212501</v>
      </c>
      <c r="T24" s="19">
        <v>0.104536852536064</v>
      </c>
      <c r="U24" s="18">
        <v>34628.711592321</v>
      </c>
      <c r="V24" s="19">
        <v>-3.00669446736531E-2</v>
      </c>
      <c r="W24" s="18">
        <v>60551.288307468698</v>
      </c>
      <c r="X24" s="19">
        <v>-1.2043282004823299E-3</v>
      </c>
      <c r="Y24" s="18">
        <v>18186.233149066298</v>
      </c>
      <c r="Z24" s="19">
        <v>-6.4869973630421497E-3</v>
      </c>
      <c r="AA24" s="18">
        <v>26796.270139775799</v>
      </c>
      <c r="AB24" s="19">
        <v>1.8236510767149602E-2</v>
      </c>
      <c r="AC24" s="18">
        <v>14510.0619497892</v>
      </c>
      <c r="AD24" s="19">
        <v>-3.3525978228652699E-2</v>
      </c>
      <c r="AE24" s="18">
        <v>16957.7786018402</v>
      </c>
      <c r="AF24" s="19">
        <v>-2.7797791470598601E-2</v>
      </c>
      <c r="AG24" s="18">
        <v>27803.0226183218</v>
      </c>
      <c r="AH24" s="19">
        <v>4.5501492292055398E-2</v>
      </c>
      <c r="AI24" s="18">
        <v>15195.645185719301</v>
      </c>
      <c r="AJ24" s="19">
        <v>4.0807442095693904E-3</v>
      </c>
      <c r="AK24" s="18">
        <v>9578.0984496433593</v>
      </c>
      <c r="AL24" s="19">
        <v>8.3736496331711305E-2</v>
      </c>
      <c r="AM24" s="18">
        <v>89209.565798333206</v>
      </c>
      <c r="AN24" s="19">
        <v>-4.8378855303651304E-3</v>
      </c>
      <c r="AO24" s="18">
        <v>35442.964367099798</v>
      </c>
      <c r="AP24" s="19">
        <v>-4.1740781760624102E-4</v>
      </c>
      <c r="AQ24" s="18">
        <v>26949.760253468499</v>
      </c>
      <c r="AR24" s="19">
        <v>-3.8808672729040401E-4</v>
      </c>
      <c r="AS24" s="18">
        <v>22761.485367768899</v>
      </c>
      <c r="AT24" s="19">
        <v>2.1287557564060298E-3</v>
      </c>
      <c r="AU24" s="18">
        <v>2800.9705049765398</v>
      </c>
      <c r="AV24" s="19">
        <v>-0.11577024661445599</v>
      </c>
      <c r="AW24" s="18">
        <v>10591.9916123884</v>
      </c>
      <c r="AX24" s="19">
        <v>-6.6317913520468605E-2</v>
      </c>
      <c r="AY24" s="18">
        <v>1681.60191571567</v>
      </c>
      <c r="AZ24" s="19">
        <v>-4.6570549991252798E-3</v>
      </c>
      <c r="BA24" s="18">
        <v>9309.75466481273</v>
      </c>
      <c r="BB24" s="19">
        <v>-3.8627246238257897E-2</v>
      </c>
      <c r="BC24" s="18">
        <v>20712.047558734899</v>
      </c>
      <c r="BD24" s="19">
        <v>-2.6039126163002298E-2</v>
      </c>
      <c r="BE24" s="18">
        <v>-12222.548351686601</v>
      </c>
      <c r="BF24" s="19">
        <v>-1.36562920272458E-2</v>
      </c>
      <c r="BG24" s="18"/>
      <c r="BH24" s="19"/>
    </row>
    <row r="25" spans="1:60" x14ac:dyDescent="0.15">
      <c r="A25" s="17">
        <v>1993</v>
      </c>
      <c r="B25" s="17"/>
      <c r="C25" s="18">
        <v>453064.79163712298</v>
      </c>
      <c r="D25" s="19">
        <v>-8.3408427284814601E-4</v>
      </c>
      <c r="E25" s="18">
        <v>444227.94258474698</v>
      </c>
      <c r="F25" s="19">
        <v>-1.7464354905130099E-3</v>
      </c>
      <c r="G25" s="18">
        <v>4951.93780104499</v>
      </c>
      <c r="H25" s="19">
        <v>-4.1097185458923803E-2</v>
      </c>
      <c r="I25" s="18">
        <v>651.49407823737897</v>
      </c>
      <c r="J25" s="19">
        <v>-1.8815695175240101E-2</v>
      </c>
      <c r="K25" s="18">
        <v>70760.859310519605</v>
      </c>
      <c r="L25" s="19">
        <v>-4.0039498841049098E-4</v>
      </c>
      <c r="M25" s="18">
        <v>6434.7083517123401</v>
      </c>
      <c r="N25" s="19">
        <v>5.8916965932234402E-2</v>
      </c>
      <c r="O25" s="18">
        <v>75162.290581041001</v>
      </c>
      <c r="P25" s="19">
        <v>-1.2963689632297701E-2</v>
      </c>
      <c r="Q25" s="18">
        <v>15126.458746005899</v>
      </c>
      <c r="R25" s="19">
        <v>5.2985196003374001E-2</v>
      </c>
      <c r="S25" s="18">
        <v>1667.0034161131</v>
      </c>
      <c r="T25" s="19">
        <v>2.0713814567593799E-2</v>
      </c>
      <c r="U25" s="18">
        <v>33705.864032817997</v>
      </c>
      <c r="V25" s="19">
        <v>-2.6649780400944699E-2</v>
      </c>
      <c r="W25" s="18">
        <v>58389.5528873976</v>
      </c>
      <c r="X25" s="19">
        <v>-3.5700898866001897E-2</v>
      </c>
      <c r="Y25" s="18">
        <v>17715.084466256001</v>
      </c>
      <c r="Z25" s="19">
        <v>-2.59068867614539E-2</v>
      </c>
      <c r="AA25" s="18">
        <v>26125.296705772002</v>
      </c>
      <c r="AB25" s="19">
        <v>-2.5039807051647298E-2</v>
      </c>
      <c r="AC25" s="18">
        <v>13961.1426577612</v>
      </c>
      <c r="AD25" s="19">
        <v>-3.7830251443966699E-2</v>
      </c>
      <c r="AE25" s="18">
        <v>16146.5911967839</v>
      </c>
      <c r="AF25" s="19">
        <v>-4.7835711510484699E-2</v>
      </c>
      <c r="AG25" s="18">
        <v>30329.578161182999</v>
      </c>
      <c r="AH25" s="19">
        <v>9.0873412489914901E-2</v>
      </c>
      <c r="AI25" s="18">
        <v>17681.4029807755</v>
      </c>
      <c r="AJ25" s="19">
        <v>0.16358356388791201</v>
      </c>
      <c r="AK25" s="18">
        <v>9874.92074088138</v>
      </c>
      <c r="AL25" s="19">
        <v>3.0989688903132001E-2</v>
      </c>
      <c r="AM25" s="18">
        <v>90133.819035534398</v>
      </c>
      <c r="AN25" s="19">
        <v>1.03604723207664E-2</v>
      </c>
      <c r="AO25" s="18">
        <v>35647.209523963204</v>
      </c>
      <c r="AP25" s="19">
        <v>5.7626431792765498E-3</v>
      </c>
      <c r="AQ25" s="18">
        <v>27354.0420271978</v>
      </c>
      <c r="AR25" s="19">
        <v>1.5001312439403501E-2</v>
      </c>
      <c r="AS25" s="18">
        <v>22995.9272200579</v>
      </c>
      <c r="AT25" s="19">
        <v>1.0299936427742301E-2</v>
      </c>
      <c r="AU25" s="18">
        <v>2613.47418516781</v>
      </c>
      <c r="AV25" s="19">
        <v>-6.6939769439056801E-2</v>
      </c>
      <c r="AW25" s="18">
        <v>10148.1258183264</v>
      </c>
      <c r="AX25" s="19">
        <v>-4.1905791687265798E-2</v>
      </c>
      <c r="AY25" s="18">
        <v>1699.17953919302</v>
      </c>
      <c r="AZ25" s="19">
        <v>1.04529040512353E-2</v>
      </c>
      <c r="BA25" s="18">
        <v>9691.74565799007</v>
      </c>
      <c r="BB25" s="19">
        <v>4.1031263113851899E-2</v>
      </c>
      <c r="BC25" s="18">
        <v>20720.674723910801</v>
      </c>
      <c r="BD25" s="19">
        <v>4.1652884155762799E-4</v>
      </c>
      <c r="BE25" s="18">
        <v>-11781.7686188928</v>
      </c>
      <c r="BF25" s="19">
        <v>-3.6062834043361303E-2</v>
      </c>
      <c r="BG25" s="18"/>
      <c r="BH25" s="19"/>
    </row>
    <row r="26" spans="1:60" x14ac:dyDescent="0.15">
      <c r="A26" s="17">
        <v>1994</v>
      </c>
      <c r="B26" s="17"/>
      <c r="C26" s="18">
        <v>458792.31531748601</v>
      </c>
      <c r="D26" s="19">
        <v>1.26417320129155E-2</v>
      </c>
      <c r="E26" s="18">
        <v>448947.87076326</v>
      </c>
      <c r="F26" s="19">
        <v>1.0625014156132401E-2</v>
      </c>
      <c r="G26" s="18">
        <v>4663.7283282396102</v>
      </c>
      <c r="H26" s="19">
        <v>-5.8201351548590498E-2</v>
      </c>
      <c r="I26" s="18">
        <v>615.41553761775594</v>
      </c>
      <c r="J26" s="19">
        <v>-5.5378155880148099E-2</v>
      </c>
      <c r="K26" s="18">
        <v>73338.545770407</v>
      </c>
      <c r="L26" s="19">
        <v>3.6428139581739398E-2</v>
      </c>
      <c r="M26" s="18">
        <v>7148.1995531611301</v>
      </c>
      <c r="N26" s="19">
        <v>0.110881668981768</v>
      </c>
      <c r="O26" s="18">
        <v>76637.457825529098</v>
      </c>
      <c r="P26" s="19">
        <v>1.9626427468938799E-2</v>
      </c>
      <c r="Q26" s="18">
        <v>17362.433592204201</v>
      </c>
      <c r="R26" s="19">
        <v>0.14781879114890101</v>
      </c>
      <c r="S26" s="18">
        <v>1647.2281762509299</v>
      </c>
      <c r="T26" s="19">
        <v>-1.1862747053201001E-2</v>
      </c>
      <c r="U26" s="18">
        <v>34173.537047036501</v>
      </c>
      <c r="V26" s="19">
        <v>1.3875123146618099E-2</v>
      </c>
      <c r="W26" s="18">
        <v>58123.974618840599</v>
      </c>
      <c r="X26" s="19">
        <v>-4.5483867476979701E-3</v>
      </c>
      <c r="Y26" s="18">
        <v>17386.668191432302</v>
      </c>
      <c r="Z26" s="19">
        <v>-1.8538792487800101E-2</v>
      </c>
      <c r="AA26" s="18">
        <v>25642.0827592274</v>
      </c>
      <c r="AB26" s="19">
        <v>-1.84960175567217E-2</v>
      </c>
      <c r="AC26" s="18">
        <v>13182.980247719401</v>
      </c>
      <c r="AD26" s="19">
        <v>-5.5737730722860798E-2</v>
      </c>
      <c r="AE26" s="18">
        <v>15835.090478178499</v>
      </c>
      <c r="AF26" s="19">
        <v>-1.9292042190765999E-2</v>
      </c>
      <c r="AG26" s="18">
        <v>30840.351648679702</v>
      </c>
      <c r="AH26" s="19">
        <v>1.6840771235996099E-2</v>
      </c>
      <c r="AI26" s="18">
        <v>17823.788079643102</v>
      </c>
      <c r="AJ26" s="19">
        <v>8.05281679414405E-3</v>
      </c>
      <c r="AK26" s="18">
        <v>10056.4922287806</v>
      </c>
      <c r="AL26" s="19">
        <v>1.8387133695922299E-2</v>
      </c>
      <c r="AM26" s="18">
        <v>93170.836125464106</v>
      </c>
      <c r="AN26" s="19">
        <v>3.3694534664423098E-2</v>
      </c>
      <c r="AO26" s="18">
        <v>36448.157155626403</v>
      </c>
      <c r="AP26" s="19">
        <v>2.2468732962808401E-2</v>
      </c>
      <c r="AQ26" s="18">
        <v>24546.9205317085</v>
      </c>
      <c r="AR26" s="19">
        <v>-0.102621817013303</v>
      </c>
      <c r="AS26" s="18">
        <v>23999.8271747789</v>
      </c>
      <c r="AT26" s="19">
        <v>4.3655554529907999E-2</v>
      </c>
      <c r="AU26" s="18">
        <v>2483.72484495964</v>
      </c>
      <c r="AV26" s="19">
        <v>-4.9646306416389598E-2</v>
      </c>
      <c r="AW26" s="18">
        <v>8954.1663091225</v>
      </c>
      <c r="AX26" s="19">
        <v>-0.11765320321982201</v>
      </c>
      <c r="AY26" s="18">
        <v>1756.1901656929799</v>
      </c>
      <c r="AZ26" s="19">
        <v>3.3551855577919697E-2</v>
      </c>
      <c r="BA26" s="18">
        <v>10653.5027471577</v>
      </c>
      <c r="BB26" s="19">
        <v>9.9234660411744197E-2</v>
      </c>
      <c r="BC26" s="18">
        <v>21397.668475439699</v>
      </c>
      <c r="BD26" s="19">
        <v>3.2672379666653498E-2</v>
      </c>
      <c r="BE26" s="18">
        <v>-11394.383670528599</v>
      </c>
      <c r="BF26" s="19">
        <v>-3.2880033626104498E-2</v>
      </c>
      <c r="BG26" s="18"/>
      <c r="BH26" s="19"/>
    </row>
    <row r="27" spans="1:60" x14ac:dyDescent="0.15">
      <c r="A27" s="17">
        <v>1995</v>
      </c>
      <c r="B27" s="17"/>
      <c r="C27" s="18">
        <v>461275.26256358903</v>
      </c>
      <c r="D27" s="19">
        <v>5.41191986701861E-3</v>
      </c>
      <c r="E27" s="18">
        <v>451249.24809103803</v>
      </c>
      <c r="F27" s="19">
        <v>5.12615712792042E-3</v>
      </c>
      <c r="G27" s="18">
        <v>4779.4036042808002</v>
      </c>
      <c r="H27" s="19">
        <v>2.4803176321560601E-2</v>
      </c>
      <c r="I27" s="18">
        <v>726.59275518217305</v>
      </c>
      <c r="J27" s="19">
        <v>0.180653900931359</v>
      </c>
      <c r="K27" s="18">
        <v>72875.077742833106</v>
      </c>
      <c r="L27" s="19">
        <v>-6.3195693711309798E-3</v>
      </c>
      <c r="M27" s="18">
        <v>7587.2723913642403</v>
      </c>
      <c r="N27" s="19">
        <v>6.14242558476066E-2</v>
      </c>
      <c r="O27" s="18">
        <v>74954.618962896202</v>
      </c>
      <c r="P27" s="19">
        <v>-2.1958437954244899E-2</v>
      </c>
      <c r="Q27" s="18">
        <v>18231.119082342098</v>
      </c>
      <c r="R27" s="19">
        <v>5.00324730127659E-2</v>
      </c>
      <c r="S27" s="18">
        <v>1826.8715987278199</v>
      </c>
      <c r="T27" s="19">
        <v>0.10905800730398001</v>
      </c>
      <c r="U27" s="18">
        <v>32960.398223705997</v>
      </c>
      <c r="V27" s="19">
        <v>-3.5499363781418797E-2</v>
      </c>
      <c r="W27" s="18">
        <v>59183.890519999797</v>
      </c>
      <c r="X27" s="19">
        <v>1.82354339686823E-2</v>
      </c>
      <c r="Y27" s="18">
        <v>17311.498515532701</v>
      </c>
      <c r="Z27" s="19">
        <v>-4.32340889421046E-3</v>
      </c>
      <c r="AA27" s="18">
        <v>25441.463341843501</v>
      </c>
      <c r="AB27" s="19">
        <v>-7.8238347199681701E-3</v>
      </c>
      <c r="AC27" s="18">
        <v>12501.000844226301</v>
      </c>
      <c r="AD27" s="19">
        <v>-5.1731808034159103E-2</v>
      </c>
      <c r="AE27" s="18">
        <v>16340.1359801866</v>
      </c>
      <c r="AF27" s="19">
        <v>3.1894071126661497E-2</v>
      </c>
      <c r="AG27" s="18">
        <v>30573.0836647326</v>
      </c>
      <c r="AH27" s="19">
        <v>-8.6661782262326108E-3</v>
      </c>
      <c r="AI27" s="18">
        <v>16597.118449596299</v>
      </c>
      <c r="AJ27" s="19">
        <v>-6.8822049755393494E-2</v>
      </c>
      <c r="AK27" s="18">
        <v>10824.5357159219</v>
      </c>
      <c r="AL27" s="19">
        <v>7.6372901173556301E-2</v>
      </c>
      <c r="AM27" s="18">
        <v>93293.800492440801</v>
      </c>
      <c r="AN27" s="19">
        <v>1.31977314028919E-3</v>
      </c>
      <c r="AO27" s="18">
        <v>36181.286318627899</v>
      </c>
      <c r="AP27" s="19">
        <v>-7.3219294972585204E-3</v>
      </c>
      <c r="AQ27" s="18">
        <v>25490.353926720902</v>
      </c>
      <c r="AR27" s="19">
        <v>3.8433879874819402E-2</v>
      </c>
      <c r="AS27" s="18">
        <v>25119.225548939001</v>
      </c>
      <c r="AT27" s="19">
        <v>4.66419347942819E-2</v>
      </c>
      <c r="AU27" s="18">
        <v>3113.64318213971</v>
      </c>
      <c r="AV27" s="19">
        <v>0.25361840642629802</v>
      </c>
      <c r="AW27" s="18">
        <v>8789.4333059605106</v>
      </c>
      <c r="AX27" s="19">
        <v>-1.8397357997936601E-2</v>
      </c>
      <c r="AY27" s="18">
        <v>1758.41847926691</v>
      </c>
      <c r="AZ27" s="19">
        <v>1.2688338754312E-3</v>
      </c>
      <c r="BA27" s="18">
        <v>10839.2286156351</v>
      </c>
      <c r="BB27" s="19">
        <v>1.74333149279884E-2</v>
      </c>
      <c r="BC27" s="18">
        <v>21562.714727582901</v>
      </c>
      <c r="BD27" s="19">
        <v>7.7132820490564101E-3</v>
      </c>
      <c r="BE27" s="18">
        <v>-11365.9435053218</v>
      </c>
      <c r="BF27" s="19">
        <v>-2.4959810051298202E-3</v>
      </c>
      <c r="BG27" s="18"/>
      <c r="BH27" s="19"/>
    </row>
    <row r="28" spans="1:60" x14ac:dyDescent="0.15">
      <c r="A28" s="17">
        <v>1996</v>
      </c>
      <c r="B28" s="17"/>
      <c r="C28" s="18">
        <v>463486.37625811598</v>
      </c>
      <c r="D28" s="19">
        <v>4.7934798892932404E-3</v>
      </c>
      <c r="E28" s="18">
        <v>452892.64936262398</v>
      </c>
      <c r="F28" s="19">
        <v>3.6418925428436401E-3</v>
      </c>
      <c r="G28" s="18">
        <v>4769.1291555468997</v>
      </c>
      <c r="H28" s="19">
        <v>-2.1497344824982201E-3</v>
      </c>
      <c r="I28" s="18">
        <v>657.37093357929098</v>
      </c>
      <c r="J28" s="19">
        <v>-9.5269077635555796E-2</v>
      </c>
      <c r="K28" s="18">
        <v>73508.090242884995</v>
      </c>
      <c r="L28" s="19">
        <v>8.6862686072972702E-3</v>
      </c>
      <c r="M28" s="18">
        <v>7678.8374141220802</v>
      </c>
      <c r="N28" s="19">
        <v>1.20682398146204E-2</v>
      </c>
      <c r="O28" s="18">
        <v>75546.925814114395</v>
      </c>
      <c r="P28" s="19">
        <v>7.9022061537190602E-3</v>
      </c>
      <c r="Q28" s="18">
        <v>17004.652022486702</v>
      </c>
      <c r="R28" s="19">
        <v>-6.7273273479042994E-2</v>
      </c>
      <c r="S28" s="18">
        <v>1699.36663933421</v>
      </c>
      <c r="T28" s="19">
        <v>-6.9794154927143803E-2</v>
      </c>
      <c r="U28" s="18">
        <v>30947.369880685801</v>
      </c>
      <c r="V28" s="19">
        <v>-6.10741511482202E-2</v>
      </c>
      <c r="W28" s="18">
        <v>58135.017629474198</v>
      </c>
      <c r="X28" s="19">
        <v>-1.7722270052035999E-2</v>
      </c>
      <c r="Y28" s="18">
        <v>16971.050382191399</v>
      </c>
      <c r="Z28" s="19">
        <v>-1.9666011757204699E-2</v>
      </c>
      <c r="AA28" s="18">
        <v>25958.480223737199</v>
      </c>
      <c r="AB28" s="19">
        <v>2.0321821702895301E-2</v>
      </c>
      <c r="AC28" s="18">
        <v>12532.2267372106</v>
      </c>
      <c r="AD28" s="19">
        <v>2.4978714403274299E-3</v>
      </c>
      <c r="AE28" s="18">
        <v>16396.076496262202</v>
      </c>
      <c r="AF28" s="19">
        <v>3.42350370544131E-3</v>
      </c>
      <c r="AG28" s="18">
        <v>32901.735989360197</v>
      </c>
      <c r="AH28" s="19">
        <v>7.6166746873291405E-2</v>
      </c>
      <c r="AI28" s="18">
        <v>18791.769938691799</v>
      </c>
      <c r="AJ28" s="19">
        <v>0.132230874640105</v>
      </c>
      <c r="AK28" s="18">
        <v>10926.844608068999</v>
      </c>
      <c r="AL28" s="19">
        <v>9.4515732436089E-3</v>
      </c>
      <c r="AM28" s="18">
        <v>95149.508007689103</v>
      </c>
      <c r="AN28" s="19">
        <v>1.9891005677260501E-2</v>
      </c>
      <c r="AO28" s="18">
        <v>36137.175876438203</v>
      </c>
      <c r="AP28" s="19">
        <v>-1.2191507455333601E-3</v>
      </c>
      <c r="AQ28" s="18">
        <v>25547.1088499611</v>
      </c>
      <c r="AR28" s="19">
        <v>2.2265255085653899E-3</v>
      </c>
      <c r="AS28" s="18">
        <v>25580.821826076299</v>
      </c>
      <c r="AT28" s="19">
        <v>1.8376214514973101E-2</v>
      </c>
      <c r="AU28" s="18">
        <v>3131.90843535254</v>
      </c>
      <c r="AV28" s="19">
        <v>5.8661998643914099E-3</v>
      </c>
      <c r="AW28" s="18">
        <v>8482.4355088029097</v>
      </c>
      <c r="AX28" s="19">
        <v>-3.49280535469116E-2</v>
      </c>
      <c r="AY28" s="18">
        <v>1711.7323360140499</v>
      </c>
      <c r="AZ28" s="19">
        <v>-2.6550075424778299E-2</v>
      </c>
      <c r="BA28" s="18">
        <v>11304.689210234101</v>
      </c>
      <c r="BB28" s="19">
        <v>4.2942225051659601E-2</v>
      </c>
      <c r="BC28" s="18">
        <v>22233.801385582101</v>
      </c>
      <c r="BD28" s="19">
        <v>3.1122549571215099E-2</v>
      </c>
      <c r="BE28" s="18">
        <v>-11542.9525388858</v>
      </c>
      <c r="BF28" s="19">
        <v>1.5573633062765199E-2</v>
      </c>
      <c r="BG28" s="18"/>
      <c r="BH28" s="19"/>
    </row>
    <row r="29" spans="1:60" x14ac:dyDescent="0.15">
      <c r="A29" s="17">
        <v>1997</v>
      </c>
      <c r="B29" s="17"/>
      <c r="C29" s="18">
        <v>473786.72153075301</v>
      </c>
      <c r="D29" s="19">
        <v>2.2223620370021201E-2</v>
      </c>
      <c r="E29" s="18">
        <v>461758.04208967398</v>
      </c>
      <c r="F29" s="19">
        <v>1.9575042208183999E-2</v>
      </c>
      <c r="G29" s="18">
        <v>4809.1741327134796</v>
      </c>
      <c r="H29" s="19">
        <v>8.3967063714360801E-3</v>
      </c>
      <c r="I29" s="18">
        <v>788.63920273960798</v>
      </c>
      <c r="J29" s="19">
        <v>0.19968675591660301</v>
      </c>
      <c r="K29" s="18">
        <v>75762.730415500104</v>
      </c>
      <c r="L29" s="19">
        <v>3.0672000390233701E-2</v>
      </c>
      <c r="M29" s="18">
        <v>8056.8139010596597</v>
      </c>
      <c r="N29" s="19">
        <v>4.9223139721965098E-2</v>
      </c>
      <c r="O29" s="18">
        <v>77537.053414736598</v>
      </c>
      <c r="P29" s="19">
        <v>2.63429329410305E-2</v>
      </c>
      <c r="Q29" s="18">
        <v>16875.335721022999</v>
      </c>
      <c r="R29" s="19">
        <v>-7.6047602322409898E-3</v>
      </c>
      <c r="S29" s="18">
        <v>1679.5324574533499</v>
      </c>
      <c r="T29" s="19">
        <v>-1.1671514211099901E-2</v>
      </c>
      <c r="U29" s="18">
        <v>28680.285288383999</v>
      </c>
      <c r="V29" s="19">
        <v>-7.3256131330134602E-2</v>
      </c>
      <c r="W29" s="18">
        <v>59073.553182992197</v>
      </c>
      <c r="X29" s="19">
        <v>1.6144065862330199E-2</v>
      </c>
      <c r="Y29" s="18">
        <v>17229.6006179369</v>
      </c>
      <c r="Z29" s="19">
        <v>1.52347809901494E-2</v>
      </c>
      <c r="AA29" s="18">
        <v>25159.076273950799</v>
      </c>
      <c r="AB29" s="19">
        <v>-3.0795483514299501E-2</v>
      </c>
      <c r="AC29" s="18">
        <v>14978.336042607099</v>
      </c>
      <c r="AD29" s="19">
        <v>0.195185529011658</v>
      </c>
      <c r="AE29" s="18">
        <v>16143.2841986615</v>
      </c>
      <c r="AF29" s="19">
        <v>-1.54178530246764E-2</v>
      </c>
      <c r="AG29" s="18">
        <v>36803.745129584298</v>
      </c>
      <c r="AH29" s="19">
        <v>0.118595843741677</v>
      </c>
      <c r="AI29" s="18">
        <v>21311.2947257616</v>
      </c>
      <c r="AJ29" s="19">
        <v>0.13407597024068299</v>
      </c>
      <c r="AK29" s="18">
        <v>11470.632332484</v>
      </c>
      <c r="AL29" s="19">
        <v>4.97662174140776E-2</v>
      </c>
      <c r="AM29" s="18">
        <v>95749.652578376394</v>
      </c>
      <c r="AN29" s="19">
        <v>6.3073849066963596E-3</v>
      </c>
      <c r="AO29" s="18">
        <v>36066.123932702001</v>
      </c>
      <c r="AP29" s="19">
        <v>-1.96617311710057E-3</v>
      </c>
      <c r="AQ29" s="18">
        <v>25827.2507767032</v>
      </c>
      <c r="AR29" s="19">
        <v>1.09656998131298E-2</v>
      </c>
      <c r="AS29" s="18">
        <v>25804.3773549535</v>
      </c>
      <c r="AT29" s="19">
        <v>8.7391847844904297E-3</v>
      </c>
      <c r="AU29" s="18">
        <v>3219.8215755072601</v>
      </c>
      <c r="AV29" s="19">
        <v>2.8070150187777799E-2</v>
      </c>
      <c r="AW29" s="18">
        <v>8262.2343656602607</v>
      </c>
      <c r="AX29" s="19">
        <v>-2.5959660160590502E-2</v>
      </c>
      <c r="AY29" s="18">
        <v>1710.2843643072999</v>
      </c>
      <c r="AZ29" s="19">
        <v>-8.4591012057500003E-4</v>
      </c>
      <c r="BA29" s="18">
        <v>12571.9342322311</v>
      </c>
      <c r="BB29" s="19">
        <v>0.112099058932979</v>
      </c>
      <c r="BC29" s="18">
        <v>23468.967297757299</v>
      </c>
      <c r="BD29" s="19">
        <v>5.5553519200550301E-2</v>
      </c>
      <c r="BE29" s="18">
        <v>-11362.465360350699</v>
      </c>
      <c r="BF29" s="19">
        <v>-1.5636136242185399E-2</v>
      </c>
      <c r="BG29" s="18"/>
      <c r="BH29" s="19"/>
    </row>
    <row r="30" spans="1:60" x14ac:dyDescent="0.15">
      <c r="A30" s="17">
        <v>1998</v>
      </c>
      <c r="B30" s="17"/>
      <c r="C30" s="18">
        <v>486076.64867477998</v>
      </c>
      <c r="D30" s="19">
        <v>2.5939788063962899E-2</v>
      </c>
      <c r="E30" s="18">
        <v>474048.78527096001</v>
      </c>
      <c r="F30" s="19">
        <v>2.6617280179171102E-2</v>
      </c>
      <c r="G30" s="18">
        <v>4866.73749258107</v>
      </c>
      <c r="H30" s="19">
        <v>1.1969489621103301E-2</v>
      </c>
      <c r="I30" s="18">
        <v>848.94096032381799</v>
      </c>
      <c r="J30" s="19">
        <v>7.64630484697328E-2</v>
      </c>
      <c r="K30" s="18">
        <v>77496.525904578302</v>
      </c>
      <c r="L30" s="19">
        <v>2.2884543357528399E-2</v>
      </c>
      <c r="M30" s="18">
        <v>8770.89531446195</v>
      </c>
      <c r="N30" s="19">
        <v>8.8630744382512103E-2</v>
      </c>
      <c r="O30" s="18">
        <v>78131.572911384297</v>
      </c>
      <c r="P30" s="19">
        <v>7.6675533885417497E-3</v>
      </c>
      <c r="Q30" s="18">
        <v>16390.358944996999</v>
      </c>
      <c r="R30" s="19">
        <v>-2.8738792759057299E-2</v>
      </c>
      <c r="S30" s="18">
        <v>1635.5621540857401</v>
      </c>
      <c r="T30" s="19">
        <v>-2.6180085518731001E-2</v>
      </c>
      <c r="U30" s="18">
        <v>28919.051606329798</v>
      </c>
      <c r="V30" s="19">
        <v>8.3251026112527403E-3</v>
      </c>
      <c r="W30" s="18">
        <v>59989.275742239399</v>
      </c>
      <c r="X30" s="19">
        <v>1.5501396308607701E-2</v>
      </c>
      <c r="Y30" s="18">
        <v>17535.4284081966</v>
      </c>
      <c r="Z30" s="19">
        <v>1.77501380932359E-2</v>
      </c>
      <c r="AA30" s="18">
        <v>26326.403530264699</v>
      </c>
      <c r="AB30" s="19">
        <v>4.6397858315748101E-2</v>
      </c>
      <c r="AC30" s="18">
        <v>15526.412047506699</v>
      </c>
      <c r="AD30" s="19">
        <v>3.6591247742109798E-2</v>
      </c>
      <c r="AE30" s="18">
        <v>17921.876092691</v>
      </c>
      <c r="AF30" s="19">
        <v>0.11017534425721</v>
      </c>
      <c r="AG30" s="18">
        <v>38597.854400605996</v>
      </c>
      <c r="AH30" s="19">
        <v>4.8748008244941403E-2</v>
      </c>
      <c r="AI30" s="18">
        <v>21792.645040498599</v>
      </c>
      <c r="AJ30" s="19">
        <v>2.2586629340500399E-2</v>
      </c>
      <c r="AK30" s="18">
        <v>11941.4541425033</v>
      </c>
      <c r="AL30" s="19">
        <v>4.1045846154964302E-2</v>
      </c>
      <c r="AM30" s="18">
        <v>97990.4741284802</v>
      </c>
      <c r="AN30" s="19">
        <v>2.34029209481421E-2</v>
      </c>
      <c r="AO30" s="18">
        <v>35923.693295984202</v>
      </c>
      <c r="AP30" s="19">
        <v>-3.9491528666506497E-3</v>
      </c>
      <c r="AQ30" s="18">
        <v>26337.325605461301</v>
      </c>
      <c r="AR30" s="19">
        <v>1.97494821716859E-2</v>
      </c>
      <c r="AS30" s="18">
        <v>27155.805636369001</v>
      </c>
      <c r="AT30" s="19">
        <v>5.2372055439503698E-2</v>
      </c>
      <c r="AU30" s="18">
        <v>3441.6585066464199</v>
      </c>
      <c r="AV30" s="19">
        <v>6.8897274565349997E-2</v>
      </c>
      <c r="AW30" s="18">
        <v>8175.9453461994699</v>
      </c>
      <c r="AX30" s="19">
        <v>-1.0443787435930199E-2</v>
      </c>
      <c r="AY30" s="18">
        <v>1725.8373952450299</v>
      </c>
      <c r="AZ30" s="19">
        <v>9.0938274723857404E-3</v>
      </c>
      <c r="BA30" s="18">
        <v>12623.499436914801</v>
      </c>
      <c r="BB30" s="19">
        <v>4.1016126660506896E-3</v>
      </c>
      <c r="BC30" s="18">
        <v>24511.733289475698</v>
      </c>
      <c r="BD30" s="19">
        <v>4.4431694777558303E-2</v>
      </c>
      <c r="BE30" s="18">
        <v>-12494.422631368499</v>
      </c>
      <c r="BF30" s="19">
        <v>9.9622505778346596E-2</v>
      </c>
      <c r="BG30" s="18"/>
      <c r="BH30" s="19"/>
    </row>
    <row r="31" spans="1:60" x14ac:dyDescent="0.15">
      <c r="A31" s="17">
        <v>1999</v>
      </c>
      <c r="B31" s="17"/>
      <c r="C31" s="18">
        <v>494699.496728167</v>
      </c>
      <c r="D31" s="19">
        <v>1.7739687921432198E-2</v>
      </c>
      <c r="E31" s="18">
        <v>479935.93704853801</v>
      </c>
      <c r="F31" s="19">
        <v>1.24188732478518E-2</v>
      </c>
      <c r="G31" s="18">
        <v>4999.7904842480402</v>
      </c>
      <c r="H31" s="19">
        <v>2.7339257946374498E-2</v>
      </c>
      <c r="I31" s="18">
        <v>819.23435011123797</v>
      </c>
      <c r="J31" s="19">
        <v>-3.4992551426955502E-2</v>
      </c>
      <c r="K31" s="18">
        <v>78484.344278744902</v>
      </c>
      <c r="L31" s="19">
        <v>1.2746614930620801E-2</v>
      </c>
      <c r="M31" s="18">
        <v>8943.5217522178591</v>
      </c>
      <c r="N31" s="19">
        <v>1.9681735052894202E-2</v>
      </c>
      <c r="O31" s="18">
        <v>78996.602548771305</v>
      </c>
      <c r="P31" s="19">
        <v>1.1071447881486399E-2</v>
      </c>
      <c r="Q31" s="18">
        <v>16909.166004631501</v>
      </c>
      <c r="R31" s="19">
        <v>3.1653184739609097E-2</v>
      </c>
      <c r="S31" s="18">
        <v>1642.5909986184699</v>
      </c>
      <c r="T31" s="19">
        <v>4.2975098899011898E-3</v>
      </c>
      <c r="U31" s="18">
        <v>28044.561107166399</v>
      </c>
      <c r="V31" s="19">
        <v>-3.02392523471272E-2</v>
      </c>
      <c r="W31" s="18">
        <v>62093.904262697302</v>
      </c>
      <c r="X31" s="19">
        <v>3.5083412733653903E-2</v>
      </c>
      <c r="Y31" s="18">
        <v>17792.9272171132</v>
      </c>
      <c r="Z31" s="19">
        <v>1.4684489190822899E-2</v>
      </c>
      <c r="AA31" s="18">
        <v>22719.179724851499</v>
      </c>
      <c r="AB31" s="19">
        <v>-0.137019240066968</v>
      </c>
      <c r="AC31" s="18">
        <v>15348.919218036801</v>
      </c>
      <c r="AD31" s="19">
        <v>-1.1431670686493501E-2</v>
      </c>
      <c r="AE31" s="18">
        <v>18968.7913099994</v>
      </c>
      <c r="AF31" s="19">
        <v>5.8415492434706701E-2</v>
      </c>
      <c r="AG31" s="18">
        <v>40115.186317696804</v>
      </c>
      <c r="AH31" s="19">
        <v>3.9311302160542697E-2</v>
      </c>
      <c r="AI31" s="18">
        <v>23022.334736487901</v>
      </c>
      <c r="AJ31" s="19">
        <v>5.6426821696226301E-2</v>
      </c>
      <c r="AK31" s="18">
        <v>12101.768682981799</v>
      </c>
      <c r="AL31" s="19">
        <v>1.3425043429835699E-2</v>
      </c>
      <c r="AM31" s="18">
        <v>99299.386451172206</v>
      </c>
      <c r="AN31" s="19">
        <v>1.3357546581271199E-2</v>
      </c>
      <c r="AO31" s="18">
        <v>36203.592738964297</v>
      </c>
      <c r="AP31" s="19">
        <v>7.7914996287806702E-3</v>
      </c>
      <c r="AQ31" s="18">
        <v>26644.243376593298</v>
      </c>
      <c r="AR31" s="19">
        <v>1.16533385253199E-2</v>
      </c>
      <c r="AS31" s="18">
        <v>27739.9534510228</v>
      </c>
      <c r="AT31" s="19">
        <v>2.1510973471966101E-2</v>
      </c>
      <c r="AU31" s="18">
        <v>3571.8212996778202</v>
      </c>
      <c r="AV31" s="19">
        <v>3.7819787401927499E-2</v>
      </c>
      <c r="AW31" s="18">
        <v>7839.8169803944502</v>
      </c>
      <c r="AX31" s="19">
        <v>-4.1111865548522003E-2</v>
      </c>
      <c r="AY31" s="18">
        <v>1752.8784598106299</v>
      </c>
      <c r="AZ31" s="19">
        <v>1.5668373301043599E-2</v>
      </c>
      <c r="BA31" s="18">
        <v>14876.410679062101</v>
      </c>
      <c r="BB31" s="19">
        <v>0.17846962749165601</v>
      </c>
      <c r="BC31" s="18">
        <v>25418.427502145802</v>
      </c>
      <c r="BD31" s="19">
        <v>3.6990212073635002E-2</v>
      </c>
      <c r="BE31" s="18">
        <v>-10577.2947228926</v>
      </c>
      <c r="BF31" s="19">
        <v>-0.15343869541140401</v>
      </c>
      <c r="BG31" s="18"/>
      <c r="BH31" s="19"/>
    </row>
    <row r="32" spans="1:60" x14ac:dyDescent="0.15">
      <c r="A32" s="17">
        <v>2000</v>
      </c>
      <c r="B32" s="17"/>
      <c r="C32" s="18">
        <v>512312.59938998398</v>
      </c>
      <c r="D32" s="19">
        <v>3.5603639741512497E-2</v>
      </c>
      <c r="E32" s="18">
        <v>495608.60706672998</v>
      </c>
      <c r="F32" s="19">
        <v>3.2655754254564899E-2</v>
      </c>
      <c r="G32" s="18">
        <v>5114.4365659183904</v>
      </c>
      <c r="H32" s="19">
        <v>2.2930177180733102E-2</v>
      </c>
      <c r="I32" s="18">
        <v>792.95269681942</v>
      </c>
      <c r="J32" s="19">
        <v>-3.2080751116269998E-2</v>
      </c>
      <c r="K32" s="18">
        <v>80098.825680815906</v>
      </c>
      <c r="L32" s="19">
        <v>2.0570744610377299E-2</v>
      </c>
      <c r="M32" s="18">
        <v>9709.2044772283207</v>
      </c>
      <c r="N32" s="19">
        <v>8.5613111503930903E-2</v>
      </c>
      <c r="O32" s="18">
        <v>79392.960855221594</v>
      </c>
      <c r="P32" s="19">
        <v>5.0174095298030101E-3</v>
      </c>
      <c r="Q32" s="18">
        <v>16861.866670207499</v>
      </c>
      <c r="R32" s="19">
        <v>-2.7972600429279101E-3</v>
      </c>
      <c r="S32" s="18">
        <v>1587.41490957509</v>
      </c>
      <c r="T32" s="19">
        <v>-3.3590887256648799E-2</v>
      </c>
      <c r="U32" s="18">
        <v>27790.844464235601</v>
      </c>
      <c r="V32" s="19">
        <v>-9.0469108060316997E-3</v>
      </c>
      <c r="W32" s="18">
        <v>64769.412220636397</v>
      </c>
      <c r="X32" s="19">
        <v>4.3088093585160102E-2</v>
      </c>
      <c r="Y32" s="18">
        <v>18169.067920402402</v>
      </c>
      <c r="Z32" s="19">
        <v>2.1139900068127399E-2</v>
      </c>
      <c r="AA32" s="18">
        <v>23918.088468498001</v>
      </c>
      <c r="AB32" s="19">
        <v>5.2770775977227999E-2</v>
      </c>
      <c r="AC32" s="18">
        <v>15646.713117978201</v>
      </c>
      <c r="AD32" s="19">
        <v>1.9401620121334701E-2</v>
      </c>
      <c r="AE32" s="18">
        <v>21565.097654455301</v>
      </c>
      <c r="AF32" s="19">
        <v>0.13687252403306099</v>
      </c>
      <c r="AG32" s="18">
        <v>44054.601769064197</v>
      </c>
      <c r="AH32" s="19">
        <v>9.8202596397500203E-2</v>
      </c>
      <c r="AI32" s="18">
        <v>25400.112001275102</v>
      </c>
      <c r="AJ32" s="19">
        <v>0.10328132624267</v>
      </c>
      <c r="AK32" s="18">
        <v>12811.6365876052</v>
      </c>
      <c r="AL32" s="19">
        <v>5.8658194782855097E-2</v>
      </c>
      <c r="AM32" s="18">
        <v>98934.684005748102</v>
      </c>
      <c r="AN32" s="19">
        <v>-3.67275628237063E-3</v>
      </c>
      <c r="AO32" s="18">
        <v>36938.560735980602</v>
      </c>
      <c r="AP32" s="19">
        <v>2.0300968534134E-2</v>
      </c>
      <c r="AQ32" s="18">
        <v>26195.209987729999</v>
      </c>
      <c r="AR32" s="19">
        <v>-1.6852923256878399E-2</v>
      </c>
      <c r="AS32" s="18">
        <v>28967.928166972099</v>
      </c>
      <c r="AT32" s="19">
        <v>4.4267367575702203E-2</v>
      </c>
      <c r="AU32" s="18">
        <v>3607.0196711800099</v>
      </c>
      <c r="AV32" s="19">
        <v>9.8544603856198804E-3</v>
      </c>
      <c r="AW32" s="18">
        <v>7858.0344100339298</v>
      </c>
      <c r="AX32" s="19">
        <v>2.3237059851057801E-3</v>
      </c>
      <c r="AY32" s="18">
        <v>1768.7995179807999</v>
      </c>
      <c r="AZ32" s="19">
        <v>9.0828078130931206E-3</v>
      </c>
      <c r="BA32" s="18">
        <v>16468.605995793001</v>
      </c>
      <c r="BB32" s="19">
        <v>0.107028190541409</v>
      </c>
      <c r="BC32" s="18">
        <v>26803.3937207163</v>
      </c>
      <c r="BD32" s="19">
        <v>5.4486699401590198E-2</v>
      </c>
      <c r="BE32" s="18">
        <v>-10038.282234837599</v>
      </c>
      <c r="BF32" s="19">
        <v>-5.0959390106470701E-2</v>
      </c>
      <c r="BG32" s="18"/>
      <c r="BH32" s="19"/>
    </row>
    <row r="33" spans="1:60" x14ac:dyDescent="0.15">
      <c r="A33" s="17">
        <v>2001</v>
      </c>
      <c r="B33" s="17"/>
      <c r="C33" s="18">
        <v>521513.93017013499</v>
      </c>
      <c r="D33" s="19">
        <v>1.7960383545334399E-2</v>
      </c>
      <c r="E33" s="18">
        <v>505622.96619057399</v>
      </c>
      <c r="F33" s="19">
        <v>2.0206184842337601E-2</v>
      </c>
      <c r="G33" s="18">
        <v>4714.9890456516796</v>
      </c>
      <c r="H33" s="19">
        <v>-7.8101960033790802E-2</v>
      </c>
      <c r="I33" s="18">
        <v>797.16346239760901</v>
      </c>
      <c r="J33" s="19">
        <v>5.3102355223442199E-3</v>
      </c>
      <c r="K33" s="18">
        <v>84843.423576484798</v>
      </c>
      <c r="L33" s="19">
        <v>5.9234300320151603E-2</v>
      </c>
      <c r="M33" s="18">
        <v>11185.0491882924</v>
      </c>
      <c r="N33" s="19">
        <v>0.15200469971824501</v>
      </c>
      <c r="O33" s="18">
        <v>82282.905141039795</v>
      </c>
      <c r="P33" s="19">
        <v>3.6400510255414402E-2</v>
      </c>
      <c r="Q33" s="18">
        <v>17123.494039471501</v>
      </c>
      <c r="R33" s="19">
        <v>1.55159197010053E-2</v>
      </c>
      <c r="S33" s="18">
        <v>1610.25498013622</v>
      </c>
      <c r="T33" s="19">
        <v>1.4388217235050901E-2</v>
      </c>
      <c r="U33" s="18">
        <v>27641.2697208877</v>
      </c>
      <c r="V33" s="19">
        <v>-5.3821589890994401E-3</v>
      </c>
      <c r="W33" s="18">
        <v>66737.245370122095</v>
      </c>
      <c r="X33" s="19">
        <v>3.0382136907190799E-2</v>
      </c>
      <c r="Y33" s="18">
        <v>19119.736646447502</v>
      </c>
      <c r="Z33" s="19">
        <v>5.2323472519882001E-2</v>
      </c>
      <c r="AA33" s="18">
        <v>23933.238822082902</v>
      </c>
      <c r="AB33" s="19">
        <v>6.3342660534138095E-4</v>
      </c>
      <c r="AC33" s="18">
        <v>15965.625195062899</v>
      </c>
      <c r="AD33" s="19">
        <v>2.0382049231686E-2</v>
      </c>
      <c r="AE33" s="18">
        <v>22770.904201782701</v>
      </c>
      <c r="AF33" s="19">
        <v>5.5914726965226001E-2</v>
      </c>
      <c r="AG33" s="18">
        <v>40940.485132964503</v>
      </c>
      <c r="AH33" s="19">
        <v>-7.0687658293313999E-2</v>
      </c>
      <c r="AI33" s="18">
        <v>22203.453216488098</v>
      </c>
      <c r="AJ33" s="19">
        <v>-0.12585215311753301</v>
      </c>
      <c r="AK33" s="18">
        <v>13115.0198512475</v>
      </c>
      <c r="AL33" s="19">
        <v>2.36802895217787E-2</v>
      </c>
      <c r="AM33" s="18">
        <v>102486.127855545</v>
      </c>
      <c r="AN33" s="19">
        <v>3.5896853418873297E-2</v>
      </c>
      <c r="AO33" s="18">
        <v>37668.338505537104</v>
      </c>
      <c r="AP33" s="19">
        <v>1.9756529626928601E-2</v>
      </c>
      <c r="AQ33" s="18">
        <v>26344.9646540508</v>
      </c>
      <c r="AR33" s="19">
        <v>5.7168721453613198E-3</v>
      </c>
      <c r="AS33" s="18">
        <v>30747.758459156499</v>
      </c>
      <c r="AT33" s="19">
        <v>6.1441407957289799E-2</v>
      </c>
      <c r="AU33" s="18">
        <v>3853.56282536042</v>
      </c>
      <c r="AV33" s="19">
        <v>6.8350931421382793E-2</v>
      </c>
      <c r="AW33" s="18">
        <v>8038.1988061624597</v>
      </c>
      <c r="AX33" s="19">
        <v>2.2927412470792601E-2</v>
      </c>
      <c r="AY33" s="18">
        <v>1800.88825651448</v>
      </c>
      <c r="AZ33" s="19">
        <v>1.8141535096250799E-2</v>
      </c>
      <c r="BA33" s="18">
        <v>15952.314068890801</v>
      </c>
      <c r="BB33" s="19">
        <v>-3.1350068550676603E-2</v>
      </c>
      <c r="BC33" s="18">
        <v>26785.360907545099</v>
      </c>
      <c r="BD33" s="19">
        <v>-6.7278096792977604E-4</v>
      </c>
      <c r="BE33" s="18">
        <v>-10759.2255702558</v>
      </c>
      <c r="BF33" s="19">
        <v>7.1819392855501304E-2</v>
      </c>
      <c r="BG33" s="18"/>
      <c r="BH33" s="19"/>
    </row>
    <row r="34" spans="1:60" x14ac:dyDescent="0.15">
      <c r="A34" s="17">
        <v>2002</v>
      </c>
      <c r="B34" s="17"/>
      <c r="C34" s="18">
        <v>522433.38792099099</v>
      </c>
      <c r="D34" s="19">
        <v>1.76305501668161E-3</v>
      </c>
      <c r="E34" s="18">
        <v>507174.57910319598</v>
      </c>
      <c r="F34" s="19">
        <v>3.0687152609225601E-3</v>
      </c>
      <c r="G34" s="18">
        <v>4842.8928993795498</v>
      </c>
      <c r="H34" s="19">
        <v>2.7127073358914799E-2</v>
      </c>
      <c r="I34" s="18">
        <v>788.67290257180002</v>
      </c>
      <c r="J34" s="19">
        <v>-1.06509646092817E-2</v>
      </c>
      <c r="K34" s="18">
        <v>86973.523779062394</v>
      </c>
      <c r="L34" s="19">
        <v>2.5106249993051399E-2</v>
      </c>
      <c r="M34" s="18">
        <v>12838.981376424201</v>
      </c>
      <c r="N34" s="19">
        <v>0.14786990743527201</v>
      </c>
      <c r="O34" s="18">
        <v>81642.6425569493</v>
      </c>
      <c r="P34" s="19">
        <v>-7.7812345467502802E-3</v>
      </c>
      <c r="Q34" s="18">
        <v>14582.993936311599</v>
      </c>
      <c r="R34" s="19">
        <v>-0.148363417962699</v>
      </c>
      <c r="S34" s="18">
        <v>1637.3952006776201</v>
      </c>
      <c r="T34" s="19">
        <v>1.6854610528266499E-2</v>
      </c>
      <c r="U34" s="18">
        <v>28898.318736748701</v>
      </c>
      <c r="V34" s="19">
        <v>4.5477252982740302E-2</v>
      </c>
      <c r="W34" s="18">
        <v>68756.647277186901</v>
      </c>
      <c r="X34" s="19">
        <v>3.025899399751E-2</v>
      </c>
      <c r="Y34" s="18">
        <v>19156.4387326615</v>
      </c>
      <c r="Z34" s="19">
        <v>1.9195916184782101E-3</v>
      </c>
      <c r="AA34" s="18">
        <v>24428.3379319206</v>
      </c>
      <c r="AB34" s="19">
        <v>2.0686674023447701E-2</v>
      </c>
      <c r="AC34" s="18">
        <v>15202.416523308801</v>
      </c>
      <c r="AD34" s="19">
        <v>-4.7803243683191797E-2</v>
      </c>
      <c r="AE34" s="18">
        <v>23191.549392217599</v>
      </c>
      <c r="AF34" s="19">
        <v>1.8472924338333498E-2</v>
      </c>
      <c r="AG34" s="18">
        <v>39469.169191697802</v>
      </c>
      <c r="AH34" s="19">
        <v>-3.59379215094352E-2</v>
      </c>
      <c r="AI34" s="18">
        <v>21175.950918297502</v>
      </c>
      <c r="AJ34" s="19">
        <v>-4.6276688953393201E-2</v>
      </c>
      <c r="AK34" s="18">
        <v>12762.8487032678</v>
      </c>
      <c r="AL34" s="19">
        <v>-2.6852505903466599E-2</v>
      </c>
      <c r="AM34" s="18">
        <v>98097.427738527302</v>
      </c>
      <c r="AN34" s="19">
        <v>-4.2822382002797199E-2</v>
      </c>
      <c r="AO34" s="18">
        <v>37962.258512796601</v>
      </c>
      <c r="AP34" s="19">
        <v>7.8028397035960796E-3</v>
      </c>
      <c r="AQ34" s="18">
        <v>27412.340786026401</v>
      </c>
      <c r="AR34" s="19">
        <v>4.0515375366486403E-2</v>
      </c>
      <c r="AS34" s="18">
        <v>31788.450665529701</v>
      </c>
      <c r="AT34" s="19">
        <v>3.3846116221954999E-2</v>
      </c>
      <c r="AU34" s="18">
        <v>4187.0355753649401</v>
      </c>
      <c r="AV34" s="19">
        <v>8.6536217292196599E-2</v>
      </c>
      <c r="AW34" s="18">
        <v>8445.0203917152594</v>
      </c>
      <c r="AX34" s="19">
        <v>5.06110380401288E-2</v>
      </c>
      <c r="AY34" s="18">
        <v>1809.4404361009799</v>
      </c>
      <c r="AZ34" s="19">
        <v>4.7488674300380004E-3</v>
      </c>
      <c r="BA34" s="18">
        <v>15488.4229284292</v>
      </c>
      <c r="BB34" s="19">
        <v>-2.90798650564594E-2</v>
      </c>
      <c r="BC34" s="18">
        <v>26782.166854953</v>
      </c>
      <c r="BD34" s="19">
        <v>-1.19246203295509E-4</v>
      </c>
      <c r="BE34" s="18">
        <v>-11408.346126839901</v>
      </c>
      <c r="BF34" s="19">
        <v>6.0331531516414801E-2</v>
      </c>
      <c r="BG34" s="18"/>
      <c r="BH34" s="19"/>
    </row>
    <row r="35" spans="1:60" x14ac:dyDescent="0.15">
      <c r="A35" s="17">
        <v>2003</v>
      </c>
      <c r="B35" s="17"/>
      <c r="C35" s="18">
        <v>521943.44911908702</v>
      </c>
      <c r="D35" s="19">
        <v>-9.3780147523359102E-4</v>
      </c>
      <c r="E35" s="18">
        <v>506663.53571105801</v>
      </c>
      <c r="F35" s="19">
        <v>-1.00762816827449E-3</v>
      </c>
      <c r="G35" s="18">
        <v>4120.3076673482501</v>
      </c>
      <c r="H35" s="19">
        <v>-0.149205288459687</v>
      </c>
      <c r="I35" s="18">
        <v>747.997692390319</v>
      </c>
      <c r="J35" s="19">
        <v>-5.1574245861424103E-2</v>
      </c>
      <c r="K35" s="18">
        <v>86705.267589741794</v>
      </c>
      <c r="L35" s="19">
        <v>-3.0843431157514499E-3</v>
      </c>
      <c r="M35" s="18">
        <v>13434.0999273984</v>
      </c>
      <c r="N35" s="19">
        <v>4.6352474041827497E-2</v>
      </c>
      <c r="O35" s="18">
        <v>80172.164092228399</v>
      </c>
      <c r="P35" s="19">
        <v>-1.8011157143708899E-2</v>
      </c>
      <c r="Q35" s="18">
        <v>13528.5200907402</v>
      </c>
      <c r="R35" s="19">
        <v>-7.2308460812409894E-2</v>
      </c>
      <c r="S35" s="18">
        <v>1632.12103243569</v>
      </c>
      <c r="T35" s="19">
        <v>-3.2210722492286301E-3</v>
      </c>
      <c r="U35" s="18">
        <v>29429.342568779801</v>
      </c>
      <c r="V35" s="19">
        <v>1.8375596063857601E-2</v>
      </c>
      <c r="W35" s="18">
        <v>70552.382296304801</v>
      </c>
      <c r="X35" s="19">
        <v>2.6117256879593501E-2</v>
      </c>
      <c r="Y35" s="18">
        <v>19522.1962788975</v>
      </c>
      <c r="Z35" s="19">
        <v>1.9093191137473899E-2</v>
      </c>
      <c r="AA35" s="18">
        <v>24717.662742849301</v>
      </c>
      <c r="AB35" s="19">
        <v>1.1843818917806901E-2</v>
      </c>
      <c r="AC35" s="18">
        <v>13904.5695844282</v>
      </c>
      <c r="AD35" s="19">
        <v>-8.5371094581621496E-2</v>
      </c>
      <c r="AE35" s="18">
        <v>22084.684646276</v>
      </c>
      <c r="AF35" s="19">
        <v>-4.7727071927030303E-2</v>
      </c>
      <c r="AG35" s="18">
        <v>41199.929985449198</v>
      </c>
      <c r="AH35" s="19">
        <v>4.3850955801609103E-2</v>
      </c>
      <c r="AI35" s="18">
        <v>21844.796448465499</v>
      </c>
      <c r="AJ35" s="19">
        <v>3.1585147356479402E-2</v>
      </c>
      <c r="AK35" s="18">
        <v>14099.584295078201</v>
      </c>
      <c r="AL35" s="19">
        <v>0.104736459930622</v>
      </c>
      <c r="AM35" s="18">
        <v>94755.483679027602</v>
      </c>
      <c r="AN35" s="19">
        <v>-3.4067601328013002E-2</v>
      </c>
      <c r="AO35" s="18">
        <v>38494.1939435022</v>
      </c>
      <c r="AP35" s="19">
        <v>1.4012217701069999E-2</v>
      </c>
      <c r="AQ35" s="18">
        <v>27524.845186426101</v>
      </c>
      <c r="AR35" s="19">
        <v>4.1041515307962398E-3</v>
      </c>
      <c r="AS35" s="18">
        <v>32395.638648548302</v>
      </c>
      <c r="AT35" s="19">
        <v>1.9100898921035499E-2</v>
      </c>
      <c r="AU35" s="18">
        <v>4431.7732456271196</v>
      </c>
      <c r="AV35" s="19">
        <v>5.8451299459249699E-2</v>
      </c>
      <c r="AW35" s="18">
        <v>8354.1697634468292</v>
      </c>
      <c r="AX35" s="19">
        <v>-1.07578932973986E-2</v>
      </c>
      <c r="AY35" s="18">
        <v>1807.96279718305</v>
      </c>
      <c r="AZ35" s="19">
        <v>-8.1662755426958899E-4</v>
      </c>
      <c r="BA35" s="18">
        <v>15501.5480736789</v>
      </c>
      <c r="BB35" s="19">
        <v>8.4741650653108501E-4</v>
      </c>
      <c r="BC35" s="18">
        <v>27090.287137172199</v>
      </c>
      <c r="BD35" s="19">
        <v>1.15046808530435E-2</v>
      </c>
      <c r="BE35" s="18">
        <v>-11756.847548412899</v>
      </c>
      <c r="BF35" s="19">
        <v>3.0547935493742399E-2</v>
      </c>
      <c r="BG35" s="18"/>
      <c r="BH35" s="19"/>
    </row>
    <row r="36" spans="1:60" x14ac:dyDescent="0.15">
      <c r="A36" s="17">
        <v>2004</v>
      </c>
      <c r="B36" s="17"/>
      <c r="C36" s="18">
        <v>534019.47317846899</v>
      </c>
      <c r="D36" s="19">
        <v>2.31366522173286E-2</v>
      </c>
      <c r="E36" s="18">
        <v>517682.83027595299</v>
      </c>
      <c r="F36" s="19">
        <v>2.17487420906066E-2</v>
      </c>
      <c r="G36" s="18">
        <v>4853.8118107543496</v>
      </c>
      <c r="H36" s="19">
        <v>0.178021692219447</v>
      </c>
      <c r="I36" s="18">
        <v>777.45619678274898</v>
      </c>
      <c r="J36" s="19">
        <v>3.9383148761183998E-2</v>
      </c>
      <c r="K36" s="18">
        <v>88237.812504328598</v>
      </c>
      <c r="L36" s="19">
        <v>1.7675338041031899E-2</v>
      </c>
      <c r="M36" s="18">
        <v>14430.9223685836</v>
      </c>
      <c r="N36" s="19">
        <v>7.4200910114728097E-2</v>
      </c>
      <c r="O36" s="18">
        <v>80136.486460786007</v>
      </c>
      <c r="P36" s="19">
        <v>-4.4501270293029199E-4</v>
      </c>
      <c r="Q36" s="18">
        <v>12285.7598549584</v>
      </c>
      <c r="R36" s="19">
        <v>-9.1862245644475607E-2</v>
      </c>
      <c r="S36" s="18">
        <v>1722.81916936014</v>
      </c>
      <c r="T36" s="19">
        <v>5.5570717564425998E-2</v>
      </c>
      <c r="U36" s="18">
        <v>28964.518221081202</v>
      </c>
      <c r="V36" s="19">
        <v>-1.5794588228136799E-2</v>
      </c>
      <c r="W36" s="18">
        <v>73959.440426447705</v>
      </c>
      <c r="X36" s="19">
        <v>4.8291184780039798E-2</v>
      </c>
      <c r="Y36" s="18">
        <v>19431.841120669898</v>
      </c>
      <c r="Z36" s="19">
        <v>-4.6283295658350303E-3</v>
      </c>
      <c r="AA36" s="18">
        <v>25388.0850104192</v>
      </c>
      <c r="AB36" s="19">
        <v>2.7123206370469201E-2</v>
      </c>
      <c r="AC36" s="18">
        <v>13315.4613814848</v>
      </c>
      <c r="AD36" s="19">
        <v>-4.2367956761721601E-2</v>
      </c>
      <c r="AE36" s="18">
        <v>22512.251798154499</v>
      </c>
      <c r="AF36" s="19">
        <v>1.9360346716593899E-2</v>
      </c>
      <c r="AG36" s="18">
        <v>43227.6041531386</v>
      </c>
      <c r="AH36" s="19">
        <v>4.9215476055554999E-2</v>
      </c>
      <c r="AI36" s="18">
        <v>23516.887693250101</v>
      </c>
      <c r="AJ36" s="19">
        <v>7.6544143990046706E-2</v>
      </c>
      <c r="AK36" s="18">
        <v>14099.344047672699</v>
      </c>
      <c r="AL36" s="19">
        <v>-1.7039325449164099E-5</v>
      </c>
      <c r="AM36" s="18">
        <v>95805.0910345257</v>
      </c>
      <c r="AN36" s="19">
        <v>1.10770091053884E-2</v>
      </c>
      <c r="AO36" s="18">
        <v>38955.641649417797</v>
      </c>
      <c r="AP36" s="19">
        <v>1.1987462488313399E-2</v>
      </c>
      <c r="AQ36" s="18">
        <v>28004.923453289801</v>
      </c>
      <c r="AR36" s="19">
        <v>1.7441633680845801E-2</v>
      </c>
      <c r="AS36" s="18">
        <v>33046.990935772599</v>
      </c>
      <c r="AT36" s="19">
        <v>2.0106172139115398E-2</v>
      </c>
      <c r="AU36" s="18">
        <v>4569.3316874353704</v>
      </c>
      <c r="AV36" s="19">
        <v>3.1039142614975E-2</v>
      </c>
      <c r="AW36" s="18">
        <v>8484.9437438651894</v>
      </c>
      <c r="AX36" s="19">
        <v>1.5653737489337499E-2</v>
      </c>
      <c r="AY36" s="18">
        <v>1829.16463562537</v>
      </c>
      <c r="AZ36" s="19">
        <v>1.1726921856663099E-2</v>
      </c>
      <c r="BA36" s="18">
        <v>16425.442432270698</v>
      </c>
      <c r="BB36" s="19">
        <v>5.9600135044607802E-2</v>
      </c>
      <c r="BC36" s="18">
        <v>28148.8391665093</v>
      </c>
      <c r="BD36" s="19">
        <v>3.9074965280993398E-2</v>
      </c>
      <c r="BE36" s="18">
        <v>-11803.859450989399</v>
      </c>
      <c r="BF36" s="19">
        <v>3.9986826726228202E-3</v>
      </c>
      <c r="BG36" s="18"/>
      <c r="BH36" s="19"/>
    </row>
    <row r="37" spans="1:60" x14ac:dyDescent="0.15">
      <c r="A37" s="17">
        <v>2005</v>
      </c>
      <c r="B37" s="17"/>
      <c r="C37" s="18">
        <v>550923.32833813201</v>
      </c>
      <c r="D37" s="19">
        <v>3.1654005160247002E-2</v>
      </c>
      <c r="E37" s="18">
        <v>533994.39228385</v>
      </c>
      <c r="F37" s="19">
        <v>3.1508794678784903E-2</v>
      </c>
      <c r="G37" s="18">
        <v>4677.1704779394004</v>
      </c>
      <c r="H37" s="19">
        <v>-3.6392291193403301E-2</v>
      </c>
      <c r="I37" s="18">
        <v>803.62452153445497</v>
      </c>
      <c r="J37" s="19">
        <v>3.3658905620658E-2</v>
      </c>
      <c r="K37" s="18">
        <v>92617.016442767606</v>
      </c>
      <c r="L37" s="19">
        <v>4.96295614561411E-2</v>
      </c>
      <c r="M37" s="18">
        <v>15531.269771479099</v>
      </c>
      <c r="N37" s="19">
        <v>7.6249277405231505E-2</v>
      </c>
      <c r="O37" s="18">
        <v>83386.588891143707</v>
      </c>
      <c r="P37" s="19">
        <v>4.0557086714153603E-2</v>
      </c>
      <c r="Q37" s="18">
        <v>12944.505508603001</v>
      </c>
      <c r="R37" s="19">
        <v>5.3618633395209801E-2</v>
      </c>
      <c r="S37" s="18">
        <v>1891.89796744573</v>
      </c>
      <c r="T37" s="19">
        <v>9.8140768974833703E-2</v>
      </c>
      <c r="U37" s="18">
        <v>29691.3730353428</v>
      </c>
      <c r="V37" s="19">
        <v>2.5094662673610799E-2</v>
      </c>
      <c r="W37" s="18">
        <v>76457.077970742102</v>
      </c>
      <c r="X37" s="19">
        <v>3.37703683247614E-2</v>
      </c>
      <c r="Y37" s="18">
        <v>19872.883761458699</v>
      </c>
      <c r="Z37" s="19">
        <v>2.2696904428664899E-2</v>
      </c>
      <c r="AA37" s="18">
        <v>25519.3834052026</v>
      </c>
      <c r="AB37" s="19">
        <v>5.1716541334061398E-3</v>
      </c>
      <c r="AC37" s="18">
        <v>13475.9287149711</v>
      </c>
      <c r="AD37" s="19">
        <v>1.20512034009901E-2</v>
      </c>
      <c r="AE37" s="18">
        <v>23481.465232881401</v>
      </c>
      <c r="AF37" s="19">
        <v>4.3052709405388703E-2</v>
      </c>
      <c r="AG37" s="18">
        <v>45422.012346369898</v>
      </c>
      <c r="AH37" s="19">
        <v>5.0764048487567097E-2</v>
      </c>
      <c r="AI37" s="18">
        <v>25186.171899911002</v>
      </c>
      <c r="AJ37" s="19">
        <v>7.0982360779822604E-2</v>
      </c>
      <c r="AK37" s="18">
        <v>14485.7880512419</v>
      </c>
      <c r="AL37" s="19">
        <v>2.7408651229628499E-2</v>
      </c>
      <c r="AM37" s="18">
        <v>98229.990468495598</v>
      </c>
      <c r="AN37" s="19">
        <v>2.5310757578592899E-2</v>
      </c>
      <c r="AO37" s="18">
        <v>39113.444714959704</v>
      </c>
      <c r="AP37" s="19">
        <v>4.0508398491305702E-3</v>
      </c>
      <c r="AQ37" s="18">
        <v>28333.620702772201</v>
      </c>
      <c r="AR37" s="19">
        <v>1.1737123653655E-2</v>
      </c>
      <c r="AS37" s="18">
        <v>33398.372573417902</v>
      </c>
      <c r="AT37" s="19">
        <v>1.06327876667567E-2</v>
      </c>
      <c r="AU37" s="18">
        <v>4929.5109067698204</v>
      </c>
      <c r="AV37" s="19">
        <v>7.8825360900119906E-2</v>
      </c>
      <c r="AW37" s="18">
        <v>8548.2656838635594</v>
      </c>
      <c r="AX37" s="19">
        <v>7.4628591431913404E-3</v>
      </c>
      <c r="AY37" s="18">
        <v>1865.2827498024201</v>
      </c>
      <c r="AZ37" s="19">
        <v>1.9745687989808601E-2</v>
      </c>
      <c r="BA37" s="18">
        <v>17005.446342889001</v>
      </c>
      <c r="BB37" s="19">
        <v>3.5311311278825003E-2</v>
      </c>
      <c r="BC37" s="18">
        <v>28818.8357362557</v>
      </c>
      <c r="BD37" s="19">
        <v>2.38019253931969E-2</v>
      </c>
      <c r="BE37" s="18">
        <v>-11842.520838569701</v>
      </c>
      <c r="BF37" s="19">
        <v>3.2753175129562901E-3</v>
      </c>
      <c r="BG37" s="18"/>
      <c r="BH37" s="19"/>
    </row>
    <row r="38" spans="1:60" x14ac:dyDescent="0.15">
      <c r="A38" s="17">
        <v>2006</v>
      </c>
      <c r="B38" s="17"/>
      <c r="C38" s="18">
        <v>572980.24536134698</v>
      </c>
      <c r="D38" s="19">
        <v>4.0036273449791902E-2</v>
      </c>
      <c r="E38" s="18">
        <v>554656.97612835199</v>
      </c>
      <c r="F38" s="19">
        <v>3.8694383579814799E-2</v>
      </c>
      <c r="G38" s="18">
        <v>4474.806613707</v>
      </c>
      <c r="H38" s="19">
        <v>-4.3266300680481803E-2</v>
      </c>
      <c r="I38" s="18">
        <v>769.81408606164302</v>
      </c>
      <c r="J38" s="19">
        <v>-4.2072428810726599E-2</v>
      </c>
      <c r="K38" s="18">
        <v>98830.893375710293</v>
      </c>
      <c r="L38" s="19">
        <v>6.7092173464500901E-2</v>
      </c>
      <c r="M38" s="18">
        <v>17328.287070109702</v>
      </c>
      <c r="N38" s="19">
        <v>0.11570317978318501</v>
      </c>
      <c r="O38" s="18">
        <v>87575.9544610374</v>
      </c>
      <c r="P38" s="19">
        <v>5.0240279949126401E-2</v>
      </c>
      <c r="Q38" s="18">
        <v>13608.544276716701</v>
      </c>
      <c r="R38" s="19">
        <v>5.1298890303100003E-2</v>
      </c>
      <c r="S38" s="18">
        <v>1971.2029759295899</v>
      </c>
      <c r="T38" s="19">
        <v>4.1918227012492898E-2</v>
      </c>
      <c r="U38" s="18">
        <v>29038.660938538302</v>
      </c>
      <c r="V38" s="19">
        <v>-2.1983223747437899E-2</v>
      </c>
      <c r="W38" s="18">
        <v>81254.544955807796</v>
      </c>
      <c r="X38" s="19">
        <v>6.2747192443079997E-2</v>
      </c>
      <c r="Y38" s="18">
        <v>20173.264208133201</v>
      </c>
      <c r="Z38" s="19">
        <v>1.51150910094378E-2</v>
      </c>
      <c r="AA38" s="18">
        <v>26239.260474432998</v>
      </c>
      <c r="AB38" s="19">
        <v>2.8209030672881101E-2</v>
      </c>
      <c r="AC38" s="18">
        <v>13814.6264232752</v>
      </c>
      <c r="AD38" s="19">
        <v>2.5133533685721202E-2</v>
      </c>
      <c r="AE38" s="18">
        <v>24370.543147390701</v>
      </c>
      <c r="AF38" s="19">
        <v>3.7862965777122601E-2</v>
      </c>
      <c r="AG38" s="18">
        <v>48618.630068207</v>
      </c>
      <c r="AH38" s="19">
        <v>7.0375959952214504E-2</v>
      </c>
      <c r="AI38" s="18">
        <v>26958.991661330001</v>
      </c>
      <c r="AJ38" s="19">
        <v>7.0388615168043303E-2</v>
      </c>
      <c r="AK38" s="18">
        <v>14870.8951809558</v>
      </c>
      <c r="AL38" s="19">
        <v>2.6585169433076102E-2</v>
      </c>
      <c r="AM38" s="18">
        <v>100116.074491085</v>
      </c>
      <c r="AN38" s="19">
        <v>1.9200694345932599E-2</v>
      </c>
      <c r="AO38" s="18">
        <v>39522.317395542501</v>
      </c>
      <c r="AP38" s="19">
        <v>1.0453507318582101E-2</v>
      </c>
      <c r="AQ38" s="18">
        <v>28096.266558953099</v>
      </c>
      <c r="AR38" s="19">
        <v>-8.3771201114389796E-3</v>
      </c>
      <c r="AS38" s="18">
        <v>33720.637890196602</v>
      </c>
      <c r="AT38" s="19">
        <v>9.6491323363219195E-3</v>
      </c>
      <c r="AU38" s="18">
        <v>5109.8489626625096</v>
      </c>
      <c r="AV38" s="19">
        <v>3.6583356706853899E-2</v>
      </c>
      <c r="AW38" s="18">
        <v>8744.5813195718802</v>
      </c>
      <c r="AX38" s="19">
        <v>2.29655514894558E-2</v>
      </c>
      <c r="AY38" s="18">
        <v>1887.9720152989501</v>
      </c>
      <c r="AZ38" s="19">
        <v>1.2163981840787E-2</v>
      </c>
      <c r="BA38" s="18">
        <v>18284.312384410499</v>
      </c>
      <c r="BB38" s="19">
        <v>7.5203321085205402E-2</v>
      </c>
      <c r="BC38" s="18">
        <v>30100.5955994672</v>
      </c>
      <c r="BD38" s="19">
        <v>4.4476462371415303E-2</v>
      </c>
      <c r="BE38" s="18">
        <v>-11725.863696050699</v>
      </c>
      <c r="BF38" s="19">
        <v>-9.8507018994692403E-3</v>
      </c>
      <c r="BG38" s="18"/>
      <c r="BH38" s="19"/>
    </row>
    <row r="39" spans="1:60" x14ac:dyDescent="0.15">
      <c r="A39" s="17">
        <v>2007</v>
      </c>
      <c r="B39" s="17"/>
      <c r="C39" s="18">
        <v>596903.97002793103</v>
      </c>
      <c r="D39" s="19">
        <v>4.17531404621048E-2</v>
      </c>
      <c r="E39" s="18">
        <v>577286.18604070297</v>
      </c>
      <c r="F39" s="19">
        <v>4.0798567197890802E-2</v>
      </c>
      <c r="G39" s="18">
        <v>4781.9479655916803</v>
      </c>
      <c r="H39" s="19">
        <v>6.8637905142954397E-2</v>
      </c>
      <c r="I39" s="18">
        <v>772.18753997001102</v>
      </c>
      <c r="J39" s="19">
        <v>3.0831520900211902E-3</v>
      </c>
      <c r="K39" s="18">
        <v>104074.944182618</v>
      </c>
      <c r="L39" s="19">
        <v>5.3060845933796001E-2</v>
      </c>
      <c r="M39" s="18">
        <v>18643.990434515599</v>
      </c>
      <c r="N39" s="19">
        <v>7.5928068312963101E-2</v>
      </c>
      <c r="O39" s="18">
        <v>91504.758231494896</v>
      </c>
      <c r="P39" s="19">
        <v>4.4861672300760699E-2</v>
      </c>
      <c r="Q39" s="18">
        <v>14252.985198139701</v>
      </c>
      <c r="R39" s="19">
        <v>4.7355610439949299E-2</v>
      </c>
      <c r="S39" s="18">
        <v>1874.2412880429899</v>
      </c>
      <c r="T39" s="19">
        <v>-4.9189093700955699E-2</v>
      </c>
      <c r="U39" s="18">
        <v>28317.853309635699</v>
      </c>
      <c r="V39" s="19">
        <v>-2.4822343923783199E-2</v>
      </c>
      <c r="W39" s="18">
        <v>86023.700457458195</v>
      </c>
      <c r="X39" s="19">
        <v>5.8694015260859503E-2</v>
      </c>
      <c r="Y39" s="18">
        <v>20851.753233859599</v>
      </c>
      <c r="Z39" s="19">
        <v>3.3633080830463902E-2</v>
      </c>
      <c r="AA39" s="18">
        <v>26933.992070965302</v>
      </c>
      <c r="AB39" s="19">
        <v>2.6476797896391801E-2</v>
      </c>
      <c r="AC39" s="18">
        <v>14385.565283449399</v>
      </c>
      <c r="AD39" s="19">
        <v>4.1328577601799303E-2</v>
      </c>
      <c r="AE39" s="18">
        <v>24669.271716494099</v>
      </c>
      <c r="AF39" s="19">
        <v>1.2257772315402E-2</v>
      </c>
      <c r="AG39" s="18">
        <v>52421.948896210997</v>
      </c>
      <c r="AH39" s="19">
        <v>7.8227601696474205E-2</v>
      </c>
      <c r="AI39" s="18">
        <v>29542.9019224189</v>
      </c>
      <c r="AJ39" s="19">
        <v>9.5845953496670203E-2</v>
      </c>
      <c r="AK39" s="18">
        <v>15128.465137220301</v>
      </c>
      <c r="AL39" s="19">
        <v>1.73204069513151E-2</v>
      </c>
      <c r="AM39" s="18">
        <v>103185.14838226599</v>
      </c>
      <c r="AN39" s="19">
        <v>3.0655156095380501E-2</v>
      </c>
      <c r="AO39" s="18">
        <v>40354.714527981501</v>
      </c>
      <c r="AP39" s="19">
        <v>2.1061445464047601E-2</v>
      </c>
      <c r="AQ39" s="18">
        <v>28278.040622480399</v>
      </c>
      <c r="AR39" s="19">
        <v>6.4696874634881897E-3</v>
      </c>
      <c r="AS39" s="18">
        <v>34905.090060320203</v>
      </c>
      <c r="AT39" s="19">
        <v>3.51254378395955E-2</v>
      </c>
      <c r="AU39" s="18">
        <v>5312.9101462450599</v>
      </c>
      <c r="AV39" s="19">
        <v>3.9739175280190997E-2</v>
      </c>
      <c r="AW39" s="18">
        <v>8897.8754388382495</v>
      </c>
      <c r="AX39" s="19">
        <v>1.75301839692747E-2</v>
      </c>
      <c r="AY39" s="18">
        <v>1965.7849923017</v>
      </c>
      <c r="AZ39" s="19">
        <v>4.1215111438200197E-2</v>
      </c>
      <c r="BA39" s="18">
        <v>19498.9298826616</v>
      </c>
      <c r="BB39" s="19">
        <v>6.6429487350406505E-2</v>
      </c>
      <c r="BC39" s="18">
        <v>31194.5348027086</v>
      </c>
      <c r="BD39" s="19">
        <v>3.6342775996790699E-2</v>
      </c>
      <c r="BE39" s="18">
        <v>-11480.3374791637</v>
      </c>
      <c r="BF39" s="19">
        <v>-2.0938859878586E-2</v>
      </c>
      <c r="BG39" s="18"/>
      <c r="BH39" s="19"/>
    </row>
    <row r="40" spans="1:60" x14ac:dyDescent="0.15">
      <c r="A40" s="17">
        <v>2008</v>
      </c>
      <c r="B40" s="17"/>
      <c r="C40" s="18">
        <v>610739.05324062495</v>
      </c>
      <c r="D40" s="19">
        <v>2.3178072030660201E-2</v>
      </c>
      <c r="E40" s="18">
        <v>590841.82589227206</v>
      </c>
      <c r="F40" s="19">
        <v>2.3481663305578101E-2</v>
      </c>
      <c r="G40" s="18">
        <v>4781.9139288631904</v>
      </c>
      <c r="H40" s="19">
        <v>-7.1177538403244298E-6</v>
      </c>
      <c r="I40" s="18">
        <v>762.25766913956204</v>
      </c>
      <c r="J40" s="19">
        <v>-1.2859403080804001E-2</v>
      </c>
      <c r="K40" s="18">
        <v>107535.17176320701</v>
      </c>
      <c r="L40" s="19">
        <v>3.32474603543109E-2</v>
      </c>
      <c r="M40" s="18">
        <v>19447.210542853401</v>
      </c>
      <c r="N40" s="19">
        <v>4.3081984576158298E-2</v>
      </c>
      <c r="O40" s="18">
        <v>94219.716226202407</v>
      </c>
      <c r="P40" s="19">
        <v>2.9670129151525601E-2</v>
      </c>
      <c r="Q40" s="18">
        <v>14888.402206479101</v>
      </c>
      <c r="R40" s="19">
        <v>4.4581328016977999E-2</v>
      </c>
      <c r="S40" s="18">
        <v>1667.8931917073</v>
      </c>
      <c r="T40" s="19">
        <v>-0.110096868344601</v>
      </c>
      <c r="U40" s="18">
        <v>28658.9483779654</v>
      </c>
      <c r="V40" s="19">
        <v>1.2045230427605301E-2</v>
      </c>
      <c r="W40" s="18">
        <v>89996.382428248995</v>
      </c>
      <c r="X40" s="19">
        <v>4.6181249465726999E-2</v>
      </c>
      <c r="Y40" s="18">
        <v>21655.166718289202</v>
      </c>
      <c r="Z40" s="19">
        <v>3.8529780945467197E-2</v>
      </c>
      <c r="AA40" s="18">
        <v>26258.842891304499</v>
      </c>
      <c r="AB40" s="19">
        <v>-2.5066806950932899E-2</v>
      </c>
      <c r="AC40" s="18">
        <v>14944.764612763</v>
      </c>
      <c r="AD40" s="19">
        <v>3.8872252726624298E-2</v>
      </c>
      <c r="AE40" s="18">
        <v>25858.547181800299</v>
      </c>
      <c r="AF40" s="19">
        <v>4.82087788798033E-2</v>
      </c>
      <c r="AG40" s="18">
        <v>50385.014081561902</v>
      </c>
      <c r="AH40" s="19">
        <v>-3.8856525893037702E-2</v>
      </c>
      <c r="AI40" s="18">
        <v>26362.504961525399</v>
      </c>
      <c r="AJ40" s="19">
        <v>-0.107653505713331</v>
      </c>
      <c r="AK40" s="18">
        <v>16692.0172529759</v>
      </c>
      <c r="AL40" s="19">
        <v>0.10335166863086601</v>
      </c>
      <c r="AM40" s="18">
        <v>107967.85291801899</v>
      </c>
      <c r="AN40" s="19">
        <v>4.6350706576829402E-2</v>
      </c>
      <c r="AO40" s="18">
        <v>40880.335671968001</v>
      </c>
      <c r="AP40" s="19">
        <v>1.3025024464540199E-2</v>
      </c>
      <c r="AQ40" s="18">
        <v>28130.984903343498</v>
      </c>
      <c r="AR40" s="19">
        <v>-5.2003503743446302E-3</v>
      </c>
      <c r="AS40" s="18">
        <v>36825.979881652398</v>
      </c>
      <c r="AT40" s="19">
        <v>5.50317967383172E-2</v>
      </c>
      <c r="AU40" s="18">
        <v>5309.6664475130401</v>
      </c>
      <c r="AV40" s="19">
        <v>-6.1053144937994698E-4</v>
      </c>
      <c r="AW40" s="18">
        <v>9153.0527491323792</v>
      </c>
      <c r="AX40" s="19">
        <v>2.8678453867797299E-2</v>
      </c>
      <c r="AY40" s="18">
        <v>2110.72476589592</v>
      </c>
      <c r="AZ40" s="19">
        <v>7.3731244343519395E-2</v>
      </c>
      <c r="BA40" s="18">
        <v>19799.419288396501</v>
      </c>
      <c r="BB40" s="19">
        <v>1.5410558812364699E-2</v>
      </c>
      <c r="BC40" s="18">
        <v>31865.016462998599</v>
      </c>
      <c r="BD40" s="19">
        <v>2.1493561757866399E-2</v>
      </c>
      <c r="BE40" s="18">
        <v>-11872.7126702818</v>
      </c>
      <c r="BF40" s="19">
        <v>3.41780188805638E-2</v>
      </c>
      <c r="BG40" s="18"/>
      <c r="BH40" s="19"/>
    </row>
    <row r="41" spans="1:60" x14ac:dyDescent="0.15">
      <c r="A41" s="17">
        <v>2009</v>
      </c>
      <c r="B41" s="17"/>
      <c r="C41" s="18">
        <v>599983.361392939</v>
      </c>
      <c r="D41" s="19">
        <v>-1.7610944953684999E-2</v>
      </c>
      <c r="E41" s="18">
        <v>580574.279539824</v>
      </c>
      <c r="F41" s="19">
        <v>-1.7377825845255601E-2</v>
      </c>
      <c r="G41" s="18">
        <v>5032.5612581679197</v>
      </c>
      <c r="H41" s="19">
        <v>5.2415692342735701E-2</v>
      </c>
      <c r="I41" s="18">
        <v>697.51505602874295</v>
      </c>
      <c r="J41" s="19">
        <v>-8.4935338445201403E-2</v>
      </c>
      <c r="K41" s="18">
        <v>94923.975371428605</v>
      </c>
      <c r="L41" s="19">
        <v>-0.117275084839669</v>
      </c>
      <c r="M41" s="18">
        <v>18849.135587044999</v>
      </c>
      <c r="N41" s="19">
        <v>-3.0753765661689199E-2</v>
      </c>
      <c r="O41" s="18">
        <v>80288.000493307496</v>
      </c>
      <c r="P41" s="19">
        <v>-0.14786412325258599</v>
      </c>
      <c r="Q41" s="18">
        <v>13688.602554798599</v>
      </c>
      <c r="R41" s="19">
        <v>-8.0586192866173995E-2</v>
      </c>
      <c r="S41" s="18">
        <v>2313.1884249916102</v>
      </c>
      <c r="T41" s="19">
        <v>0.38689242002586699</v>
      </c>
      <c r="U41" s="18">
        <v>29127.094087930702</v>
      </c>
      <c r="V41" s="19">
        <v>1.6335062396259901E-2</v>
      </c>
      <c r="W41" s="18">
        <v>94518.217730566903</v>
      </c>
      <c r="X41" s="19">
        <v>5.0244634065407197E-2</v>
      </c>
      <c r="Y41" s="18">
        <v>22140.722764363301</v>
      </c>
      <c r="Z41" s="19">
        <v>2.24221799993847E-2</v>
      </c>
      <c r="AA41" s="18">
        <v>24602.884252299798</v>
      </c>
      <c r="AB41" s="19">
        <v>-6.3062894502219094E-2</v>
      </c>
      <c r="AC41" s="18">
        <v>14000.011520157601</v>
      </c>
      <c r="AD41" s="19">
        <v>-6.3216324718729094E-2</v>
      </c>
      <c r="AE41" s="18">
        <v>26379.696600515999</v>
      </c>
      <c r="AF41" s="19">
        <v>2.0153855321092502E-2</v>
      </c>
      <c r="AG41" s="18">
        <v>48867.307552680002</v>
      </c>
      <c r="AH41" s="19">
        <v>-3.0122181298293499E-2</v>
      </c>
      <c r="AI41" s="18">
        <v>24725.391081313199</v>
      </c>
      <c r="AJ41" s="19">
        <v>-6.2100088083491101E-2</v>
      </c>
      <c r="AK41" s="18">
        <v>17540.662514703301</v>
      </c>
      <c r="AL41" s="19">
        <v>5.0841384169795202E-2</v>
      </c>
      <c r="AM41" s="18">
        <v>106635.2363944</v>
      </c>
      <c r="AN41" s="19">
        <v>-1.23427157955145E-2</v>
      </c>
      <c r="AO41" s="18">
        <v>41668.847388236398</v>
      </c>
      <c r="AP41" s="19">
        <v>1.92882886920396E-2</v>
      </c>
      <c r="AQ41" s="18">
        <v>27939.158577049198</v>
      </c>
      <c r="AR41" s="19">
        <v>-6.8190405331861603E-3</v>
      </c>
      <c r="AS41" s="18">
        <v>38023.069846486796</v>
      </c>
      <c r="AT41" s="19">
        <v>3.2506669712020902E-2</v>
      </c>
      <c r="AU41" s="18">
        <v>5767.0829401007404</v>
      </c>
      <c r="AV41" s="19">
        <v>8.6147877104773396E-2</v>
      </c>
      <c r="AW41" s="18">
        <v>9113.5990277408491</v>
      </c>
      <c r="AX41" s="19">
        <v>-4.3104440095437201E-3</v>
      </c>
      <c r="AY41" s="18">
        <v>2090.78476109955</v>
      </c>
      <c r="AZ41" s="19">
        <v>-9.4469942829834598E-3</v>
      </c>
      <c r="BA41" s="18">
        <v>19328.165376814199</v>
      </c>
      <c r="BB41" s="19">
        <v>-2.38014006733267E-2</v>
      </c>
      <c r="BC41" s="18">
        <v>31961.944423168301</v>
      </c>
      <c r="BD41" s="19">
        <v>3.04182991031099E-3</v>
      </c>
      <c r="BE41" s="18">
        <v>-12549.5340179787</v>
      </c>
      <c r="BF41" s="19">
        <v>5.7006462338723397E-2</v>
      </c>
      <c r="BG41" s="18"/>
      <c r="BH41" s="19"/>
    </row>
    <row r="42" spans="1:60" x14ac:dyDescent="0.15">
      <c r="A42" s="17">
        <v>2010</v>
      </c>
      <c r="B42" s="17"/>
      <c r="C42" s="18">
        <v>617578.06520045595</v>
      </c>
      <c r="D42" s="19">
        <v>2.9325319566644501E-2</v>
      </c>
      <c r="E42" s="18">
        <v>597061.08756838203</v>
      </c>
      <c r="F42" s="19">
        <v>2.8397413749754501E-2</v>
      </c>
      <c r="G42" s="18">
        <v>4867.8779290197999</v>
      </c>
      <c r="H42" s="19">
        <v>-3.2723561761088898E-2</v>
      </c>
      <c r="I42" s="18">
        <v>761.24713690966996</v>
      </c>
      <c r="J42" s="19">
        <v>9.1370186679240004E-2</v>
      </c>
      <c r="K42" s="18">
        <v>101744.633035671</v>
      </c>
      <c r="L42" s="19">
        <v>7.1853898212263401E-2</v>
      </c>
      <c r="M42" s="18">
        <v>20617.401374803601</v>
      </c>
      <c r="N42" s="19">
        <v>9.3811505551158803E-2</v>
      </c>
      <c r="O42" s="18">
        <v>85361.467172360004</v>
      </c>
      <c r="P42" s="19">
        <v>6.3190846052709304E-2</v>
      </c>
      <c r="Q42" s="18">
        <v>13546.538301443999</v>
      </c>
      <c r="R42" s="19">
        <v>-1.03782875414702E-2</v>
      </c>
      <c r="S42" s="18">
        <v>1872.48840325486</v>
      </c>
      <c r="T42" s="19">
        <v>-0.1905162661958</v>
      </c>
      <c r="U42" s="18">
        <v>31135.431041981999</v>
      </c>
      <c r="V42" s="19">
        <v>6.8950817681585799E-2</v>
      </c>
      <c r="W42" s="18">
        <v>97689.235354077304</v>
      </c>
      <c r="X42" s="19">
        <v>3.3549274411307499E-2</v>
      </c>
      <c r="Y42" s="18">
        <v>23129.105160499799</v>
      </c>
      <c r="Z42" s="19">
        <v>4.46409273380768E-2</v>
      </c>
      <c r="AA42" s="18">
        <v>25790.8921273872</v>
      </c>
      <c r="AB42" s="19">
        <v>4.82873415533134E-2</v>
      </c>
      <c r="AC42" s="18">
        <v>14149.750825273901</v>
      </c>
      <c r="AD42" s="19">
        <v>1.06956558500468E-2</v>
      </c>
      <c r="AE42" s="18">
        <v>27267.7587909709</v>
      </c>
      <c r="AF42" s="19">
        <v>3.3664609714941597E-2</v>
      </c>
      <c r="AG42" s="18">
        <v>48873.204011027599</v>
      </c>
      <c r="AH42" s="19">
        <v>1.2066264017729401E-4</v>
      </c>
      <c r="AI42" s="18">
        <v>25183.181145472601</v>
      </c>
      <c r="AJ42" s="19">
        <v>1.8514977686453001E-2</v>
      </c>
      <c r="AK42" s="18">
        <v>16820.920974311801</v>
      </c>
      <c r="AL42" s="19">
        <v>-4.1032745472879197E-2</v>
      </c>
      <c r="AM42" s="18">
        <v>108719.972095369</v>
      </c>
      <c r="AN42" s="19">
        <v>1.95501578226773E-2</v>
      </c>
      <c r="AO42" s="18">
        <v>41886.945389414097</v>
      </c>
      <c r="AP42" s="19">
        <v>5.2340780906567899E-3</v>
      </c>
      <c r="AQ42" s="18">
        <v>28019.634653511901</v>
      </c>
      <c r="AR42" s="19">
        <v>2.8804044416996799E-3</v>
      </c>
      <c r="AS42" s="18">
        <v>38417.137501855999</v>
      </c>
      <c r="AT42" s="19">
        <v>1.0363909514939301E-2</v>
      </c>
      <c r="AU42" s="18">
        <v>5462.4246428549804</v>
      </c>
      <c r="AV42" s="19">
        <v>-5.2827105212472199E-2</v>
      </c>
      <c r="AW42" s="18">
        <v>9001.8057033805999</v>
      </c>
      <c r="AX42" s="19">
        <v>-1.2266649434538699E-2</v>
      </c>
      <c r="AY42" s="18">
        <v>2065.1991859434702</v>
      </c>
      <c r="AZ42" s="19">
        <v>-1.2237307078240001E-2</v>
      </c>
      <c r="BA42" s="18">
        <v>20394.3369401409</v>
      </c>
      <c r="BB42" s="19">
        <v>5.5161550128585098E-2</v>
      </c>
      <c r="BC42" s="18">
        <v>33055.530089570602</v>
      </c>
      <c r="BD42" s="19">
        <v>3.4215242099277801E-2</v>
      </c>
      <c r="BE42" s="18">
        <v>-12514.557904494101</v>
      </c>
      <c r="BF42" s="19">
        <v>-2.7870447966035199E-3</v>
      </c>
      <c r="BG42" s="18"/>
      <c r="BH42" s="19"/>
    </row>
    <row r="43" spans="1:60" x14ac:dyDescent="0.15">
      <c r="A43" s="17">
        <v>2011</v>
      </c>
      <c r="B43" s="17"/>
      <c r="C43" s="18">
        <v>628452.69104151195</v>
      </c>
      <c r="D43" s="19">
        <v>1.7608504015643699E-2</v>
      </c>
      <c r="E43" s="18">
        <v>608509.56946462404</v>
      </c>
      <c r="F43" s="19">
        <v>1.9174724554346299E-2</v>
      </c>
      <c r="G43" s="18">
        <v>5361.3633991409097</v>
      </c>
      <c r="H43" s="19">
        <v>0.10137589259977201</v>
      </c>
      <c r="I43" s="18">
        <v>762.56326676176297</v>
      </c>
      <c r="J43" s="19">
        <v>1.7289127121522499E-3</v>
      </c>
      <c r="K43" s="18">
        <v>111483.473379106</v>
      </c>
      <c r="L43" s="19">
        <v>9.5718467430326207E-2</v>
      </c>
      <c r="M43" s="18">
        <v>23457.073682198999</v>
      </c>
      <c r="N43" s="19">
        <v>0.13773182448034901</v>
      </c>
      <c r="O43" s="18">
        <v>92155.663824414296</v>
      </c>
      <c r="P43" s="19">
        <v>7.9593250644762498E-2</v>
      </c>
      <c r="Q43" s="18">
        <v>13076.0689435188</v>
      </c>
      <c r="R43" s="19">
        <v>-3.4729858466871197E-2</v>
      </c>
      <c r="S43" s="18">
        <v>1846.3951228211899</v>
      </c>
      <c r="T43" s="19">
        <v>-1.3935082528849001E-2</v>
      </c>
      <c r="U43" s="18">
        <v>31348.7468770874</v>
      </c>
      <c r="V43" s="19">
        <v>6.85122472908062E-3</v>
      </c>
      <c r="W43" s="18">
        <v>93388.980534743605</v>
      </c>
      <c r="X43" s="19">
        <v>-4.4019740800993197E-2</v>
      </c>
      <c r="Y43" s="18">
        <v>23268.244538593299</v>
      </c>
      <c r="Z43" s="19">
        <v>6.0157700493803602E-3</v>
      </c>
      <c r="AA43" s="18">
        <v>26429.940786348601</v>
      </c>
      <c r="AB43" s="19">
        <v>2.4778074981079298E-2</v>
      </c>
      <c r="AC43" s="18">
        <v>13983.5117812025</v>
      </c>
      <c r="AD43" s="19">
        <v>-1.1748549223529E-2</v>
      </c>
      <c r="AE43" s="18">
        <v>26889.633346521401</v>
      </c>
      <c r="AF43" s="19">
        <v>-1.38671259104266E-2</v>
      </c>
      <c r="AG43" s="18">
        <v>49647.303633952397</v>
      </c>
      <c r="AH43" s="19">
        <v>1.58389374830037E-2</v>
      </c>
      <c r="AI43" s="18">
        <v>25111.8520702881</v>
      </c>
      <c r="AJ43" s="19">
        <v>-2.8324092485567699E-3</v>
      </c>
      <c r="AK43" s="18">
        <v>17369.4769550698</v>
      </c>
      <c r="AL43" s="19">
        <v>3.2611530700115798E-2</v>
      </c>
      <c r="AM43" s="18">
        <v>111368.01395951099</v>
      </c>
      <c r="AN43" s="19">
        <v>2.43565355390187E-2</v>
      </c>
      <c r="AO43" s="18">
        <v>42355.122041287497</v>
      </c>
      <c r="AP43" s="19">
        <v>1.11771495276358E-2</v>
      </c>
      <c r="AQ43" s="18">
        <v>28593.640365099101</v>
      </c>
      <c r="AR43" s="19">
        <v>2.0485838544484401E-2</v>
      </c>
      <c r="AS43" s="18">
        <v>38765.317044350297</v>
      </c>
      <c r="AT43" s="19">
        <v>9.0631308091986308E-3</v>
      </c>
      <c r="AU43" s="18">
        <v>6079.3241354076099</v>
      </c>
      <c r="AV43" s="19">
        <v>0.112935103527617</v>
      </c>
      <c r="AW43" s="18">
        <v>9246.8625767232406</v>
      </c>
      <c r="AX43" s="19">
        <v>2.7223079615082999E-2</v>
      </c>
      <c r="AY43" s="18">
        <v>2054.4918168382201</v>
      </c>
      <c r="AZ43" s="19">
        <v>-5.1846665339251299E-3</v>
      </c>
      <c r="BA43" s="18">
        <v>19886.235723153299</v>
      </c>
      <c r="BB43" s="19">
        <v>-2.4913838507176999E-2</v>
      </c>
      <c r="BC43" s="18">
        <v>33179.972674075303</v>
      </c>
      <c r="BD43" s="19">
        <v>3.76465251555191E-3</v>
      </c>
      <c r="BE43" s="18">
        <v>-13230.2624153047</v>
      </c>
      <c r="BF43" s="19">
        <v>5.7189755824582002E-2</v>
      </c>
      <c r="BG43" s="18"/>
      <c r="BH43" s="19"/>
    </row>
    <row r="44" spans="1:60" x14ac:dyDescent="0.15">
      <c r="A44" s="17">
        <v>2012</v>
      </c>
      <c r="B44" s="17"/>
      <c r="C44" s="18">
        <v>634230.92774786695</v>
      </c>
      <c r="D44" s="19">
        <v>9.1943861307657304E-3</v>
      </c>
      <c r="E44" s="18">
        <v>614756.871290626</v>
      </c>
      <c r="F44" s="19">
        <v>1.02665629917689E-2</v>
      </c>
      <c r="G44" s="18">
        <v>5173.0103490644296</v>
      </c>
      <c r="H44" s="19">
        <v>-3.5131558160497199E-2</v>
      </c>
      <c r="I44" s="18">
        <v>794.94707309681405</v>
      </c>
      <c r="J44" s="19">
        <v>4.2467042075825703E-2</v>
      </c>
      <c r="K44" s="18">
        <v>109385.66532471099</v>
      </c>
      <c r="L44" s="19">
        <v>-1.8817211114882298E-2</v>
      </c>
      <c r="M44" s="18">
        <v>23137.8262717861</v>
      </c>
      <c r="N44" s="19">
        <v>-1.3609856657231001E-2</v>
      </c>
      <c r="O44" s="18">
        <v>90255.385932792095</v>
      </c>
      <c r="P44" s="19">
        <v>-2.0620304957520399E-2</v>
      </c>
      <c r="Q44" s="18">
        <v>14061.1137228716</v>
      </c>
      <c r="R44" s="19">
        <v>7.53318740982203E-2</v>
      </c>
      <c r="S44" s="18">
        <v>1708.43464200376</v>
      </c>
      <c r="T44" s="19">
        <v>-7.4718828658211306E-2</v>
      </c>
      <c r="U44" s="18">
        <v>31766.480613773001</v>
      </c>
      <c r="V44" s="19">
        <v>1.3325372727766E-2</v>
      </c>
      <c r="W44" s="18">
        <v>96361.8101219112</v>
      </c>
      <c r="X44" s="19">
        <v>3.1832766244424202E-2</v>
      </c>
      <c r="Y44" s="18">
        <v>24017.823139859898</v>
      </c>
      <c r="Z44" s="19">
        <v>3.22146606299984E-2</v>
      </c>
      <c r="AA44" s="18">
        <v>27224.1414773094</v>
      </c>
      <c r="AB44" s="19">
        <v>3.0049279995777198E-2</v>
      </c>
      <c r="AC44" s="18">
        <v>13459.043041454701</v>
      </c>
      <c r="AD44" s="19">
        <v>-3.7506225042325599E-2</v>
      </c>
      <c r="AE44" s="18">
        <v>27318.508056421699</v>
      </c>
      <c r="AF44" s="19">
        <v>1.5949444322034701E-2</v>
      </c>
      <c r="AG44" s="18">
        <v>51184.755057602801</v>
      </c>
      <c r="AH44" s="19">
        <v>3.09674707610701E-2</v>
      </c>
      <c r="AI44" s="18">
        <v>25819.4489717824</v>
      </c>
      <c r="AJ44" s="19">
        <v>2.8177806221292699E-2</v>
      </c>
      <c r="AK44" s="18">
        <v>18136.502983989401</v>
      </c>
      <c r="AL44" s="19">
        <v>4.4159420050684302E-2</v>
      </c>
      <c r="AM44" s="18">
        <v>112277.294038319</v>
      </c>
      <c r="AN44" s="19">
        <v>8.1646430288193593E-3</v>
      </c>
      <c r="AO44" s="18">
        <v>42623.663786534198</v>
      </c>
      <c r="AP44" s="19">
        <v>6.34024250915677E-3</v>
      </c>
      <c r="AQ44" s="18">
        <v>28250.125780453</v>
      </c>
      <c r="AR44" s="19">
        <v>-1.20136708813564E-2</v>
      </c>
      <c r="AS44" s="18">
        <v>40661.970608684998</v>
      </c>
      <c r="AT44" s="19">
        <v>4.8926558814540201E-2</v>
      </c>
      <c r="AU44" s="18">
        <v>5107.57126751123</v>
      </c>
      <c r="AV44" s="19">
        <v>-0.15984554306565699</v>
      </c>
      <c r="AW44" s="18">
        <v>9174.0009692781696</v>
      </c>
      <c r="AX44" s="19">
        <v>-7.8796031454476702E-3</v>
      </c>
      <c r="AY44" s="18">
        <v>2132.9525130127399</v>
      </c>
      <c r="AZ44" s="19">
        <v>3.81898314373759E-2</v>
      </c>
      <c r="BA44" s="18">
        <v>19476.977644475901</v>
      </c>
      <c r="BB44" s="19">
        <v>-2.0579967188105199E-2</v>
      </c>
      <c r="BC44" s="18">
        <v>33404.934927984898</v>
      </c>
      <c r="BD44" s="19">
        <v>6.7800614581408104E-3</v>
      </c>
      <c r="BE44" s="18">
        <v>-13945.740862377999</v>
      </c>
      <c r="BF44" s="19">
        <v>5.4078930909611501E-2</v>
      </c>
      <c r="BG44" s="18"/>
      <c r="BH44" s="19"/>
    </row>
    <row r="45" spans="1:60" x14ac:dyDescent="0.15">
      <c r="A45" s="17">
        <v>2013</v>
      </c>
      <c r="B45" s="17"/>
      <c r="C45" s="18">
        <v>647419.74700828502</v>
      </c>
      <c r="D45" s="19">
        <v>2.0794979688631299E-2</v>
      </c>
      <c r="E45" s="18">
        <v>627843.62431431399</v>
      </c>
      <c r="F45" s="19">
        <v>2.1287688897585502E-2</v>
      </c>
      <c r="G45" s="18">
        <v>4841.3018709403004</v>
      </c>
      <c r="H45" s="19">
        <v>-6.4122910209163497E-2</v>
      </c>
      <c r="I45" s="18">
        <v>819.53646388997004</v>
      </c>
      <c r="J45" s="19">
        <v>3.0932110608779199E-2</v>
      </c>
      <c r="K45" s="18">
        <v>111880.11399455801</v>
      </c>
      <c r="L45" s="19">
        <v>2.28041641694301E-2</v>
      </c>
      <c r="M45" s="18">
        <v>24727.472010060199</v>
      </c>
      <c r="N45" s="19">
        <v>6.87033310563165E-2</v>
      </c>
      <c r="O45" s="18">
        <v>90796.612132554903</v>
      </c>
      <c r="P45" s="19">
        <v>5.9966083372111597E-3</v>
      </c>
      <c r="Q45" s="18">
        <v>14034.042362271601</v>
      </c>
      <c r="R45" s="19">
        <v>-1.92526432354856E-3</v>
      </c>
      <c r="S45" s="18">
        <v>1875.4887437612999</v>
      </c>
      <c r="T45" s="19">
        <v>9.7781968153962701E-2</v>
      </c>
      <c r="U45" s="18">
        <v>32360.075763420798</v>
      </c>
      <c r="V45" s="19">
        <v>1.8686210690600499E-2</v>
      </c>
      <c r="W45" s="18">
        <v>97652.231501754606</v>
      </c>
      <c r="X45" s="19">
        <v>1.3391419050874801E-2</v>
      </c>
      <c r="Y45" s="18">
        <v>24716.7738090249</v>
      </c>
      <c r="Z45" s="19">
        <v>2.91013330015337E-2</v>
      </c>
      <c r="AA45" s="18">
        <v>26061.307296163501</v>
      </c>
      <c r="AB45" s="19">
        <v>-4.2713346245098399E-2</v>
      </c>
      <c r="AC45" s="18">
        <v>13700.2084176518</v>
      </c>
      <c r="AD45" s="19">
        <v>1.7918463850237199E-2</v>
      </c>
      <c r="AE45" s="18">
        <v>27993.7274714083</v>
      </c>
      <c r="AF45" s="19">
        <v>2.4716555296215002E-2</v>
      </c>
      <c r="AG45" s="18">
        <v>54799.867479892899</v>
      </c>
      <c r="AH45" s="19">
        <v>7.06286943880408E-2</v>
      </c>
      <c r="AI45" s="18">
        <v>27630.804995555802</v>
      </c>
      <c r="AJ45" s="19">
        <v>7.0154712664589197E-2</v>
      </c>
      <c r="AK45" s="18">
        <v>19559.7854333125</v>
      </c>
      <c r="AL45" s="19">
        <v>7.8476123571315795E-2</v>
      </c>
      <c r="AM45" s="18">
        <v>113522.556067959</v>
      </c>
      <c r="AN45" s="19">
        <v>1.1090951561542099E-2</v>
      </c>
      <c r="AO45" s="18">
        <v>43192.844717550302</v>
      </c>
      <c r="AP45" s="19">
        <v>1.3353636934325E-2</v>
      </c>
      <c r="AQ45" s="18">
        <v>28556.619374865899</v>
      </c>
      <c r="AR45" s="19">
        <v>1.08492824702759E-2</v>
      </c>
      <c r="AS45" s="18">
        <v>42669.836446760797</v>
      </c>
      <c r="AT45" s="19">
        <v>4.9379452299513897E-2</v>
      </c>
      <c r="AU45" s="18">
        <v>5335.2427918007697</v>
      </c>
      <c r="AV45" s="19">
        <v>4.4575300542106601E-2</v>
      </c>
      <c r="AW45" s="18">
        <v>9313.5630192197696</v>
      </c>
      <c r="AX45" s="19">
        <v>1.5212779070872699E-2</v>
      </c>
      <c r="AY45" s="18">
        <v>2086.9760923467902</v>
      </c>
      <c r="AZ45" s="19">
        <v>-2.15552950126436E-2</v>
      </c>
      <c r="BA45" s="18">
        <v>19594.411536988599</v>
      </c>
      <c r="BB45" s="19">
        <v>6.0293693742601304E-3</v>
      </c>
      <c r="BC45" s="18">
        <v>33506.023713090697</v>
      </c>
      <c r="BD45" s="19">
        <v>3.0261632098282898E-3</v>
      </c>
      <c r="BE45" s="18">
        <v>-13924.8459628889</v>
      </c>
      <c r="BF45" s="19">
        <v>-1.4982997099470801E-3</v>
      </c>
      <c r="BG45" s="18"/>
      <c r="BH45" s="19"/>
    </row>
    <row r="46" spans="1:60" x14ac:dyDescent="0.15">
      <c r="A46" s="17">
        <v>2014</v>
      </c>
      <c r="B46" s="17"/>
      <c r="C46" s="18">
        <v>662295.07127976499</v>
      </c>
      <c r="D46" s="19">
        <v>2.2976321528989801E-2</v>
      </c>
      <c r="E46" s="18">
        <v>642313.32547805202</v>
      </c>
      <c r="F46" s="19">
        <v>2.3046664174603E-2</v>
      </c>
      <c r="G46" s="18">
        <v>5368.0304061154502</v>
      </c>
      <c r="H46" s="19">
        <v>0.108798944832755</v>
      </c>
      <c r="I46" s="18">
        <v>764.20454320825104</v>
      </c>
      <c r="J46" s="19">
        <v>-6.7516118098129102E-2</v>
      </c>
      <c r="K46" s="18">
        <v>114308.997649899</v>
      </c>
      <c r="L46" s="19">
        <v>2.1709699504405901E-2</v>
      </c>
      <c r="M46" s="18">
        <v>25851.349195066101</v>
      </c>
      <c r="N46" s="19">
        <v>4.5450549273642803E-2</v>
      </c>
      <c r="O46" s="18">
        <v>91950.663062591702</v>
      </c>
      <c r="P46" s="19">
        <v>1.27102862423101E-2</v>
      </c>
      <c r="Q46" s="18">
        <v>11996.9038007035</v>
      </c>
      <c r="R46" s="19">
        <v>-0.14515693404522101</v>
      </c>
      <c r="S46" s="18">
        <v>2028.0487940059299</v>
      </c>
      <c r="T46" s="19">
        <v>8.1344156690949201E-2</v>
      </c>
      <c r="U46" s="18">
        <v>32884.968388547102</v>
      </c>
      <c r="V46" s="19">
        <v>1.6220376891690199E-2</v>
      </c>
      <c r="W46" s="18">
        <v>101623.54943698</v>
      </c>
      <c r="X46" s="19">
        <v>4.0667969120137697E-2</v>
      </c>
      <c r="Y46" s="18">
        <v>25139.364292527502</v>
      </c>
      <c r="Z46" s="19">
        <v>1.7097315643528802E-2</v>
      </c>
      <c r="AA46" s="18">
        <v>26824.183403214</v>
      </c>
      <c r="AB46" s="19">
        <v>2.9272365287785099E-2</v>
      </c>
      <c r="AC46" s="18">
        <v>13741.552629075501</v>
      </c>
      <c r="AD46" s="19">
        <v>3.0177797419805902E-3</v>
      </c>
      <c r="AE46" s="18">
        <v>28714.128510112401</v>
      </c>
      <c r="AF46" s="19">
        <v>2.57343735106332E-2</v>
      </c>
      <c r="AG46" s="18">
        <v>54756.562347926003</v>
      </c>
      <c r="AH46" s="19">
        <v>-7.9024154543416703E-4</v>
      </c>
      <c r="AI46" s="18">
        <v>27570.429969660901</v>
      </c>
      <c r="AJ46" s="19">
        <v>-2.1850621400502099E-3</v>
      </c>
      <c r="AK46" s="18">
        <v>19596.502349393999</v>
      </c>
      <c r="AL46" s="19">
        <v>1.8771635408110199E-3</v>
      </c>
      <c r="AM46" s="18">
        <v>116505.24042325</v>
      </c>
      <c r="AN46" s="19">
        <v>2.62739358467712E-2</v>
      </c>
      <c r="AO46" s="18">
        <v>43840.966149326203</v>
      </c>
      <c r="AP46" s="19">
        <v>1.50052962710405E-2</v>
      </c>
      <c r="AQ46" s="18">
        <v>29227.989658575902</v>
      </c>
      <c r="AR46" s="19">
        <v>2.3510145752786E-2</v>
      </c>
      <c r="AS46" s="18">
        <v>44508.823764546003</v>
      </c>
      <c r="AT46" s="19">
        <v>4.3098063431288698E-2</v>
      </c>
      <c r="AU46" s="18">
        <v>6241.7010028427803</v>
      </c>
      <c r="AV46" s="19">
        <v>0.16990008635315701</v>
      </c>
      <c r="AW46" s="18">
        <v>9186.22475406181</v>
      </c>
      <c r="AX46" s="19">
        <v>-1.3672346973460099E-2</v>
      </c>
      <c r="AY46" s="18">
        <v>2162.7757327456302</v>
      </c>
      <c r="AZ46" s="19">
        <v>3.6320320427630802E-2</v>
      </c>
      <c r="BA46" s="18">
        <v>20002.627202780001</v>
      </c>
      <c r="BB46" s="19">
        <v>2.0833269987250699E-2</v>
      </c>
      <c r="BC46" s="18">
        <v>33938.624350967097</v>
      </c>
      <c r="BD46" s="19">
        <v>1.29111302964713E-2</v>
      </c>
      <c r="BE46" s="18">
        <v>-13937.4396092273</v>
      </c>
      <c r="BF46" s="19">
        <v>9.0440112385925498E-4</v>
      </c>
      <c r="BG46" s="18"/>
      <c r="BH46" s="19"/>
    </row>
    <row r="47" spans="1:60" x14ac:dyDescent="0.15">
      <c r="A47" s="17">
        <v>2015</v>
      </c>
      <c r="B47" s="17"/>
      <c r="C47" s="18">
        <v>673470.55110586097</v>
      </c>
      <c r="D47" s="19">
        <v>1.68738683265479E-2</v>
      </c>
      <c r="E47" s="18">
        <v>653325.73603931197</v>
      </c>
      <c r="F47" s="19">
        <v>1.7144919970427702E-2</v>
      </c>
      <c r="G47" s="18">
        <v>4813.6083943925996</v>
      </c>
      <c r="H47" s="19">
        <v>-0.103282204044752</v>
      </c>
      <c r="I47" s="18">
        <v>624.53136887809796</v>
      </c>
      <c r="J47" s="19">
        <v>-0.182769358768509</v>
      </c>
      <c r="K47" s="18">
        <v>114900.3015133</v>
      </c>
      <c r="L47" s="19">
        <v>5.1728549419438599E-3</v>
      </c>
      <c r="M47" s="18">
        <v>30272.999580934102</v>
      </c>
      <c r="N47" s="19">
        <v>0.171041377860152</v>
      </c>
      <c r="O47" s="18">
        <v>86597.245576432004</v>
      </c>
      <c r="P47" s="19">
        <v>-5.8220542493702197E-2</v>
      </c>
      <c r="Q47" s="18">
        <v>11417.5699302624</v>
      </c>
      <c r="R47" s="19">
        <v>-4.82902822315813E-2</v>
      </c>
      <c r="S47" s="18">
        <v>2368.35291817499</v>
      </c>
      <c r="T47" s="19">
        <v>0.16779878530283099</v>
      </c>
      <c r="U47" s="18">
        <v>32399.107367678</v>
      </c>
      <c r="V47" s="19">
        <v>-1.47745625031018E-2</v>
      </c>
      <c r="W47" s="18">
        <v>109720.408830282</v>
      </c>
      <c r="X47" s="19">
        <v>7.9675030425134102E-2</v>
      </c>
      <c r="Y47" s="18">
        <v>25235.5111230437</v>
      </c>
      <c r="Z47" s="19">
        <v>3.82455297585871E-3</v>
      </c>
      <c r="AA47" s="18">
        <v>25874.141959892098</v>
      </c>
      <c r="AB47" s="19">
        <v>-3.5417348183208998E-2</v>
      </c>
      <c r="AC47" s="18">
        <v>13285.539267619501</v>
      </c>
      <c r="AD47" s="19">
        <v>-3.3184995448849897E-2</v>
      </c>
      <c r="AE47" s="18">
        <v>29028.200362592699</v>
      </c>
      <c r="AF47" s="19">
        <v>1.09378855906999E-2</v>
      </c>
      <c r="AG47" s="18">
        <v>56253.658805149702</v>
      </c>
      <c r="AH47" s="19">
        <v>2.7340950436425499E-2</v>
      </c>
      <c r="AI47" s="18">
        <v>28137.928332436699</v>
      </c>
      <c r="AJ47" s="19">
        <v>2.05835876843516E-2</v>
      </c>
      <c r="AK47" s="18">
        <v>20396.742918384301</v>
      </c>
      <c r="AL47" s="19">
        <v>4.0835887686613503E-2</v>
      </c>
      <c r="AM47" s="18">
        <v>117632.027306897</v>
      </c>
      <c r="AN47" s="19">
        <v>9.6715553699857609E-3</v>
      </c>
      <c r="AO47" s="18">
        <v>44479.1304958931</v>
      </c>
      <c r="AP47" s="19">
        <v>1.4556347695287001E-2</v>
      </c>
      <c r="AQ47" s="18">
        <v>29321.6442348993</v>
      </c>
      <c r="AR47" s="19">
        <v>3.2042770446230099E-3</v>
      </c>
      <c r="AS47" s="18">
        <v>45508.381336904997</v>
      </c>
      <c r="AT47" s="19">
        <v>2.24575148884343E-2</v>
      </c>
      <c r="AU47" s="18">
        <v>5140.2762496355599</v>
      </c>
      <c r="AV47" s="19">
        <v>-0.176462274098932</v>
      </c>
      <c r="AW47" s="18">
        <v>9096.8368212579207</v>
      </c>
      <c r="AX47" s="19">
        <v>-9.7306494449055404E-3</v>
      </c>
      <c r="AY47" s="18">
        <v>2231.13409715744</v>
      </c>
      <c r="AZ47" s="19">
        <v>3.1606774284002701E-2</v>
      </c>
      <c r="BA47" s="18">
        <v>20174.878276722699</v>
      </c>
      <c r="BB47" s="19">
        <v>8.61142249947844E-3</v>
      </c>
      <c r="BC47" s="18">
        <v>34642.244865432003</v>
      </c>
      <c r="BD47" s="19">
        <v>2.0732145981778399E-2</v>
      </c>
      <c r="BE47" s="18">
        <v>-14485.045111062</v>
      </c>
      <c r="BF47" s="19">
        <v>3.9290251092614498E-2</v>
      </c>
      <c r="BG47" s="18"/>
      <c r="BH47" s="19"/>
    </row>
    <row r="48" spans="1:60" x14ac:dyDescent="0.15">
      <c r="A48" s="17">
        <v>2016</v>
      </c>
      <c r="B48" s="17"/>
      <c r="C48" s="18">
        <v>684217.02169363701</v>
      </c>
      <c r="D48" s="19">
        <v>1.59568530058656E-2</v>
      </c>
      <c r="E48" s="18">
        <v>663484.14475551504</v>
      </c>
      <c r="F48" s="19">
        <v>1.55487655786937E-2</v>
      </c>
      <c r="G48" s="18">
        <v>4914.6688378838498</v>
      </c>
      <c r="H48" s="19">
        <v>2.0994737255522099E-2</v>
      </c>
      <c r="I48" s="18">
        <v>639.68630729111703</v>
      </c>
      <c r="J48" s="19">
        <v>2.4266096417612501E-2</v>
      </c>
      <c r="K48" s="18">
        <v>120184.03081817699</v>
      </c>
      <c r="L48" s="19">
        <v>4.5985338900654399E-2</v>
      </c>
      <c r="M48" s="18">
        <v>35238.543782832603</v>
      </c>
      <c r="N48" s="19">
        <v>0.16402551021160799</v>
      </c>
      <c r="O48" s="18">
        <v>86088.208702017306</v>
      </c>
      <c r="P48" s="19">
        <v>-5.8782109179840204E-3</v>
      </c>
      <c r="Q48" s="18">
        <v>9467.2383624453305</v>
      </c>
      <c r="R48" s="19">
        <v>-0.17081844733419899</v>
      </c>
      <c r="S48" s="18">
        <v>2425.89624866438</v>
      </c>
      <c r="T48" s="19">
        <v>2.4296771839955399E-2</v>
      </c>
      <c r="U48" s="18">
        <v>32723.208845920599</v>
      </c>
      <c r="V48" s="19">
        <v>1.0003407642208599E-2</v>
      </c>
      <c r="W48" s="18">
        <v>111084.397004242</v>
      </c>
      <c r="X48" s="19">
        <v>1.24314900801199E-2</v>
      </c>
      <c r="Y48" s="18">
        <v>25204.826733001901</v>
      </c>
      <c r="Z48" s="19">
        <v>-1.2159210840674299E-3</v>
      </c>
      <c r="AA48" s="18">
        <v>25534.556277470401</v>
      </c>
      <c r="AB48" s="19">
        <v>-1.3124519566606299E-2</v>
      </c>
      <c r="AC48" s="18">
        <v>13283.668205578</v>
      </c>
      <c r="AD48" s="19">
        <v>-1.40834482049046E-4</v>
      </c>
      <c r="AE48" s="18">
        <v>29869.585715695601</v>
      </c>
      <c r="AF48" s="19">
        <v>2.8985102162487598E-2</v>
      </c>
      <c r="AG48" s="18">
        <v>56242.048413129101</v>
      </c>
      <c r="AH48" s="19">
        <v>-2.0639354429929899E-4</v>
      </c>
      <c r="AI48" s="18">
        <v>27952.944908080601</v>
      </c>
      <c r="AJ48" s="19">
        <v>-6.57416644788489E-3</v>
      </c>
      <c r="AK48" s="18">
        <v>20248.298028356199</v>
      </c>
      <c r="AL48" s="19">
        <v>-7.2778722868693801E-3</v>
      </c>
      <c r="AM48" s="18">
        <v>118404.315292211</v>
      </c>
      <c r="AN48" s="19">
        <v>6.5652867080077098E-3</v>
      </c>
      <c r="AO48" s="18">
        <v>44890.205684635403</v>
      </c>
      <c r="AP48" s="19">
        <v>9.2419789721442901E-3</v>
      </c>
      <c r="AQ48" s="18">
        <v>29342.053674478699</v>
      </c>
      <c r="AR48" s="19">
        <v>6.9605372113157305E-4</v>
      </c>
      <c r="AS48" s="18">
        <v>47861.215165763999</v>
      </c>
      <c r="AT48" s="19">
        <v>5.1701109987644503E-2</v>
      </c>
      <c r="AU48" s="18">
        <v>5753.5426512932399</v>
      </c>
      <c r="AV48" s="19">
        <v>0.119306117390319</v>
      </c>
      <c r="AW48" s="18">
        <v>8998.4549550678603</v>
      </c>
      <c r="AX48" s="19">
        <v>-1.08149533868914E-2</v>
      </c>
      <c r="AY48" s="18">
        <v>2311.84598207304</v>
      </c>
      <c r="AZ48" s="19">
        <v>3.6175272933361799E-2</v>
      </c>
      <c r="BA48" s="18">
        <v>20755.669512357901</v>
      </c>
      <c r="BB48" s="19">
        <v>2.8787843359892502E-2</v>
      </c>
      <c r="BC48" s="18">
        <v>35653.739573933402</v>
      </c>
      <c r="BD48" s="19">
        <v>2.9198301450455998E-2</v>
      </c>
      <c r="BE48" s="18">
        <v>-14916.575205629801</v>
      </c>
      <c r="BF48" s="19">
        <v>2.97914222053925E-2</v>
      </c>
      <c r="BG48" s="18"/>
      <c r="BH48" s="19"/>
    </row>
    <row r="49" spans="1:60" x14ac:dyDescent="0.15">
      <c r="A49" s="17">
        <v>2017</v>
      </c>
      <c r="B49" s="17"/>
      <c r="C49" s="18">
        <v>696241.51891016902</v>
      </c>
      <c r="D49" s="19">
        <v>1.75740983274115E-2</v>
      </c>
      <c r="E49" s="18">
        <v>675156.20165985904</v>
      </c>
      <c r="F49" s="19">
        <v>1.7592066060063201E-2</v>
      </c>
      <c r="G49" s="18">
        <v>4837.9993541592903</v>
      </c>
      <c r="H49" s="19">
        <v>-1.5600132227336401E-2</v>
      </c>
      <c r="I49" s="18">
        <v>672.67901990940504</v>
      </c>
      <c r="J49" s="19">
        <v>5.1576393370060099E-2</v>
      </c>
      <c r="K49" s="18">
        <v>126415.705920515</v>
      </c>
      <c r="L49" s="19">
        <v>5.1851107505002297E-2</v>
      </c>
      <c r="M49" s="18">
        <v>38813.425991406199</v>
      </c>
      <c r="N49" s="19">
        <v>0.101448068643382</v>
      </c>
      <c r="O49" s="18">
        <v>88448.386913758601</v>
      </c>
      <c r="P49" s="19">
        <v>2.74158127730455E-2</v>
      </c>
      <c r="Q49" s="18">
        <v>10336.0064170476</v>
      </c>
      <c r="R49" s="19">
        <v>9.1765731604318806E-2</v>
      </c>
      <c r="S49" s="18">
        <v>2127.1135960125098</v>
      </c>
      <c r="T49" s="19">
        <v>-0.123163821542812</v>
      </c>
      <c r="U49" s="18">
        <v>32943.937568198802</v>
      </c>
      <c r="V49" s="19">
        <v>6.7453263314571901E-3</v>
      </c>
      <c r="W49" s="18">
        <v>109570.63137079601</v>
      </c>
      <c r="X49" s="19">
        <v>-1.3627167039387799E-2</v>
      </c>
      <c r="Y49" s="18">
        <v>25013.937564797201</v>
      </c>
      <c r="Z49" s="19">
        <v>-7.5735163834626E-3</v>
      </c>
      <c r="AA49" s="18">
        <v>25941.144698893899</v>
      </c>
      <c r="AB49" s="19">
        <v>1.59230658643656E-2</v>
      </c>
      <c r="AC49" s="18">
        <v>13596.658405564</v>
      </c>
      <c r="AD49" s="19">
        <v>2.3562030844354299E-2</v>
      </c>
      <c r="AE49" s="18">
        <v>30403.183867524502</v>
      </c>
      <c r="AF49" s="19">
        <v>1.78642635658821E-2</v>
      </c>
      <c r="AG49" s="18">
        <v>55257.307317594699</v>
      </c>
      <c r="AH49" s="19">
        <v>-1.7508983461998799E-2</v>
      </c>
      <c r="AI49" s="18">
        <v>26122.0940123402</v>
      </c>
      <c r="AJ49" s="19">
        <v>-6.5497603267236998E-2</v>
      </c>
      <c r="AK49" s="18">
        <v>19880.430236046599</v>
      </c>
      <c r="AL49" s="19">
        <v>-1.8167837701441501E-2</v>
      </c>
      <c r="AM49" s="18">
        <v>121051.80251446601</v>
      </c>
      <c r="AN49" s="19">
        <v>2.23597190332234E-2</v>
      </c>
      <c r="AO49" s="18">
        <v>45853.286654180898</v>
      </c>
      <c r="AP49" s="19">
        <v>2.1454144726165601E-2</v>
      </c>
      <c r="AQ49" s="18">
        <v>29454.1831162286</v>
      </c>
      <c r="AR49" s="19">
        <v>3.8214585452618398E-3</v>
      </c>
      <c r="AS49" s="18">
        <v>49774.364316108498</v>
      </c>
      <c r="AT49" s="19">
        <v>3.9972849492401E-2</v>
      </c>
      <c r="AU49" s="18">
        <v>5921.2643852868396</v>
      </c>
      <c r="AV49" s="19">
        <v>2.91510368756711E-2</v>
      </c>
      <c r="AW49" s="18">
        <v>9084.6479021035793</v>
      </c>
      <c r="AX49" s="19">
        <v>9.5786384958429505E-3</v>
      </c>
      <c r="AY49" s="18">
        <v>2371.0453629610502</v>
      </c>
      <c r="AZ49" s="19">
        <v>2.5606974403599998E-2</v>
      </c>
      <c r="BA49" s="18">
        <v>21109.721648002102</v>
      </c>
      <c r="BB49" s="19">
        <v>1.7058092750676001E-2</v>
      </c>
      <c r="BC49" s="18">
        <v>36444.274923305398</v>
      </c>
      <c r="BD49" s="19">
        <v>2.21725787762777E-2</v>
      </c>
      <c r="BE49" s="18">
        <v>-15351.637327009999</v>
      </c>
      <c r="BF49" s="19">
        <v>2.91663545675016E-2</v>
      </c>
      <c r="BG49" s="18"/>
      <c r="BH49" s="19"/>
    </row>
    <row r="50" spans="1:60" x14ac:dyDescent="0.15">
      <c r="A50" s="17">
        <v>2018</v>
      </c>
      <c r="B50" s="17"/>
      <c r="C50" s="18">
        <v>717247.13698768697</v>
      </c>
      <c r="D50" s="19">
        <v>3.0170016448311899E-2</v>
      </c>
      <c r="E50" s="18">
        <v>696726.21779603697</v>
      </c>
      <c r="F50" s="19">
        <v>3.1948186335471099E-2</v>
      </c>
      <c r="G50" s="18">
        <v>5138.8029722688498</v>
      </c>
      <c r="H50" s="19">
        <v>6.2175208405298901E-2</v>
      </c>
      <c r="I50" s="18">
        <v>782.11639944195201</v>
      </c>
      <c r="J50" s="19">
        <v>0.16268885500143301</v>
      </c>
      <c r="K50" s="18">
        <v>133168.45213422499</v>
      </c>
      <c r="L50" s="19">
        <v>5.3416987743250703E-2</v>
      </c>
      <c r="M50" s="18">
        <v>43140.542062557899</v>
      </c>
      <c r="N50" s="19">
        <v>0.11148503283656799</v>
      </c>
      <c r="O50" s="18">
        <v>90562.524220615203</v>
      </c>
      <c r="P50" s="19">
        <v>2.39024970451749E-2</v>
      </c>
      <c r="Q50" s="18">
        <v>11901.3067700255</v>
      </c>
      <c r="R50" s="19">
        <v>0.15144150359622299</v>
      </c>
      <c r="S50" s="18">
        <v>2233.04361277817</v>
      </c>
      <c r="T50" s="19">
        <v>4.97998870226024E-2</v>
      </c>
      <c r="U50" s="18">
        <v>34124.7261715895</v>
      </c>
      <c r="V50" s="19">
        <v>3.5842364044867701E-2</v>
      </c>
      <c r="W50" s="18">
        <v>108038.17058213</v>
      </c>
      <c r="X50" s="19">
        <v>-1.39860541962178E-2</v>
      </c>
      <c r="Y50" s="18">
        <v>24800.973182692702</v>
      </c>
      <c r="Z50" s="19">
        <v>-8.5138288025539098E-3</v>
      </c>
      <c r="AA50" s="18">
        <v>26948.8128038264</v>
      </c>
      <c r="AB50" s="19">
        <v>3.8844396291250999E-2</v>
      </c>
      <c r="AC50" s="18">
        <v>14187.850124779199</v>
      </c>
      <c r="AD50" s="19">
        <v>4.3480662790886603E-2</v>
      </c>
      <c r="AE50" s="18">
        <v>31885.897893723799</v>
      </c>
      <c r="AF50" s="19">
        <v>4.8768380070323802E-2</v>
      </c>
      <c r="AG50" s="18">
        <v>57227.810024222497</v>
      </c>
      <c r="AH50" s="19">
        <v>3.5660490933844699E-2</v>
      </c>
      <c r="AI50" s="18">
        <v>26042.008559668098</v>
      </c>
      <c r="AJ50" s="19">
        <v>-3.0658128951811499E-3</v>
      </c>
      <c r="AK50" s="18">
        <v>20496.6770953755</v>
      </c>
      <c r="AL50" s="19">
        <v>3.0997662123606301E-2</v>
      </c>
      <c r="AM50" s="18">
        <v>126600.166392738</v>
      </c>
      <c r="AN50" s="19">
        <v>4.5834624210646699E-2</v>
      </c>
      <c r="AO50" s="18">
        <v>46349.561300798799</v>
      </c>
      <c r="AP50" s="19">
        <v>1.0823098687793501E-2</v>
      </c>
      <c r="AQ50" s="18">
        <v>29706.001690150701</v>
      </c>
      <c r="AR50" s="19">
        <v>8.5495012008445209E-3</v>
      </c>
      <c r="AS50" s="18">
        <v>51284.348451187601</v>
      </c>
      <c r="AT50" s="19">
        <v>3.0336583014691099E-2</v>
      </c>
      <c r="AU50" s="18">
        <v>5957.59100533728</v>
      </c>
      <c r="AV50" s="19">
        <v>6.1349430943666797E-3</v>
      </c>
      <c r="AW50" s="18">
        <v>9355.5412782115909</v>
      </c>
      <c r="AX50" s="19">
        <v>2.9818808502780202E-2</v>
      </c>
      <c r="AY50" s="18">
        <v>2428.4486790496098</v>
      </c>
      <c r="AZ50" s="19">
        <v>2.4210129837782798E-2</v>
      </c>
      <c r="BA50" s="18">
        <v>20544.163700032801</v>
      </c>
      <c r="BB50" s="19">
        <v>-2.67913503266335E-2</v>
      </c>
      <c r="BC50" s="18">
        <v>36226.463766897403</v>
      </c>
      <c r="BD50" s="19">
        <v>-5.9765534330508104E-3</v>
      </c>
      <c r="BE50" s="18">
        <v>-15700.8021569226</v>
      </c>
      <c r="BF50" s="19">
        <v>2.2744468389588299E-2</v>
      </c>
      <c r="BG50" s="18"/>
      <c r="BH50" s="19"/>
    </row>
    <row r="51" spans="1:60" x14ac:dyDescent="0.15">
      <c r="A51" s="17">
        <v>2019</v>
      </c>
      <c r="B51" s="17"/>
      <c r="C51" s="18">
        <v>727425.87062039704</v>
      </c>
      <c r="D51" s="19">
        <v>1.4191389700709101E-2</v>
      </c>
      <c r="E51" s="18">
        <v>707076.05194671103</v>
      </c>
      <c r="F51" s="19">
        <v>1.48549514663228E-2</v>
      </c>
      <c r="G51" s="18">
        <v>4999.7867230737602</v>
      </c>
      <c r="H51" s="19">
        <v>-2.70522629385237E-2</v>
      </c>
      <c r="I51" s="18">
        <v>769.99601022164302</v>
      </c>
      <c r="J51" s="19">
        <v>-1.54969122613434E-2</v>
      </c>
      <c r="K51" s="18">
        <v>140029.95940213001</v>
      </c>
      <c r="L51" s="19">
        <v>5.1525020813405299E-2</v>
      </c>
      <c r="M51" s="18">
        <v>47117.653859064398</v>
      </c>
      <c r="N51" s="19">
        <v>9.2189657485976406E-2</v>
      </c>
      <c r="O51" s="18">
        <v>93229.684680407299</v>
      </c>
      <c r="P51" s="19">
        <v>2.94510392984926E-2</v>
      </c>
      <c r="Q51" s="18">
        <v>12501.8079935145</v>
      </c>
      <c r="R51" s="19">
        <v>5.0456746901223801E-2</v>
      </c>
      <c r="S51" s="18">
        <v>2166.8423344401599</v>
      </c>
      <c r="T51" s="19">
        <v>-2.9646209307863401E-2</v>
      </c>
      <c r="U51" s="18">
        <v>34323.266184643297</v>
      </c>
      <c r="V51" s="19">
        <v>5.8180690463418604E-3</v>
      </c>
      <c r="W51" s="18">
        <v>104584.798021675</v>
      </c>
      <c r="X51" s="19">
        <v>-3.1964374645068301E-2</v>
      </c>
      <c r="Y51" s="18">
        <v>25058.4054868284</v>
      </c>
      <c r="Z51" s="19">
        <v>1.03799275229783E-2</v>
      </c>
      <c r="AA51" s="18">
        <v>28030.403067480998</v>
      </c>
      <c r="AB51" s="19">
        <v>4.0134987449281297E-2</v>
      </c>
      <c r="AC51" s="18">
        <v>14411.685342741799</v>
      </c>
      <c r="AD51" s="19">
        <v>1.5776542322763199E-2</v>
      </c>
      <c r="AE51" s="18">
        <v>32250.701807055098</v>
      </c>
      <c r="AF51" s="19">
        <v>1.14409170645635E-2</v>
      </c>
      <c r="AG51" s="18">
        <v>57606.764748769201</v>
      </c>
      <c r="AH51" s="19">
        <v>6.62186311840851E-3</v>
      </c>
      <c r="AI51" s="18">
        <v>26298.565785338898</v>
      </c>
      <c r="AJ51" s="19">
        <v>9.8516681262497095E-3</v>
      </c>
      <c r="AK51" s="18">
        <v>20546.883433211999</v>
      </c>
      <c r="AL51" s="19">
        <v>2.4494866949835701E-3</v>
      </c>
      <c r="AM51" s="18">
        <v>128585.19424328</v>
      </c>
      <c r="AN51" s="19">
        <v>1.5679504277933399E-2</v>
      </c>
      <c r="AO51" s="18">
        <v>47093.445459530201</v>
      </c>
      <c r="AP51" s="19">
        <v>1.6049432569679799E-2</v>
      </c>
      <c r="AQ51" s="18">
        <v>29597.598781224799</v>
      </c>
      <c r="AR51" s="19">
        <v>-3.6491921752558301E-3</v>
      </c>
      <c r="AS51" s="18">
        <v>52909.129080670398</v>
      </c>
      <c r="AT51" s="19">
        <v>3.1681803094940002E-2</v>
      </c>
      <c r="AU51" s="18">
        <v>6147.2168248121598</v>
      </c>
      <c r="AV51" s="19">
        <v>3.1829277858282497E-2</v>
      </c>
      <c r="AW51" s="18">
        <v>9543.5639095016504</v>
      </c>
      <c r="AX51" s="19">
        <v>2.0097461568359998E-2</v>
      </c>
      <c r="AY51" s="18">
        <v>2494.9357082056699</v>
      </c>
      <c r="AZ51" s="19">
        <v>2.73783958169047E-2</v>
      </c>
      <c r="BA51" s="18">
        <v>20370.146092082599</v>
      </c>
      <c r="BB51" s="19">
        <v>-8.4704157585120399E-3</v>
      </c>
      <c r="BC51" s="18">
        <v>36294.981749293802</v>
      </c>
      <c r="BD51" s="19">
        <v>1.89137926454053E-3</v>
      </c>
      <c r="BE51" s="18">
        <v>-15943.3067450217</v>
      </c>
      <c r="BF51" s="19">
        <v>1.54453629614189E-2</v>
      </c>
      <c r="BG51" s="18"/>
      <c r="BH51" s="19"/>
    </row>
    <row r="52" spans="1:60" x14ac:dyDescent="0.15">
      <c r="A52" s="17">
        <v>2020</v>
      </c>
      <c r="B52" s="17"/>
      <c r="C52" s="18">
        <v>710894.95138227497</v>
      </c>
      <c r="D52" s="19">
        <v>-2.2725228653228E-2</v>
      </c>
      <c r="E52" s="18">
        <v>691889.33115206403</v>
      </c>
      <c r="F52" s="19">
        <v>-2.1478199909097499E-2</v>
      </c>
      <c r="G52" s="18">
        <v>4944.5252868737698</v>
      </c>
      <c r="H52" s="19">
        <v>-1.10527586996791E-2</v>
      </c>
      <c r="I52" s="18">
        <v>755.68140486028403</v>
      </c>
      <c r="J52" s="19">
        <v>-1.85904929003959E-2</v>
      </c>
      <c r="K52" s="18">
        <v>135197.27924872501</v>
      </c>
      <c r="L52" s="19">
        <v>-3.4511758583942301E-2</v>
      </c>
      <c r="M52" s="18">
        <v>49965.863272044597</v>
      </c>
      <c r="N52" s="19">
        <v>6.0448880190418199E-2</v>
      </c>
      <c r="O52" s="18">
        <v>85230.460013996693</v>
      </c>
      <c r="P52" s="19">
        <v>-8.5801262696875893E-2</v>
      </c>
      <c r="Q52" s="18">
        <v>11458.7859538546</v>
      </c>
      <c r="R52" s="19">
        <v>-8.3429695944856594E-2</v>
      </c>
      <c r="S52" s="18">
        <v>2311.7299312289201</v>
      </c>
      <c r="T52" s="19">
        <v>6.6865777212254299E-2</v>
      </c>
      <c r="U52" s="18">
        <v>33570.645279685501</v>
      </c>
      <c r="V52" s="19">
        <v>-2.19274267463094E-2</v>
      </c>
      <c r="W52" s="18">
        <v>105484.976166186</v>
      </c>
      <c r="X52" s="19">
        <v>8.6071605198718704E-3</v>
      </c>
      <c r="Y52" s="18">
        <v>24607.400152561499</v>
      </c>
      <c r="Z52" s="19">
        <v>-1.7998165705477E-2</v>
      </c>
      <c r="AA52" s="18">
        <v>23284.131538937301</v>
      </c>
      <c r="AB52" s="19">
        <v>-0.16932583941506099</v>
      </c>
      <c r="AC52" s="18">
        <v>8467.9154365613995</v>
      </c>
      <c r="AD52" s="19">
        <v>-0.41242712179903901</v>
      </c>
      <c r="AE52" s="18">
        <v>32983.408938203502</v>
      </c>
      <c r="AF52" s="19">
        <v>2.2719106564935299E-2</v>
      </c>
      <c r="AG52" s="18">
        <v>60532.038115039402</v>
      </c>
      <c r="AH52" s="19">
        <v>5.07800321546907E-2</v>
      </c>
      <c r="AI52" s="18">
        <v>28301.092178281498</v>
      </c>
      <c r="AJ52" s="19">
        <v>7.6145840396323494E-2</v>
      </c>
      <c r="AK52" s="18">
        <v>20845.3131841297</v>
      </c>
      <c r="AL52" s="19">
        <v>1.45243317259161E-2</v>
      </c>
      <c r="AM52" s="18">
        <v>127278.363441988</v>
      </c>
      <c r="AN52" s="19">
        <v>-1.0163151434212101E-2</v>
      </c>
      <c r="AO52" s="18">
        <v>48217.793833028198</v>
      </c>
      <c r="AP52" s="19">
        <v>2.3874837836280499E-2</v>
      </c>
      <c r="AQ52" s="18">
        <v>29718.562960150401</v>
      </c>
      <c r="AR52" s="19">
        <v>4.0869592097547702E-3</v>
      </c>
      <c r="AS52" s="18">
        <v>52087.9313611791</v>
      </c>
      <c r="AT52" s="19">
        <v>-1.55209078992631E-2</v>
      </c>
      <c r="AU52" s="18">
        <v>4843.3822908704096</v>
      </c>
      <c r="AV52" s="19">
        <v>-0.212101601602704</v>
      </c>
      <c r="AW52" s="18">
        <v>8641.1315449636495</v>
      </c>
      <c r="AX52" s="19">
        <v>-9.4559262461640106E-2</v>
      </c>
      <c r="AY52" s="18">
        <v>2110.1764660172498</v>
      </c>
      <c r="AZ52" s="19">
        <v>-0.154216094997147</v>
      </c>
      <c r="BA52" s="18">
        <v>19005.615150113401</v>
      </c>
      <c r="BB52" s="19">
        <v>-6.6986801950308206E-2</v>
      </c>
      <c r="BC52" s="18">
        <v>35505.492881118298</v>
      </c>
      <c r="BD52" s="19">
        <v>-2.17520117141503E-2</v>
      </c>
      <c r="BE52" s="18">
        <v>-16498.120526980001</v>
      </c>
      <c r="BF52" s="19">
        <v>3.4799166247713398E-2</v>
      </c>
      <c r="BG52" s="18"/>
      <c r="BH52" s="19"/>
    </row>
    <row r="53" spans="1:60" x14ac:dyDescent="0.15">
      <c r="A53" s="17">
        <v>2021</v>
      </c>
      <c r="B53" s="17"/>
      <c r="C53" s="18">
        <v>752614.64999492804</v>
      </c>
      <c r="D53" s="19">
        <v>5.86861652787556E-2</v>
      </c>
      <c r="E53" s="18">
        <v>732609.97543393099</v>
      </c>
      <c r="F53" s="19">
        <v>5.8854274012380303E-2</v>
      </c>
      <c r="G53" s="18">
        <v>4638.4499880715102</v>
      </c>
      <c r="H53" s="19">
        <v>-6.1901857315766702E-2</v>
      </c>
      <c r="I53" s="18">
        <v>733.22233888864503</v>
      </c>
      <c r="J53" s="19">
        <v>-2.97202840075056E-2</v>
      </c>
      <c r="K53" s="18">
        <v>164512.77418291799</v>
      </c>
      <c r="L53" s="19">
        <v>0.21683494739758</v>
      </c>
      <c r="M53" s="18">
        <v>65620.498620247497</v>
      </c>
      <c r="N53" s="19">
        <v>0.31330661221581402</v>
      </c>
      <c r="O53" s="18">
        <v>98891.235575223604</v>
      </c>
      <c r="P53" s="19">
        <v>0.16028043916439599</v>
      </c>
      <c r="Q53" s="18">
        <v>9577.7080052238798</v>
      </c>
      <c r="R53" s="19">
        <v>-0.16416031822271299</v>
      </c>
      <c r="S53" s="18">
        <v>2190.75546549199</v>
      </c>
      <c r="T53" s="19">
        <v>-5.23307087487596E-2</v>
      </c>
      <c r="U53" s="18">
        <v>34456.584598901303</v>
      </c>
      <c r="V53" s="19">
        <v>2.6390297589896399E-2</v>
      </c>
      <c r="W53" s="18">
        <v>96637.557138327</v>
      </c>
      <c r="X53" s="19">
        <v>-8.3873735857136894E-2</v>
      </c>
      <c r="Y53" s="18">
        <v>25695.040815883702</v>
      </c>
      <c r="Z53" s="19">
        <v>4.4199738963851098E-2</v>
      </c>
      <c r="AA53" s="18">
        <v>25052.486993692899</v>
      </c>
      <c r="AB53" s="19">
        <v>7.5946807455474802E-2</v>
      </c>
      <c r="AC53" s="18">
        <v>8279.6082279632592</v>
      </c>
      <c r="AD53" s="19">
        <v>-2.22377289911392E-2</v>
      </c>
      <c r="AE53" s="18">
        <v>34784.836672998099</v>
      </c>
      <c r="AF53" s="19">
        <v>5.4616178035742403E-2</v>
      </c>
      <c r="AG53" s="18">
        <v>64560.266780737598</v>
      </c>
      <c r="AH53" s="19">
        <v>6.6547051629794601E-2</v>
      </c>
      <c r="AI53" s="18">
        <v>32237.147762661501</v>
      </c>
      <c r="AJ53" s="19">
        <v>0.13907786878276501</v>
      </c>
      <c r="AK53" s="18">
        <v>19328.152445741602</v>
      </c>
      <c r="AL53" s="19">
        <v>-7.2781863481099801E-2</v>
      </c>
      <c r="AM53" s="18">
        <v>135526.444041768</v>
      </c>
      <c r="AN53" s="19">
        <v>6.4803477800367701E-2</v>
      </c>
      <c r="AO53" s="18">
        <v>48760.880739469801</v>
      </c>
      <c r="AP53" s="19">
        <v>1.12632052043327E-2</v>
      </c>
      <c r="AQ53" s="18">
        <v>29808.5481633331</v>
      </c>
      <c r="AR53" s="19">
        <v>3.0279123288496899E-3</v>
      </c>
      <c r="AS53" s="18">
        <v>55583.135765522602</v>
      </c>
      <c r="AT53" s="19">
        <v>6.7102000655538702E-2</v>
      </c>
      <c r="AU53" s="18">
        <v>5597.51234695124</v>
      </c>
      <c r="AV53" s="19">
        <v>0.155703186490634</v>
      </c>
      <c r="AW53" s="18">
        <v>9611.5021853110102</v>
      </c>
      <c r="AX53" s="19">
        <v>0.112296709672581</v>
      </c>
      <c r="AY53" s="18">
        <v>2250.30659975247</v>
      </c>
      <c r="AZ53" s="19">
        <v>6.6406831841747199E-2</v>
      </c>
      <c r="BA53" s="18">
        <v>20004.036532876002</v>
      </c>
      <c r="BB53" s="19">
        <v>5.2532968539913003E-2</v>
      </c>
      <c r="BC53" s="18">
        <v>36703.435804895002</v>
      </c>
      <c r="BD53" s="19">
        <v>3.3739650588367601E-2</v>
      </c>
      <c r="BE53" s="18">
        <v>-16697.5827805443</v>
      </c>
      <c r="BF53" s="19">
        <v>1.20899985691163E-2</v>
      </c>
      <c r="BG53" s="18"/>
      <c r="BH53" s="19"/>
    </row>
    <row r="54" spans="1:60" x14ac:dyDescent="0.15">
      <c r="A54" s="17">
        <v>2022</v>
      </c>
      <c r="B54" s="17"/>
      <c r="C54" s="18">
        <v>778593.97210569098</v>
      </c>
      <c r="D54" s="19">
        <v>3.4518756857758702E-2</v>
      </c>
      <c r="E54" s="18">
        <v>757805.63741734205</v>
      </c>
      <c r="F54" s="19">
        <v>3.4391644706295299E-2</v>
      </c>
      <c r="G54" s="18">
        <v>5156.4551457515599</v>
      </c>
      <c r="H54" s="19">
        <v>0.111676348567341</v>
      </c>
      <c r="I54" s="18">
        <v>646.49488016190105</v>
      </c>
      <c r="J54" s="19">
        <v>-0.118282619236885</v>
      </c>
      <c r="K54" s="18">
        <v>174607.294878499</v>
      </c>
      <c r="L54" s="19">
        <v>6.1360102555670301E-2</v>
      </c>
      <c r="M54" s="18">
        <v>69553.4017315745</v>
      </c>
      <c r="N54" s="19">
        <v>5.9934063197038E-2</v>
      </c>
      <c r="O54" s="18">
        <v>105050.55140659399</v>
      </c>
      <c r="P54" s="19">
        <v>6.2283738245793897E-2</v>
      </c>
      <c r="Q54" s="18">
        <v>11276.0465403913</v>
      </c>
      <c r="R54" s="19">
        <v>0.17732202049186599</v>
      </c>
      <c r="S54" s="18">
        <v>2357.8364098966899</v>
      </c>
      <c r="T54" s="19">
        <v>7.6266359726818306E-2</v>
      </c>
      <c r="U54" s="18">
        <v>32946.331584249499</v>
      </c>
      <c r="V54" s="19">
        <v>-4.3830606899440197E-2</v>
      </c>
      <c r="W54" s="18">
        <v>89813.481132594403</v>
      </c>
      <c r="X54" s="19">
        <v>-7.0615154271383304E-2</v>
      </c>
      <c r="Y54" s="18">
        <v>25617.723296151598</v>
      </c>
      <c r="Z54" s="19">
        <v>-3.0090444411477999E-3</v>
      </c>
      <c r="AA54" s="18">
        <v>27662.586476133802</v>
      </c>
      <c r="AB54" s="19">
        <v>0.10418524448682499</v>
      </c>
      <c r="AC54" s="18">
        <v>13397.931891807501</v>
      </c>
      <c r="AD54" s="19">
        <v>0.61818428154097804</v>
      </c>
      <c r="AE54" s="18">
        <v>37208.401024802399</v>
      </c>
      <c r="AF54" s="19">
        <v>6.9673012254951802E-2</v>
      </c>
      <c r="AG54" s="18">
        <v>67540.6007524257</v>
      </c>
      <c r="AH54" s="19">
        <v>4.6163594425810299E-2</v>
      </c>
      <c r="AI54" s="18">
        <v>30769.398265355499</v>
      </c>
      <c r="AJ54" s="19">
        <v>-4.5529756792132302E-2</v>
      </c>
      <c r="AK54" s="18">
        <v>22543.5682906933</v>
      </c>
      <c r="AL54" s="19">
        <v>0.166359193098155</v>
      </c>
      <c r="AM54" s="18">
        <v>139618.30083863999</v>
      </c>
      <c r="AN54" s="19">
        <v>3.0192312841993599E-2</v>
      </c>
      <c r="AO54" s="18">
        <v>49442.276729078701</v>
      </c>
      <c r="AP54" s="19">
        <v>1.39742346585083E-2</v>
      </c>
      <c r="AQ54" s="18">
        <v>30500.961327303699</v>
      </c>
      <c r="AR54" s="19">
        <v>2.3228677900600299E-2</v>
      </c>
      <c r="AS54" s="18">
        <v>58209.192256967501</v>
      </c>
      <c r="AT54" s="19">
        <v>4.7245562080608497E-2</v>
      </c>
      <c r="AU54" s="18">
        <v>7102.5603126524602</v>
      </c>
      <c r="AV54" s="19">
        <v>0.26887800730282702</v>
      </c>
      <c r="AW54" s="18">
        <v>10202.215745830599</v>
      </c>
      <c r="AX54" s="19">
        <v>6.1459025772511403E-2</v>
      </c>
      <c r="AY54" s="18">
        <v>2411.7535383620898</v>
      </c>
      <c r="AZ54" s="19">
        <v>7.17444185727312E-2</v>
      </c>
      <c r="BA54" s="18">
        <v>20788.207789282598</v>
      </c>
      <c r="BB54" s="19">
        <v>3.9200651084487101E-2</v>
      </c>
      <c r="BC54" s="18">
        <v>37984.068956879099</v>
      </c>
      <c r="BD54" s="19">
        <v>3.4891369810489299E-2</v>
      </c>
      <c r="BE54" s="18">
        <v>-17189.4904623039</v>
      </c>
      <c r="BF54" s="19">
        <v>2.94598139278439E-2</v>
      </c>
      <c r="BG54" s="18"/>
      <c r="BH54" s="19"/>
    </row>
    <row r="55" spans="1:60" x14ac:dyDescent="0.15">
      <c r="A55" s="17">
        <v>2023</v>
      </c>
      <c r="B55" s="17"/>
      <c r="C55" s="18">
        <v>789708.24556713703</v>
      </c>
      <c r="D55" s="19">
        <v>1.4274800293390601E-2</v>
      </c>
      <c r="E55" s="18">
        <v>769281.55422866496</v>
      </c>
      <c r="F55" s="19">
        <v>1.51436149913506E-2</v>
      </c>
      <c r="G55" s="18">
        <v>5181.4949604523999</v>
      </c>
      <c r="H55" s="19">
        <v>4.8560132868544796E-3</v>
      </c>
      <c r="I55" s="18">
        <v>649.51610899859395</v>
      </c>
      <c r="J55" s="19">
        <v>4.67324479961317E-3</v>
      </c>
      <c r="K55" s="18">
        <v>170927.26929757299</v>
      </c>
      <c r="L55" s="19">
        <v>-2.1076012794811999E-2</v>
      </c>
      <c r="M55" s="18">
        <v>70727.234137877997</v>
      </c>
      <c r="N55" s="19">
        <v>1.6876707351189301E-2</v>
      </c>
      <c r="O55" s="18">
        <v>100400.707135255</v>
      </c>
      <c r="P55" s="19">
        <v>-4.4262921127772401E-2</v>
      </c>
      <c r="Q55" s="18">
        <v>9839.7443122901896</v>
      </c>
      <c r="R55" s="19">
        <v>-0.12737640120198199</v>
      </c>
      <c r="S55" s="18">
        <v>2684.11602336737</v>
      </c>
      <c r="T55" s="19">
        <v>0.138380937753426</v>
      </c>
      <c r="U55" s="18">
        <v>32360.453086619698</v>
      </c>
      <c r="V55" s="19">
        <v>-1.7782814336450001E-2</v>
      </c>
      <c r="W55" s="18">
        <v>95894.195361940205</v>
      </c>
      <c r="X55" s="19">
        <v>6.7703802955467504E-2</v>
      </c>
      <c r="Y55" s="18">
        <v>25299.5062603722</v>
      </c>
      <c r="Z55" s="19">
        <v>-1.2421753178478699E-2</v>
      </c>
      <c r="AA55" s="18">
        <v>28837.890405588001</v>
      </c>
      <c r="AB55" s="19">
        <v>4.2487130784684801E-2</v>
      </c>
      <c r="AC55" s="18">
        <v>14425.9128890219</v>
      </c>
      <c r="AD55" s="19">
        <v>7.6726841539102905E-2</v>
      </c>
      <c r="AE55" s="18">
        <v>39185.667953064098</v>
      </c>
      <c r="AF55" s="19">
        <v>5.3140335886609602E-2</v>
      </c>
      <c r="AG55" s="18">
        <v>66167.523049569907</v>
      </c>
      <c r="AH55" s="19">
        <v>-2.0329663751272702E-2</v>
      </c>
      <c r="AI55" s="18">
        <v>27371.5467491493</v>
      </c>
      <c r="AJ55" s="19">
        <v>-0.110429573139621</v>
      </c>
      <c r="AK55" s="18">
        <v>24222.030409218602</v>
      </c>
      <c r="AL55" s="19">
        <v>7.4454145718281198E-2</v>
      </c>
      <c r="AM55" s="18">
        <v>141950.469928487</v>
      </c>
      <c r="AN55" s="19">
        <v>1.6703892511500399E-2</v>
      </c>
      <c r="AO55" s="18">
        <v>49459.058802381398</v>
      </c>
      <c r="AP55" s="19">
        <v>3.3942759947413998E-4</v>
      </c>
      <c r="AQ55" s="18">
        <v>31170.6047744719</v>
      </c>
      <c r="AR55" s="19">
        <v>2.1954830865238199E-2</v>
      </c>
      <c r="AS55" s="18">
        <v>59820.1088813366</v>
      </c>
      <c r="AT55" s="19">
        <v>2.7674608801607301E-2</v>
      </c>
      <c r="AU55" s="18">
        <v>7826.8973456128097</v>
      </c>
      <c r="AV55" s="19">
        <v>0.101982524762235</v>
      </c>
      <c r="AW55" s="18">
        <v>10383.5722248006</v>
      </c>
      <c r="AX55" s="19">
        <v>1.7776185437378401E-2</v>
      </c>
      <c r="AY55" s="18">
        <v>2515.35665106545</v>
      </c>
      <c r="AZ55" s="19">
        <v>4.2957587106400998E-2</v>
      </c>
      <c r="BA55" s="18">
        <v>20416.202490540702</v>
      </c>
      <c r="BB55" s="19">
        <v>-1.7895015410305699E-2</v>
      </c>
      <c r="BC55" s="18">
        <v>38090.407141659001</v>
      </c>
      <c r="BD55" s="19">
        <v>2.79954696008389E-3</v>
      </c>
      <c r="BE55" s="18">
        <v>-17681.679717811399</v>
      </c>
      <c r="BF55" s="19">
        <v>2.8633149806671199E-2</v>
      </c>
      <c r="BG55" s="18"/>
      <c r="BH55" s="19"/>
    </row>
    <row r="56" spans="1:60" x14ac:dyDescent="0.15">
      <c r="A56" s="17">
        <v>2024</v>
      </c>
      <c r="B56" s="17"/>
      <c r="C56" s="18">
        <v>799783.77196735598</v>
      </c>
      <c r="D56" s="19">
        <v>1.27585427362271E-2</v>
      </c>
      <c r="E56" s="18">
        <v>779699.42738133704</v>
      </c>
      <c r="F56" s="19">
        <v>1.3542341026384E-2</v>
      </c>
      <c r="G56" s="18">
        <v>4887.3231541925898</v>
      </c>
      <c r="H56" s="19">
        <v>-5.6773539008542102E-2</v>
      </c>
      <c r="I56" s="18">
        <v>720.67609109282103</v>
      </c>
      <c r="J56" s="19">
        <v>0.109558456069611</v>
      </c>
      <c r="K56" s="18">
        <v>173842.07067932599</v>
      </c>
      <c r="L56" s="19">
        <v>1.7052875142346002E-2</v>
      </c>
      <c r="M56" s="18">
        <v>78674.674508737895</v>
      </c>
      <c r="N56" s="19">
        <v>0.112367470151129</v>
      </c>
      <c r="O56" s="18">
        <v>96706.538105362793</v>
      </c>
      <c r="P56" s="19">
        <v>-3.6794253101380597E-2</v>
      </c>
      <c r="Q56" s="18">
        <v>8850.6099932665493</v>
      </c>
      <c r="R56" s="19">
        <v>-0.10052439246700499</v>
      </c>
      <c r="S56" s="18">
        <v>2901.4257352536702</v>
      </c>
      <c r="T56" s="19">
        <v>8.0961370519921499E-2</v>
      </c>
      <c r="U56" s="18">
        <v>32881.118195077099</v>
      </c>
      <c r="V56" s="19">
        <v>1.6089549397337401E-2</v>
      </c>
      <c r="W56" s="18">
        <v>94794.195759284106</v>
      </c>
      <c r="X56" s="19">
        <v>-1.14709717152778E-2</v>
      </c>
      <c r="Y56" s="18">
        <v>26114.9323735463</v>
      </c>
      <c r="Z56" s="19">
        <v>3.2230910152239098E-2</v>
      </c>
      <c r="AA56" s="18">
        <v>29258.7542218245</v>
      </c>
      <c r="AB56" s="19">
        <v>1.4594126349650099E-2</v>
      </c>
      <c r="AC56" s="18">
        <v>14170.7450787088</v>
      </c>
      <c r="AD56" s="19">
        <v>-1.76881568796445E-2</v>
      </c>
      <c r="AE56" s="18">
        <v>41285.097505161299</v>
      </c>
      <c r="AF56" s="19">
        <v>5.3576464604658598E-2</v>
      </c>
      <c r="AG56" s="18">
        <v>66516.849129123904</v>
      </c>
      <c r="AH56" s="19">
        <v>5.2794190178817599E-3</v>
      </c>
      <c r="AI56" s="18">
        <v>26704.710611250299</v>
      </c>
      <c r="AJ56" s="19">
        <v>-2.4362384194445599E-2</v>
      </c>
      <c r="AK56" s="18">
        <v>25505.489089919301</v>
      </c>
      <c r="AL56" s="19">
        <v>5.2987245867391897E-2</v>
      </c>
      <c r="AM56" s="18">
        <v>145431.85916534101</v>
      </c>
      <c r="AN56" s="19">
        <v>2.4525380145679999E-2</v>
      </c>
      <c r="AO56" s="18">
        <v>50087.959250336098</v>
      </c>
      <c r="AP56" s="19">
        <v>1.27155765431675E-2</v>
      </c>
      <c r="AQ56" s="18">
        <v>31713.4831009683</v>
      </c>
      <c r="AR56" s="19">
        <v>1.7416355262410501E-2</v>
      </c>
      <c r="AS56" s="18">
        <v>62937.933073166801</v>
      </c>
      <c r="AT56" s="19">
        <v>5.2120001954776299E-2</v>
      </c>
      <c r="AU56" s="18">
        <v>7745.74957819061</v>
      </c>
      <c r="AV56" s="19">
        <v>-1.0367807809269901E-2</v>
      </c>
      <c r="AW56" s="18">
        <v>10487.638822185299</v>
      </c>
      <c r="AX56" s="19">
        <v>1.0022234654091E-2</v>
      </c>
      <c r="AY56" s="18">
        <v>2431.9423817678598</v>
      </c>
      <c r="AZ56" s="19">
        <v>-3.3162004784592997E-2</v>
      </c>
      <c r="BA56" s="18">
        <v>20043.956816493501</v>
      </c>
      <c r="BB56" s="19">
        <v>-1.82328557046663E-2</v>
      </c>
      <c r="BC56" s="18">
        <v>38340.476074304403</v>
      </c>
      <c r="BD56" s="19">
        <v>6.5651420242209798E-3</v>
      </c>
      <c r="BE56" s="18">
        <v>-18299.2995507261</v>
      </c>
      <c r="BF56" s="19">
        <v>3.4929929891929397E-2</v>
      </c>
      <c r="BG56" s="18"/>
      <c r="BH56" s="19"/>
    </row>
    <row r="57" spans="1:60" x14ac:dyDescent="0.15">
      <c r="A57" s="17">
        <v>2025</v>
      </c>
      <c r="B57" s="17"/>
      <c r="C57" s="18">
        <v>813916.731115259</v>
      </c>
      <c r="D57" s="19">
        <v>1.76709751351143E-2</v>
      </c>
      <c r="E57" s="18">
        <v>793872.42016183899</v>
      </c>
      <c r="F57" s="19">
        <v>1.8177508258666802E-2</v>
      </c>
      <c r="G57" s="18">
        <v>5232.5082304509097</v>
      </c>
      <c r="H57" s="19">
        <v>7.0628658136141095E-2</v>
      </c>
      <c r="I57" s="18">
        <v>743.41232191675999</v>
      </c>
      <c r="J57" s="19">
        <v>3.1548473863566497E-2</v>
      </c>
      <c r="K57" s="18">
        <v>177989.30666998099</v>
      </c>
      <c r="L57" s="19">
        <v>2.38563425668421E-2</v>
      </c>
      <c r="M57" s="18">
        <v>85091.385318131201</v>
      </c>
      <c r="N57" s="19">
        <v>8.1560055373100404E-2</v>
      </c>
      <c r="O57" s="18">
        <v>95530.682633249002</v>
      </c>
      <c r="P57" s="19">
        <v>-1.21590069828855E-2</v>
      </c>
      <c r="Q57" s="18">
        <v>7798.3378741113202</v>
      </c>
      <c r="R57" s="19">
        <v>-0.118892609656937</v>
      </c>
      <c r="S57" s="18">
        <v>2924.8457693496198</v>
      </c>
      <c r="T57" s="19">
        <v>8.0719054123565802E-3</v>
      </c>
      <c r="U57" s="18">
        <v>33504.321674307801</v>
      </c>
      <c r="V57" s="19">
        <v>1.8953232537086001E-2</v>
      </c>
      <c r="W57" s="18">
        <v>99804.484842586098</v>
      </c>
      <c r="X57" s="19">
        <v>5.2854386739299403E-2</v>
      </c>
      <c r="Y57" s="18">
        <v>26862.049466982298</v>
      </c>
      <c r="Z57" s="19">
        <v>2.8608808276785899E-2</v>
      </c>
      <c r="AA57" s="18">
        <v>29321.1737480679</v>
      </c>
      <c r="AB57" s="19">
        <v>2.1333624039552301E-3</v>
      </c>
      <c r="AC57" s="18">
        <v>14186.40292497</v>
      </c>
      <c r="AD57" s="19">
        <v>1.1049416367476801E-3</v>
      </c>
      <c r="AE57" s="18">
        <v>41187.080422762599</v>
      </c>
      <c r="AF57" s="19">
        <v>-2.3741516508815098E-3</v>
      </c>
      <c r="AG57" s="18">
        <v>70878.445644709005</v>
      </c>
      <c r="AH57" s="19">
        <v>6.5571303702589095E-2</v>
      </c>
      <c r="AI57" s="18">
        <v>28868.6530166296</v>
      </c>
      <c r="AJ57" s="19">
        <v>8.1032235731014493E-2</v>
      </c>
      <c r="AK57" s="18">
        <v>27436.110894973001</v>
      </c>
      <c r="AL57" s="19">
        <v>7.5694365171642394E-2</v>
      </c>
      <c r="AM57" s="18">
        <v>143962.91615877301</v>
      </c>
      <c r="AN57" s="19">
        <v>-1.0100558536475601E-2</v>
      </c>
      <c r="AO57" s="18">
        <v>49981.296465233798</v>
      </c>
      <c r="AP57" s="19">
        <v>-2.1295095008604398E-3</v>
      </c>
      <c r="AQ57" s="18">
        <v>31853.4699180567</v>
      </c>
      <c r="AR57" s="19">
        <v>4.4141104476838099E-3</v>
      </c>
      <c r="AS57" s="18">
        <v>66214.0674107136</v>
      </c>
      <c r="AT57" s="19">
        <v>5.2053414810082903E-2</v>
      </c>
      <c r="AU57" s="18">
        <v>6669.70281458924</v>
      </c>
      <c r="AV57" s="19">
        <v>-0.138920933699064</v>
      </c>
      <c r="AW57" s="18">
        <v>10277.196042699199</v>
      </c>
      <c r="AX57" s="19">
        <v>-2.0065792029463701E-2</v>
      </c>
      <c r="AY57" s="18">
        <v>2349.6773596508301</v>
      </c>
      <c r="AZ57" s="19">
        <v>-3.3826879589650999E-2</v>
      </c>
      <c r="BA57" s="18">
        <v>20003.5575880416</v>
      </c>
      <c r="BB57" s="19">
        <v>-2.0155316049479399E-3</v>
      </c>
      <c r="BC57" s="18">
        <v>39071.745979493899</v>
      </c>
      <c r="BD57" s="19">
        <v>1.9073052295236901E-2</v>
      </c>
      <c r="BE57" s="18">
        <v>-19089.7998593421</v>
      </c>
      <c r="BF57" s="19">
        <v>4.3198391633773703E-2</v>
      </c>
      <c r="BG57" s="18"/>
      <c r="BH57" s="19"/>
    </row>
    <row r="58" spans="1:60" x14ac:dyDescent="0.15">
      <c r="A58" s="17"/>
      <c r="B58" s="17"/>
      <c r="C58" s="18"/>
      <c r="D58" s="19"/>
      <c r="E58" s="18"/>
      <c r="F58" s="19"/>
      <c r="G58" s="18"/>
      <c r="H58" s="19"/>
      <c r="I58" s="18"/>
      <c r="J58" s="19"/>
      <c r="K58" s="18"/>
      <c r="L58" s="19"/>
      <c r="M58" s="18"/>
      <c r="N58" s="19"/>
      <c r="O58" s="18"/>
      <c r="P58" s="19"/>
      <c r="Q58" s="18"/>
      <c r="R58" s="19"/>
      <c r="S58" s="18"/>
      <c r="T58" s="19"/>
      <c r="U58" s="18"/>
      <c r="V58" s="19"/>
      <c r="W58" s="18"/>
      <c r="X58" s="19"/>
      <c r="Y58" s="18"/>
      <c r="Z58" s="19"/>
      <c r="AA58" s="18"/>
      <c r="AB58" s="19"/>
      <c r="AC58" s="18"/>
      <c r="AD58" s="19"/>
      <c r="AE58" s="18"/>
      <c r="AF58" s="19"/>
      <c r="AG58" s="18"/>
      <c r="AH58" s="19"/>
      <c r="AI58" s="18"/>
      <c r="AJ58" s="19"/>
      <c r="AK58" s="18"/>
      <c r="AL58" s="19"/>
      <c r="AM58" s="18"/>
      <c r="AN58" s="19"/>
      <c r="AO58" s="18"/>
      <c r="AP58" s="19"/>
      <c r="AQ58" s="18"/>
      <c r="AR58" s="19"/>
      <c r="AS58" s="18"/>
      <c r="AT58" s="19"/>
      <c r="AU58" s="18"/>
      <c r="AV58" s="19"/>
      <c r="AW58" s="18"/>
      <c r="AX58" s="19"/>
      <c r="AY58" s="18"/>
      <c r="AZ58" s="19"/>
      <c r="BA58" s="18"/>
      <c r="BB58" s="19"/>
      <c r="BC58" s="18"/>
      <c r="BD58" s="19"/>
      <c r="BE58" s="18"/>
      <c r="BF58" s="19"/>
      <c r="BG58" s="18"/>
      <c r="BH58" s="19"/>
    </row>
  </sheetData>
  <sheetProtection password="DD0B" sheet="1"/>
  <mergeCells count="66">
    <mergeCell ref="AC6:AD10"/>
    <mergeCell ref="AC11:AD11"/>
    <mergeCell ref="C5:D10"/>
    <mergeCell ref="E6:F10"/>
    <mergeCell ref="C11:D11"/>
    <mergeCell ref="E11:F11"/>
    <mergeCell ref="M8:N10"/>
    <mergeCell ref="Y8:Z10"/>
    <mergeCell ref="AA6:AB10"/>
    <mergeCell ref="G11:H11"/>
    <mergeCell ref="I11:J11"/>
    <mergeCell ref="K11:L11"/>
    <mergeCell ref="M11:N11"/>
    <mergeCell ref="C4:BF4"/>
    <mergeCell ref="E5:AZ5"/>
    <mergeCell ref="BA5:BF5"/>
    <mergeCell ref="G6:H10"/>
    <mergeCell ref="I6:J10"/>
    <mergeCell ref="K6:L10"/>
    <mergeCell ref="M6:N7"/>
    <mergeCell ref="Q6:R10"/>
    <mergeCell ref="S6:T10"/>
    <mergeCell ref="U6:V10"/>
    <mergeCell ref="W6:X10"/>
    <mergeCell ref="Y6:Z7"/>
    <mergeCell ref="AY6:AZ10"/>
    <mergeCell ref="BA6:BB10"/>
    <mergeCell ref="BC6:BD10"/>
    <mergeCell ref="BE6:BF10"/>
    <mergeCell ref="AO6:AP10"/>
    <mergeCell ref="AQ6:AR10"/>
    <mergeCell ref="AS6:AT10"/>
    <mergeCell ref="AU6:AV10"/>
    <mergeCell ref="AW6:AX10"/>
    <mergeCell ref="AG6:AH10"/>
    <mergeCell ref="AM6:AN10"/>
    <mergeCell ref="O6:P6"/>
    <mergeCell ref="U11:V11"/>
    <mergeCell ref="W11:X11"/>
    <mergeCell ref="Y11:Z11"/>
    <mergeCell ref="AA11:AB11"/>
    <mergeCell ref="Q11:R11"/>
    <mergeCell ref="O11:P11"/>
    <mergeCell ref="O7:P7"/>
    <mergeCell ref="O8:P10"/>
    <mergeCell ref="AG11:AH11"/>
    <mergeCell ref="AI11:AJ11"/>
    <mergeCell ref="S11:T11"/>
    <mergeCell ref="AE11:AF11"/>
    <mergeCell ref="AE6:AF10"/>
    <mergeCell ref="BC11:BD11"/>
    <mergeCell ref="BE11:BF11"/>
    <mergeCell ref="AM11:AN11"/>
    <mergeCell ref="AO11:AP11"/>
    <mergeCell ref="AQ11:AR11"/>
    <mergeCell ref="AS11:AT11"/>
    <mergeCell ref="AU11:AV11"/>
    <mergeCell ref="AW11:AX11"/>
    <mergeCell ref="AY11:AZ11"/>
    <mergeCell ref="AK6:AL6"/>
    <mergeCell ref="AK7:AL7"/>
    <mergeCell ref="AK11:AL11"/>
    <mergeCell ref="AI6:AJ6"/>
    <mergeCell ref="AI7:AJ7"/>
    <mergeCell ref="AI8:AJ10"/>
    <mergeCell ref="AK8:AL10"/>
  </mergeCell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le09"/>
  <dimension ref="A1:BH58"/>
  <sheetViews>
    <sheetView showGridLines="0" zoomScaleNormal="100" workbookViewId="0">
      <pane xSplit="2" ySplit="11" topLeftCell="C12" activePane="bottomRight" state="frozen"/>
      <selection activeCell="AG1" sqref="AG1:AH1048576"/>
      <selection pane="topRight" activeCell="AG1" sqref="AG1:AH1048576"/>
      <selection pane="bottomLeft" activeCell="AG1" sqref="AG1:AH1048576"/>
      <selection pane="bottomRight" activeCell="AG1" sqref="AG1:AH1048576"/>
    </sheetView>
  </sheetViews>
  <sheetFormatPr baseColWidth="10" defaultRowHeight="11" x14ac:dyDescent="0.15"/>
  <cols>
    <col min="1" max="1" width="9.75" customWidth="1"/>
    <col min="2" max="2" width="2.75" customWidth="1"/>
    <col min="3" max="60" width="9.75" customWidth="1"/>
  </cols>
  <sheetData>
    <row r="1" spans="1:60" ht="11.25" customHeight="1" x14ac:dyDescent="0.15">
      <c r="A1" s="6" t="str">
        <f ca="1">INDIRECT("beschriftung!"&amp;ADDRESS(beschriftung!$C$1*12+ROW(beschriftung!$A1)-1,COLUMN(beschriftung!A$1)))</f>
        <v xml:space="preserve">ESA 2010, Quarterly aggregates of Gross Domestic Product, production approach, seasonally, calendar and sport event adjusted data. Background information on sport event adjustment can be found in the publication “Konjunkturtendenzen” (“Economic Trends”) from autumn 2022 and in the technical note from 5 September 2022 on the website www.seco.admin.ch. </v>
      </c>
      <c r="C1" s="12"/>
      <c r="E1" s="12"/>
    </row>
    <row r="2" spans="1:60" ht="11.25" customHeight="1" x14ac:dyDescent="0.15">
      <c r="A2" s="7" t="str">
        <f ca="1">INDIRECT("beschriftung!"&amp;ADDRESS(beschriftung!$C$1*12+ROW(beschriftung!$A4)-1,COLUMN(beschriftung!B$1)))</f>
        <v>Implicit chain price indexes, year-on-year growth rates</v>
      </c>
      <c r="C2" s="12"/>
      <c r="E2" s="12"/>
    </row>
    <row r="3" spans="1:60" ht="11.25" customHeight="1" x14ac:dyDescent="0.15">
      <c r="C3" s="12"/>
      <c r="E3" s="12"/>
    </row>
    <row r="4" spans="1:60" ht="11.25" customHeight="1" x14ac:dyDescent="0.15">
      <c r="A4" s="5"/>
      <c r="C4" s="46" t="str">
        <f ca="1">INDIRECT("beschriftung!"&amp;ADDRESS(beschriftung!$C$1*12+ROW(beschriftung!$A5)-1,COLUMN(beschriftung!C$1)))</f>
        <v>Gross domestic product</v>
      </c>
      <c r="D4" s="47" t="e">
        <f ca="1">IF(INDIRECT("beschriftung.!"&amp;ADDRESS(#REF!*12+ROW($A5)-1,COLUMN(D$1)))="","",INDIRECT("beschriftung.!"&amp;ADDRESS(#REF!*12+ROW($A5)-1,COLUMN(D$1))))</f>
        <v>#REF!</v>
      </c>
      <c r="E4" s="47" t="e">
        <f ca="1">IF(INDIRECT("beschriftung.!"&amp;ADDRESS(#REF!*12+ROW($A5)-1,COLUMN(E$1)))="","",INDIRECT("beschriftung.!"&amp;ADDRESS(#REF!*12+ROW($A5)-1,COLUMN(E$1))))</f>
        <v>#REF!</v>
      </c>
      <c r="F4" s="47" t="e">
        <f ca="1">IF(INDIRECT("beschriftung.!"&amp;ADDRESS(#REF!*12+ROW($A5)-1,COLUMN(F$1)))="","",INDIRECT("beschriftung.!"&amp;ADDRESS(#REF!*12+ROW($A5)-1,COLUMN(F$1))))</f>
        <v>#REF!</v>
      </c>
      <c r="G4" s="47" t="e">
        <f ca="1">IF(INDIRECT("beschriftung.!"&amp;ADDRESS(#REF!*12+ROW($A5)-1,COLUMN(G$1)))="","",INDIRECT("beschriftung.!"&amp;ADDRESS(#REF!*12+ROW($A5)-1,COLUMN(G$1))))</f>
        <v>#REF!</v>
      </c>
      <c r="H4" s="47" t="e">
        <f ca="1">IF(INDIRECT("beschriftung.!"&amp;ADDRESS(#REF!*12+ROW($A5)-1,COLUMN(H$1)))="","",INDIRECT("beschriftung.!"&amp;ADDRESS(#REF!*12+ROW($A5)-1,COLUMN(H$1))))</f>
        <v>#REF!</v>
      </c>
      <c r="I4" s="47" t="e">
        <f ca="1">IF(INDIRECT("beschriftung.!"&amp;ADDRESS(#REF!*12+ROW($A5)-1,COLUMN(I$1)))="","",INDIRECT("beschriftung.!"&amp;ADDRESS(#REF!*12+ROW($A5)-1,COLUMN(I$1))))</f>
        <v>#REF!</v>
      </c>
      <c r="J4" s="47" t="e">
        <f ca="1">IF(INDIRECT("beschriftung.!"&amp;ADDRESS(#REF!*12+ROW($A5)-1,COLUMN(J$1)))="","",INDIRECT("beschriftung.!"&amp;ADDRESS(#REF!*12+ROW($A5)-1,COLUMN(J$1))))</f>
        <v>#REF!</v>
      </c>
      <c r="K4" s="47" t="e">
        <f ca="1">IF(INDIRECT("beschriftung.!"&amp;ADDRESS(#REF!*12+ROW($A5)-1,COLUMN(K$1)))="","",INDIRECT("beschriftung.!"&amp;ADDRESS(#REF!*12+ROW($A5)-1,COLUMN(K$1))))</f>
        <v>#REF!</v>
      </c>
      <c r="L4" s="47" t="e">
        <f ca="1">IF(INDIRECT("beschriftung.!"&amp;ADDRESS(#REF!*12+ROW($A5)-1,COLUMN(L$1)))="","",INDIRECT("beschriftung.!"&amp;ADDRESS(#REF!*12+ROW($A5)-1,COLUMN(L$1))))</f>
        <v>#REF!</v>
      </c>
      <c r="M4" s="47"/>
      <c r="N4" s="47"/>
      <c r="O4" s="47"/>
      <c r="P4" s="47"/>
      <c r="Q4" s="47" t="e">
        <f ca="1">IF(INDIRECT("beschriftung.!"&amp;ADDRESS(#REF!*12+ROW($A5)-1,COLUMN(Q$1)))="","",INDIRECT("beschriftung.!"&amp;ADDRESS(#REF!*12+ROW($A5)-1,COLUMN(Q$1))))</f>
        <v>#REF!</v>
      </c>
      <c r="R4" s="47" t="e">
        <f ca="1">IF(INDIRECT("beschriftung.!"&amp;ADDRESS(#REF!*12+ROW($A5)-1,COLUMN(R$1)))="","",INDIRECT("beschriftung.!"&amp;ADDRESS(#REF!*12+ROW($A5)-1,COLUMN(R$1))))</f>
        <v>#REF!</v>
      </c>
      <c r="S4" s="47"/>
      <c r="T4" s="47"/>
      <c r="U4" s="47" t="e">
        <f ca="1">IF(INDIRECT("beschriftung.!"&amp;ADDRESS(#REF!*12+ROW($A5)-1,COLUMN(U$1)))="","",INDIRECT("beschriftung.!"&amp;ADDRESS(#REF!*12+ROW($A5)-1,COLUMN(U$1))))</f>
        <v>#REF!</v>
      </c>
      <c r="V4" s="47" t="e">
        <f ca="1">IF(INDIRECT("beschriftung.!"&amp;ADDRESS(#REF!*12+ROW($A5)-1,COLUMN(V$1)))="","",INDIRECT("beschriftung.!"&amp;ADDRESS(#REF!*12+ROW($A5)-1,COLUMN(V$1))))</f>
        <v>#REF!</v>
      </c>
      <c r="W4" s="47" t="e">
        <f ca="1">IF(INDIRECT("beschriftung.!"&amp;ADDRESS(#REF!*12+ROW($A5)-1,COLUMN(W$1)))="","",INDIRECT("beschriftung.!"&amp;ADDRESS(#REF!*12+ROW($A5)-1,COLUMN(W$1))))</f>
        <v>#REF!</v>
      </c>
      <c r="X4" s="47" t="e">
        <f ca="1">IF(INDIRECT("beschriftung.!"&amp;ADDRESS(#REF!*12+ROW($A5)-1,COLUMN(X$1)))="","",INDIRECT("beschriftung.!"&amp;ADDRESS(#REF!*12+ROW($A5)-1,COLUMN(X$1))))</f>
        <v>#REF!</v>
      </c>
      <c r="Y4" s="47"/>
      <c r="Z4" s="47"/>
      <c r="AA4" s="47" t="e">
        <f ca="1">IF(INDIRECT("beschriftung.!"&amp;ADDRESS(#REF!*12+ROW($A5)-1,COLUMN(AA$1)))="","",INDIRECT("beschriftung.!"&amp;ADDRESS(#REF!*12+ROW($A5)-1,COLUMN(AA$1))))</f>
        <v>#REF!</v>
      </c>
      <c r="AB4" s="47" t="e">
        <f ca="1">IF(INDIRECT("beschriftung.!"&amp;ADDRESS(#REF!*12+ROW($A5)-1,COLUMN(AB$1)))="","",INDIRECT("beschriftung.!"&amp;ADDRESS(#REF!*12+ROW($A5)-1,COLUMN(AB$1))))</f>
        <v>#REF!</v>
      </c>
      <c r="AC4" s="47"/>
      <c r="AD4" s="47"/>
      <c r="AE4" s="47"/>
      <c r="AF4" s="47"/>
      <c r="AG4" s="47" t="e">
        <f ca="1">IF(INDIRECT("beschriftung.!"&amp;ADDRESS(#REF!*12+ROW($A5)-1,COLUMN(AG$1)))="","",INDIRECT("beschriftung.!"&amp;ADDRESS(#REF!*12+ROW($A5)-1,COLUMN(AG$1))))</f>
        <v>#REF!</v>
      </c>
      <c r="AH4" s="47" t="e">
        <f ca="1">IF(INDIRECT("beschriftung.!"&amp;ADDRESS(#REF!*12+ROW($A5)-1,COLUMN(AH$1)))="","",INDIRECT("beschriftung.!"&amp;ADDRESS(#REF!*12+ROW($A5)-1,COLUMN(AH$1))))</f>
        <v>#REF!</v>
      </c>
      <c r="AI4" s="47" t="e">
        <f ca="1">IF(INDIRECT("beschriftung.!"&amp;ADDRESS(#REF!*12+ROW($A5)-1,COLUMN(AI$1)))="","",INDIRECT("beschriftung.!"&amp;ADDRESS(#REF!*12+ROW($A5)-1,COLUMN(AI$1))))</f>
        <v>#REF!</v>
      </c>
      <c r="AJ4" s="47" t="e">
        <f ca="1">IF(INDIRECT("beschriftung.!"&amp;ADDRESS(#REF!*12+ROW($A5)-1,COLUMN(AJ$1)))="","",INDIRECT("beschriftung.!"&amp;ADDRESS(#REF!*12+ROW($A5)-1,COLUMN(AJ$1))))</f>
        <v>#REF!</v>
      </c>
      <c r="AK4" s="47"/>
      <c r="AL4" s="47"/>
      <c r="AM4" s="47" t="e">
        <f ca="1">IF(INDIRECT("beschriftung.!"&amp;ADDRESS(#REF!*12+ROW($A5)-1,COLUMN(AM$1)))="","",INDIRECT("beschriftung.!"&amp;ADDRESS(#REF!*12+ROW($A5)-1,COLUMN(AM$1))))</f>
        <v>#REF!</v>
      </c>
      <c r="AN4" s="47" t="e">
        <f ca="1">IF(INDIRECT("beschriftung.!"&amp;ADDRESS(#REF!*12+ROW($A5)-1,COLUMN(AN$1)))="","",INDIRECT("beschriftung.!"&amp;ADDRESS(#REF!*12+ROW($A5)-1,COLUMN(AN$1))))</f>
        <v>#REF!</v>
      </c>
      <c r="AO4" s="47" t="e">
        <f ca="1">IF(INDIRECT("beschriftung.!"&amp;ADDRESS(#REF!*12+ROW($A5)-1,COLUMN(AO$1)))="","",INDIRECT("beschriftung.!"&amp;ADDRESS(#REF!*12+ROW($A5)-1,COLUMN(AO$1))))</f>
        <v>#REF!</v>
      </c>
      <c r="AP4" s="47" t="e">
        <f ca="1">IF(INDIRECT("beschriftung.!"&amp;ADDRESS(#REF!*12+ROW($A5)-1,COLUMN(AP$1)))="","",INDIRECT("beschriftung.!"&amp;ADDRESS(#REF!*12+ROW($A5)-1,COLUMN(AP$1))))</f>
        <v>#REF!</v>
      </c>
      <c r="AQ4" s="47" t="e">
        <f ca="1">IF(INDIRECT("beschriftung.!"&amp;ADDRESS(#REF!*12+ROW($A5)-1,COLUMN(AQ$1)))="","",INDIRECT("beschriftung.!"&amp;ADDRESS(#REF!*12+ROW($A5)-1,COLUMN(AQ$1))))</f>
        <v>#REF!</v>
      </c>
      <c r="AR4" s="47" t="e">
        <f ca="1">IF(INDIRECT("beschriftung.!"&amp;ADDRESS(#REF!*12+ROW($A5)-1,COLUMN(AR$1)))="","",INDIRECT("beschriftung.!"&amp;ADDRESS(#REF!*12+ROW($A5)-1,COLUMN(AR$1))))</f>
        <v>#REF!</v>
      </c>
      <c r="AS4" s="47" t="e">
        <f ca="1">IF(INDIRECT("beschriftung.!"&amp;ADDRESS(#REF!*12+ROW($A5)-1,COLUMN(AS$1)))="","",INDIRECT("beschriftung.!"&amp;ADDRESS(#REF!*12+ROW($A5)-1,COLUMN(AS$1))))</f>
        <v>#REF!</v>
      </c>
      <c r="AT4" s="47" t="e">
        <f ca="1">IF(INDIRECT("beschriftung.!"&amp;ADDRESS(#REF!*12+ROW($A5)-1,COLUMN(AT$1)))="","",INDIRECT("beschriftung.!"&amp;ADDRESS(#REF!*12+ROW($A5)-1,COLUMN(AT$1))))</f>
        <v>#REF!</v>
      </c>
      <c r="AU4" s="47" t="e">
        <f ca="1">IF(INDIRECT("beschriftung.!"&amp;ADDRESS(#REF!*12+ROW($A5)-1,COLUMN(AU$1)))="","",INDIRECT("beschriftung.!"&amp;ADDRESS(#REF!*12+ROW($A5)-1,COLUMN(AU$1))))</f>
        <v>#REF!</v>
      </c>
      <c r="AV4" s="47" t="e">
        <f ca="1">IF(INDIRECT("beschriftung.!"&amp;ADDRESS(#REF!*12+ROW($A5)-1,COLUMN(AV$1)))="","",INDIRECT("beschriftung.!"&amp;ADDRESS(#REF!*12+ROW($A5)-1,COLUMN(AV$1))))</f>
        <v>#REF!</v>
      </c>
      <c r="AW4" s="47"/>
      <c r="AX4" s="47"/>
      <c r="AY4" s="47" t="e">
        <f ca="1">IF(INDIRECT("beschriftung.!"&amp;ADDRESS(#REF!*12+ROW($A5)-1,COLUMN(AY$1)))="","",INDIRECT("beschriftung.!"&amp;ADDRESS(#REF!*12+ROW($A5)-1,COLUMN(AY$1))))</f>
        <v>#REF!</v>
      </c>
      <c r="AZ4" s="47" t="e">
        <f ca="1">IF(INDIRECT("beschriftung.!"&amp;ADDRESS(#REF!*12+ROW($A5)-1,COLUMN(AZ$1)))="","",INDIRECT("beschriftung.!"&amp;ADDRESS(#REF!*12+ROW($A5)-1,COLUMN(AZ$1))))</f>
        <v>#REF!</v>
      </c>
      <c r="BA4" s="47" t="e">
        <f ca="1">IF(INDIRECT("beschriftung.!"&amp;ADDRESS(#REF!*12+ROW($A5)-1,COLUMN(BA$1)))="","",INDIRECT("beschriftung.!"&amp;ADDRESS(#REF!*12+ROW($A5)-1,COLUMN(BA$1))))</f>
        <v>#REF!</v>
      </c>
      <c r="BB4" s="47" t="e">
        <f ca="1">IF(INDIRECT("beschriftung.!"&amp;ADDRESS(#REF!*12+ROW($A5)-1,COLUMN(BB$1)))="","",INDIRECT("beschriftung.!"&amp;ADDRESS(#REF!*12+ROW($A5)-1,COLUMN(BB$1))))</f>
        <v>#REF!</v>
      </c>
      <c r="BC4" s="47" t="e">
        <f ca="1">IF(INDIRECT("beschriftung.!"&amp;ADDRESS(#REF!*12+ROW($A5)-1,COLUMN(BC$1)))="","",INDIRECT("beschriftung.!"&amp;ADDRESS(#REF!*12+ROW($A5)-1,COLUMN(BC$1))))</f>
        <v>#REF!</v>
      </c>
      <c r="BD4" s="47" t="e">
        <f ca="1">IF(INDIRECT("beschriftung.!"&amp;ADDRESS(#REF!*12+ROW($A5)-1,COLUMN(BD$1)))="","",INDIRECT("beschriftung.!"&amp;ADDRESS(#REF!*12+ROW($A5)-1,COLUMN(BD$1))))</f>
        <v>#REF!</v>
      </c>
      <c r="BE4" s="47" t="e">
        <f ca="1">IF(INDIRECT("beschriftung.!"&amp;ADDRESS(#REF!*12+ROW($A5)-1,COLUMN(BE$1)))="","",INDIRECT("beschriftung.!"&amp;ADDRESS(#REF!*12+ROW($A5)-1,COLUMN(BE$1))))</f>
        <v>#REF!</v>
      </c>
      <c r="BF4" s="48" t="e">
        <f ca="1">IF(INDIRECT("beschriftung.!"&amp;ADDRESS(#REF!*12+ROW($A5)-1,COLUMN(BF$1)))="","",INDIRECT("beschriftung.!"&amp;ADDRESS(#REF!*12+ROW($A5)-1,COLUMN(BF$1))))</f>
        <v>#REF!</v>
      </c>
    </row>
    <row r="5" spans="1:60" ht="11.25" customHeight="1" x14ac:dyDescent="0.15">
      <c r="A5" s="5"/>
      <c r="C5" s="65"/>
      <c r="D5" s="66"/>
      <c r="E5" s="49" t="str">
        <f ca="1">INDIRECT("beschriftung!"&amp;ADDRESS(beschriftung!$C$1*12+ROW(beschriftung!$A6)-1,COLUMN(beschriftung!D$1)))</f>
        <v>Gross value added before adjustments</v>
      </c>
      <c r="F5" s="47" t="e">
        <f ca="1">IF(INDIRECT("beschriftung.!"&amp;ADDRESS(#REF!*12+ROW($A6)-1,COLUMN(F$1)))="","",INDIRECT("beschriftung.!"&amp;ADDRESS(#REF!*12+ROW($A6)-1,COLUMN(F$1))))</f>
        <v>#REF!</v>
      </c>
      <c r="G5" s="47" t="e">
        <f ca="1">IF(INDIRECT("beschriftung.!"&amp;ADDRESS(#REF!*12+ROW($A6)-1,COLUMN(G$1)))="","",INDIRECT("beschriftung.!"&amp;ADDRESS(#REF!*12+ROW($A6)-1,COLUMN(G$1))))</f>
        <v>#REF!</v>
      </c>
      <c r="H5" s="47" t="e">
        <f ca="1">IF(INDIRECT("beschriftung.!"&amp;ADDRESS(#REF!*12+ROW($A6)-1,COLUMN(H$1)))="","",INDIRECT("beschriftung.!"&amp;ADDRESS(#REF!*12+ROW($A6)-1,COLUMN(H$1))))</f>
        <v>#REF!</v>
      </c>
      <c r="I5" s="47" t="e">
        <f ca="1">IF(INDIRECT("beschriftung.!"&amp;ADDRESS(#REF!*12+ROW($A6)-1,COLUMN(I$1)))="","",INDIRECT("beschriftung.!"&amp;ADDRESS(#REF!*12+ROW($A6)-1,COLUMN(I$1))))</f>
        <v>#REF!</v>
      </c>
      <c r="J5" s="47" t="e">
        <f ca="1">IF(INDIRECT("beschriftung.!"&amp;ADDRESS(#REF!*12+ROW($A6)-1,COLUMN(J$1)))="","",INDIRECT("beschriftung.!"&amp;ADDRESS(#REF!*12+ROW($A6)-1,COLUMN(J$1))))</f>
        <v>#REF!</v>
      </c>
      <c r="K5" s="47" t="e">
        <f ca="1">IF(INDIRECT("beschriftung.!"&amp;ADDRESS(#REF!*12+ROW($A6)-1,COLUMN(K$1)))="","",INDIRECT("beschriftung.!"&amp;ADDRESS(#REF!*12+ROW($A6)-1,COLUMN(K$1))))</f>
        <v>#REF!</v>
      </c>
      <c r="L5" s="47" t="e">
        <f ca="1">IF(INDIRECT("beschriftung.!"&amp;ADDRESS(#REF!*12+ROW($A6)-1,COLUMN(L$1)))="","",INDIRECT("beschriftung.!"&amp;ADDRESS(#REF!*12+ROW($A6)-1,COLUMN(L$1))))</f>
        <v>#REF!</v>
      </c>
      <c r="M5" s="47"/>
      <c r="N5" s="47"/>
      <c r="O5" s="47"/>
      <c r="P5" s="47"/>
      <c r="Q5" s="47" t="e">
        <f ca="1">IF(INDIRECT("beschriftung.!"&amp;ADDRESS(#REF!*12+ROW($A6)-1,COLUMN(Q$1)))="","",INDIRECT("beschriftung.!"&amp;ADDRESS(#REF!*12+ROW($A6)-1,COLUMN(Q$1))))</f>
        <v>#REF!</v>
      </c>
      <c r="R5" s="47" t="e">
        <f ca="1">IF(INDIRECT("beschriftung.!"&amp;ADDRESS(#REF!*12+ROW($A6)-1,COLUMN(R$1)))="","",INDIRECT("beschriftung.!"&amp;ADDRESS(#REF!*12+ROW($A6)-1,COLUMN(R$1))))</f>
        <v>#REF!</v>
      </c>
      <c r="S5" s="47"/>
      <c r="T5" s="47"/>
      <c r="U5" s="47" t="e">
        <f ca="1">IF(INDIRECT("beschriftung.!"&amp;ADDRESS(#REF!*12+ROW($A6)-1,COLUMN(U$1)))="","",INDIRECT("beschriftung.!"&amp;ADDRESS(#REF!*12+ROW($A6)-1,COLUMN(U$1))))</f>
        <v>#REF!</v>
      </c>
      <c r="V5" s="47" t="e">
        <f ca="1">IF(INDIRECT("beschriftung.!"&amp;ADDRESS(#REF!*12+ROW($A6)-1,COLUMN(V$1)))="","",INDIRECT("beschriftung.!"&amp;ADDRESS(#REF!*12+ROW($A6)-1,COLUMN(V$1))))</f>
        <v>#REF!</v>
      </c>
      <c r="W5" s="47" t="e">
        <f ca="1">IF(INDIRECT("beschriftung.!"&amp;ADDRESS(#REF!*12+ROW($A6)-1,COLUMN(W$1)))="","",INDIRECT("beschriftung.!"&amp;ADDRESS(#REF!*12+ROW($A6)-1,COLUMN(W$1))))</f>
        <v>#REF!</v>
      </c>
      <c r="X5" s="47" t="e">
        <f ca="1">IF(INDIRECT("beschriftung.!"&amp;ADDRESS(#REF!*12+ROW($A6)-1,COLUMN(X$1)))="","",INDIRECT("beschriftung.!"&amp;ADDRESS(#REF!*12+ROW($A6)-1,COLUMN(X$1))))</f>
        <v>#REF!</v>
      </c>
      <c r="Y5" s="47"/>
      <c r="Z5" s="47"/>
      <c r="AA5" s="47" t="e">
        <f ca="1">IF(INDIRECT("beschriftung.!"&amp;ADDRESS(#REF!*12+ROW($A6)-1,COLUMN(AA$1)))="","",INDIRECT("beschriftung.!"&amp;ADDRESS(#REF!*12+ROW($A6)-1,COLUMN(AA$1))))</f>
        <v>#REF!</v>
      </c>
      <c r="AB5" s="47" t="e">
        <f ca="1">IF(INDIRECT("beschriftung.!"&amp;ADDRESS(#REF!*12+ROW($A6)-1,COLUMN(AB$1)))="","",INDIRECT("beschriftung.!"&amp;ADDRESS(#REF!*12+ROW($A6)-1,COLUMN(AB$1))))</f>
        <v>#REF!</v>
      </c>
      <c r="AC5" s="47"/>
      <c r="AD5" s="47"/>
      <c r="AE5" s="47"/>
      <c r="AF5" s="47"/>
      <c r="AG5" s="47" t="e">
        <f ca="1">IF(INDIRECT("beschriftung.!"&amp;ADDRESS(#REF!*12+ROW($A6)-1,COLUMN(AG$1)))="","",INDIRECT("beschriftung.!"&amp;ADDRESS(#REF!*12+ROW($A6)-1,COLUMN(AG$1))))</f>
        <v>#REF!</v>
      </c>
      <c r="AH5" s="47" t="e">
        <f ca="1">IF(INDIRECT("beschriftung.!"&amp;ADDRESS(#REF!*12+ROW($A6)-1,COLUMN(AH$1)))="","",INDIRECT("beschriftung.!"&amp;ADDRESS(#REF!*12+ROW($A6)-1,COLUMN(AH$1))))</f>
        <v>#REF!</v>
      </c>
      <c r="AI5" s="47" t="e">
        <f ca="1">IF(INDIRECT("beschriftung.!"&amp;ADDRESS(#REF!*12+ROW($A6)-1,COLUMN(AI$1)))="","",INDIRECT("beschriftung.!"&amp;ADDRESS(#REF!*12+ROW($A6)-1,COLUMN(AI$1))))</f>
        <v>#REF!</v>
      </c>
      <c r="AJ5" s="47" t="e">
        <f ca="1">IF(INDIRECT("beschriftung.!"&amp;ADDRESS(#REF!*12+ROW($A6)-1,COLUMN(AJ$1)))="","",INDIRECT("beschriftung.!"&amp;ADDRESS(#REF!*12+ROW($A6)-1,COLUMN(AJ$1))))</f>
        <v>#REF!</v>
      </c>
      <c r="AK5" s="47"/>
      <c r="AL5" s="47"/>
      <c r="AM5" s="47" t="e">
        <f ca="1">IF(INDIRECT("beschriftung.!"&amp;ADDRESS(#REF!*12+ROW($A6)-1,COLUMN(AM$1)))="","",INDIRECT("beschriftung.!"&amp;ADDRESS(#REF!*12+ROW($A6)-1,COLUMN(AM$1))))</f>
        <v>#REF!</v>
      </c>
      <c r="AN5" s="47" t="e">
        <f ca="1">IF(INDIRECT("beschriftung.!"&amp;ADDRESS(#REF!*12+ROW($A6)-1,COLUMN(AN$1)))="","",INDIRECT("beschriftung.!"&amp;ADDRESS(#REF!*12+ROW($A6)-1,COLUMN(AN$1))))</f>
        <v>#REF!</v>
      </c>
      <c r="AO5" s="47" t="e">
        <f ca="1">IF(INDIRECT("beschriftung.!"&amp;ADDRESS(#REF!*12+ROW($A6)-1,COLUMN(AO$1)))="","",INDIRECT("beschriftung.!"&amp;ADDRESS(#REF!*12+ROW($A6)-1,COLUMN(AO$1))))</f>
        <v>#REF!</v>
      </c>
      <c r="AP5" s="47" t="e">
        <f ca="1">IF(INDIRECT("beschriftung.!"&amp;ADDRESS(#REF!*12+ROW($A6)-1,COLUMN(AP$1)))="","",INDIRECT("beschriftung.!"&amp;ADDRESS(#REF!*12+ROW($A6)-1,COLUMN(AP$1))))</f>
        <v>#REF!</v>
      </c>
      <c r="AQ5" s="47" t="e">
        <f ca="1">IF(INDIRECT("beschriftung.!"&amp;ADDRESS(#REF!*12+ROW($A6)-1,COLUMN(AQ$1)))="","",INDIRECT("beschriftung.!"&amp;ADDRESS(#REF!*12+ROW($A6)-1,COLUMN(AQ$1))))</f>
        <v>#REF!</v>
      </c>
      <c r="AR5" s="47" t="e">
        <f ca="1">IF(INDIRECT("beschriftung.!"&amp;ADDRESS(#REF!*12+ROW($A6)-1,COLUMN(AR$1)))="","",INDIRECT("beschriftung.!"&amp;ADDRESS(#REF!*12+ROW($A6)-1,COLUMN(AR$1))))</f>
        <v>#REF!</v>
      </c>
      <c r="AS5" s="47" t="e">
        <f ca="1">IF(INDIRECT("beschriftung.!"&amp;ADDRESS(#REF!*12+ROW($A6)-1,COLUMN(AS$1)))="","",INDIRECT("beschriftung.!"&amp;ADDRESS(#REF!*12+ROW($A6)-1,COLUMN(AS$1))))</f>
        <v>#REF!</v>
      </c>
      <c r="AT5" s="47" t="e">
        <f ca="1">IF(INDIRECT("beschriftung.!"&amp;ADDRESS(#REF!*12+ROW($A6)-1,COLUMN(AT$1)))="","",INDIRECT("beschriftung.!"&amp;ADDRESS(#REF!*12+ROW($A6)-1,COLUMN(AT$1))))</f>
        <v>#REF!</v>
      </c>
      <c r="AU5" s="47" t="e">
        <f ca="1">IF(INDIRECT("beschriftung.!"&amp;ADDRESS(#REF!*12+ROW($A6)-1,COLUMN(AU$1)))="","",INDIRECT("beschriftung.!"&amp;ADDRESS(#REF!*12+ROW($A6)-1,COLUMN(AU$1))))</f>
        <v>#REF!</v>
      </c>
      <c r="AV5" s="47" t="e">
        <f ca="1">IF(INDIRECT("beschriftung.!"&amp;ADDRESS(#REF!*12+ROW($A6)-1,COLUMN(AV$1)))="","",INDIRECT("beschriftung.!"&amp;ADDRESS(#REF!*12+ROW($A6)-1,COLUMN(AV$1))))</f>
        <v>#REF!</v>
      </c>
      <c r="AW5" s="47"/>
      <c r="AX5" s="47"/>
      <c r="AY5" s="47" t="e">
        <f ca="1">IF(INDIRECT("beschriftung.!"&amp;ADDRESS(#REF!*12+ROW($A6)-1,COLUMN(AY$1)))="","",INDIRECT("beschriftung.!"&amp;ADDRESS(#REF!*12+ROW($A6)-1,COLUMN(AY$1))))</f>
        <v>#REF!</v>
      </c>
      <c r="AZ5" s="50" t="e">
        <f ca="1">IF(INDIRECT("beschriftung.!"&amp;ADDRESS(#REF!*12+ROW($A6)-1,COLUMN(AZ$1)))="","",INDIRECT("beschriftung.!"&amp;ADDRESS(#REF!*12+ROW($A6)-1,COLUMN(AZ$1))))</f>
        <v>#REF!</v>
      </c>
      <c r="BA5" s="49" t="str">
        <f ca="1">INDIRECT("beschriftung!"&amp;ADDRESS(beschriftung!$C$1*12+ROW(beschriftung!$A6)-1,COLUMN(beschriftung!AS$1)))</f>
        <v>Adjustments</v>
      </c>
      <c r="BB5" s="47" t="e">
        <f ca="1">IF(INDIRECT("beschriftung.!"&amp;ADDRESS(#REF!*12+ROW($A6)-1,COLUMN(BB$1)))="","",INDIRECT("beschriftung.!"&amp;ADDRESS(#REF!*12+ROW($A6)-1,COLUMN(BB$1))))</f>
        <v>#REF!</v>
      </c>
      <c r="BC5" s="47" t="e">
        <f ca="1">IF(INDIRECT("beschriftung.!"&amp;ADDRESS(#REF!*12+ROW($A6)-1,COLUMN(BC$1)))="","",INDIRECT("beschriftung.!"&amp;ADDRESS(#REF!*12+ROW($A6)-1,COLUMN(BC$1))))</f>
        <v>#REF!</v>
      </c>
      <c r="BD5" s="47" t="e">
        <f ca="1">IF(INDIRECT("beschriftung.!"&amp;ADDRESS(#REF!*12+ROW($A6)-1,COLUMN(BD$1)))="","",INDIRECT("beschriftung.!"&amp;ADDRESS(#REF!*12+ROW($A6)-1,COLUMN(BD$1))))</f>
        <v>#REF!</v>
      </c>
      <c r="BE5" s="47" t="e">
        <f ca="1">IF(INDIRECT("beschriftung.!"&amp;ADDRESS(#REF!*12+ROW($A6)-1,COLUMN(BE$1)))="","",INDIRECT("beschriftung.!"&amp;ADDRESS(#REF!*12+ROW($A6)-1,COLUMN(BE$1))))</f>
        <v>#REF!</v>
      </c>
      <c r="BF5" s="50" t="e">
        <f ca="1">IF(INDIRECT("beschriftung.!"&amp;ADDRESS(#REF!*12+ROW($A6)-1,COLUMN(BF$1)))="","",INDIRECT("beschriftung.!"&amp;ADDRESS(#REF!*12+ROW($A6)-1,COLUMN(BF$1))))</f>
        <v>#REF!</v>
      </c>
    </row>
    <row r="6" spans="1:60" ht="11.25" customHeight="1" x14ac:dyDescent="0.15">
      <c r="A6" s="5"/>
      <c r="C6" s="67"/>
      <c r="D6" s="55"/>
      <c r="E6" s="60" t="s">
        <v>3</v>
      </c>
      <c r="F6" s="29"/>
      <c r="G6" s="36" t="str">
        <f ca="1">INDIRECT("beschriftung!"&amp;ADDRESS(beschriftung!$C$1*12+ROW(beschriftung!$A7)-1,COLUMN(beschriftung!E$1)))</f>
        <v xml:space="preserve">Agriculture, forestry and fishing </v>
      </c>
      <c r="H6" s="36"/>
      <c r="I6" s="36" t="str">
        <f ca="1">INDIRECT("beschriftung!"&amp;ADDRESS(beschriftung!$C$1*12+ROW(beschriftung!$A7)-1,COLUMN(beschriftung!G$1)))</f>
        <v>Mining and quarrying</v>
      </c>
      <c r="J6" s="36"/>
      <c r="K6" s="36" t="str">
        <f ca="1">INDIRECT("beschriftung!"&amp;ADDRESS(beschriftung!$C$1*12+ROW(beschriftung!$A7)-1,COLUMN(beschriftung!I$1)))</f>
        <v>Manufacturing</v>
      </c>
      <c r="L6" s="37"/>
      <c r="M6" s="42"/>
      <c r="N6" s="42"/>
      <c r="O6" s="42"/>
      <c r="P6" s="43"/>
      <c r="Q6" s="41" t="str">
        <f ca="1">INDIRECT("beschriftung!"&amp;ADDRESS(beschriftung!$C$1*12+ROW(beschriftung!$A7)-1,COLUMN(beschriftung!M$1)))</f>
        <v>Electricity, gas, steam and air conditioning supply</v>
      </c>
      <c r="R6" s="36"/>
      <c r="S6" s="36" t="str">
        <f ca="1">INDIRECT("beschriftung!"&amp;ADDRESS(beschriftung!$C$1*12+ROW(beschriftung!$A7)-1,COLUMN(beschriftung!O$1)))</f>
        <v>Water supply, sewerage, waste management and remediation activities</v>
      </c>
      <c r="T6" s="36"/>
      <c r="U6" s="36" t="str">
        <f ca="1">INDIRECT("beschriftung!"&amp;ADDRESS(beschriftung!$C$1*12+ROW(beschriftung!$A7)-1,COLUMN(beschriftung!Q$1)))</f>
        <v>Construction</v>
      </c>
      <c r="V6" s="36"/>
      <c r="W6" s="36" t="str">
        <f ca="1">INDIRECT("beschriftung!"&amp;ADDRESS(beschriftung!$C$1*12+ROW(beschriftung!$A7)-1,COLUMN(beschriftung!S$1)))</f>
        <v>Trade, repair of motor vehicles and motorcycles</v>
      </c>
      <c r="X6" s="37"/>
      <c r="Y6" s="51"/>
      <c r="Z6" s="52"/>
      <c r="AA6" s="36" t="str">
        <f ca="1">INDIRECT("beschriftung!"&amp;ADDRESS(beschriftung!$C$1*12+ROW(beschriftung!$A7)-1,COLUMN(beschriftung!W$1)))</f>
        <v>Transportation and storage</v>
      </c>
      <c r="AB6" s="36"/>
      <c r="AC6" s="36" t="str">
        <f ca="1">INDIRECT("beschriftung!"&amp;ADDRESS(beschriftung!$C$1*12+ROW(beschriftung!$A7)-1,COLUMN(beschriftung!Y$1)))</f>
        <v>Accommodation and food service activities</v>
      </c>
      <c r="AD6" s="36"/>
      <c r="AE6" s="37" t="str">
        <f ca="1">INDIRECT("beschriftung!"&amp;ADDRESS(beschriftung!$C$1*12+ROW(beschriftung!$A7)-1,COLUMN(beschriftung!X$1)))</f>
        <v>Information and communication</v>
      </c>
      <c r="AF6" s="41"/>
      <c r="AG6" s="36" t="str">
        <f ca="1">INDIRECT("beschriftung!"&amp;ADDRESS(beschriftung!$C$1*12+ROW(beschriftung!$A7)-1,COLUMN(beschriftung!AA$1)))</f>
        <v>Financial and insurance activities</v>
      </c>
      <c r="AH6" s="37"/>
      <c r="AI6" s="22"/>
      <c r="AJ6" s="22"/>
      <c r="AK6" s="22"/>
      <c r="AL6" s="23"/>
      <c r="AM6" s="41" t="str">
        <f ca="1">INDIRECT("beschriftung!"&amp;ADDRESS(beschriftung!$C$1*12+ROW(beschriftung!$A7)-1,COLUMN(beschriftung!AE$1)))</f>
        <v>Real estate, professional, scientific, technical activities and administrative services</v>
      </c>
      <c r="AN6" s="36"/>
      <c r="AO6" s="36" t="str">
        <f ca="1">INDIRECT("beschriftung!"&amp;ADDRESS(beschriftung!$C$1*12+ROW(beschriftung!$A7)-1,COLUMN(beschriftung!AG$1)))</f>
        <v>Public administration</v>
      </c>
      <c r="AP6" s="36"/>
      <c r="AQ6" s="36" t="str">
        <f ca="1">INDIRECT("beschriftung!"&amp;ADDRESS(beschriftung!$C$1*12+ROW(beschriftung!$A7)-1,COLUMN(beschriftung!AI$1)))</f>
        <v>Education</v>
      </c>
      <c r="AR6" s="36"/>
      <c r="AS6" s="36" t="str">
        <f ca="1">INDIRECT("beschriftung!"&amp;ADDRESS(beschriftung!$C$1*12+ROW(beschriftung!$A7)-1,COLUMN(beschriftung!AK$1)))</f>
        <v>Human health and social work activities</v>
      </c>
      <c r="AT6" s="36"/>
      <c r="AU6" s="36" t="str">
        <f ca="1">INDIRECT("beschriftung!"&amp;ADDRESS(beschriftung!$C$1*12+ROW(beschriftung!$A7)-1,COLUMN(beschriftung!AM$1)))</f>
        <v xml:space="preserve">Arts, entertainment and recreation </v>
      </c>
      <c r="AV6" s="36"/>
      <c r="AW6" s="36" t="str">
        <f ca="1">INDIRECT("beschriftung!"&amp;ADDRESS(beschriftung!$C$1*12+ROW(beschriftung!$A7)-1,COLUMN(beschriftung!AO$1)))</f>
        <v>Other service activities</v>
      </c>
      <c r="AX6" s="36"/>
      <c r="AY6" s="36" t="str">
        <f ca="1">INDIRECT("beschriftung!"&amp;ADDRESS(beschriftung!$C$1*12+ROW(beschriftung!$A7)-1,COLUMN(beschriftung!AQ$1)))</f>
        <v>Activities of housholds as employers and producers for own use</v>
      </c>
      <c r="AZ6" s="36"/>
      <c r="BA6" s="55"/>
      <c r="BB6" s="55"/>
      <c r="BC6" s="36" t="str">
        <f ca="1">INDIRECT("beschriftung!"&amp;ADDRESS(beschriftung!$C$1*12+ROW(beschriftung!$A7)-1,COLUMN(beschriftung!AU$1)))</f>
        <v>Taxes on products</v>
      </c>
      <c r="BD6" s="36"/>
      <c r="BE6" s="36" t="str">
        <f ca="1">INDIRECT("beschriftung!"&amp;ADDRESS(beschriftung!$C$1*12+ROW(beschriftung!$A7)-1,COLUMN(beschriftung!AW$1)))</f>
        <v>Subsidies on products</v>
      </c>
      <c r="BF6" s="36"/>
    </row>
    <row r="7" spans="1:60" ht="11.25" customHeight="1" x14ac:dyDescent="0.15">
      <c r="A7" s="8"/>
      <c r="B7" s="8"/>
      <c r="C7" s="67"/>
      <c r="D7" s="55"/>
      <c r="E7" s="60"/>
      <c r="F7" s="29"/>
      <c r="G7" s="38"/>
      <c r="H7" s="38"/>
      <c r="I7" s="38"/>
      <c r="J7" s="38"/>
      <c r="K7" s="38"/>
      <c r="L7" s="28"/>
      <c r="M7" s="44"/>
      <c r="N7" s="44"/>
      <c r="O7" s="44"/>
      <c r="P7" s="45"/>
      <c r="Q7" s="29"/>
      <c r="R7" s="38"/>
      <c r="S7" s="38"/>
      <c r="T7" s="38"/>
      <c r="U7" s="38"/>
      <c r="V7" s="38"/>
      <c r="W7" s="38"/>
      <c r="X7" s="28"/>
      <c r="Y7" s="53"/>
      <c r="Z7" s="54"/>
      <c r="AA7" s="38"/>
      <c r="AB7" s="38"/>
      <c r="AC7" s="38"/>
      <c r="AD7" s="38"/>
      <c r="AE7" s="28"/>
      <c r="AF7" s="29"/>
      <c r="AG7" s="38"/>
      <c r="AH7" s="28"/>
      <c r="AI7" s="24"/>
      <c r="AJ7" s="24"/>
      <c r="AK7" s="24"/>
      <c r="AL7" s="25"/>
      <c r="AM7" s="29"/>
      <c r="AN7" s="38"/>
      <c r="AO7" s="38"/>
      <c r="AP7" s="38"/>
      <c r="AQ7" s="38"/>
      <c r="AR7" s="38"/>
      <c r="AS7" s="38"/>
      <c r="AT7" s="38"/>
      <c r="AU7" s="38"/>
      <c r="AV7" s="38"/>
      <c r="AW7" s="38"/>
      <c r="AX7" s="38"/>
      <c r="AY7" s="38"/>
      <c r="AZ7" s="38"/>
      <c r="BA7" s="55"/>
      <c r="BB7" s="55"/>
      <c r="BC7" s="38"/>
      <c r="BD7" s="38"/>
      <c r="BE7" s="38"/>
      <c r="BF7" s="38"/>
    </row>
    <row r="8" spans="1:60" ht="11.25" customHeight="1" x14ac:dyDescent="0.15">
      <c r="A8" s="2"/>
      <c r="B8" s="2"/>
      <c r="C8" s="67"/>
      <c r="D8" s="55"/>
      <c r="E8" s="61"/>
      <c r="F8" s="62"/>
      <c r="G8" s="39"/>
      <c r="H8" s="39"/>
      <c r="I8" s="39"/>
      <c r="J8" s="39"/>
      <c r="K8" s="39"/>
      <c r="L8" s="39"/>
      <c r="M8" s="28" t="str">
        <f ca="1">INDIRECT("beschriftung!"&amp;ADDRESS(beschriftung!$C$1*12+ROW(beschriftung!$A7),COLUMN(beschriftung!J$1)))</f>
        <v>thereof chemicals and pharmaceuticals</v>
      </c>
      <c r="N8" s="29"/>
      <c r="O8" s="28" t="str">
        <f ca="1">INDIRECT("beschriftung!"&amp;ADDRESS(beschriftung!$C$1*12+ROW(beschriftung!$A7),COLUMN(beschriftung!K$1)))</f>
        <v xml:space="preserve">thereof other manufacturing </v>
      </c>
      <c r="P8" s="29"/>
      <c r="Q8" s="39"/>
      <c r="R8" s="39"/>
      <c r="S8" s="39"/>
      <c r="T8" s="39"/>
      <c r="U8" s="39"/>
      <c r="V8" s="39"/>
      <c r="W8" s="39"/>
      <c r="X8" s="39"/>
      <c r="Y8" s="28" t="str">
        <f ca="1">INDIRECT("beschriftung!"&amp;ADDRESS(beschriftung!$C$1*12+ROW(beschriftung!$A7),COLUMN(beschriftung!U$1)))</f>
        <v>thereof retail trade</v>
      </c>
      <c r="Z8" s="29"/>
      <c r="AA8" s="39"/>
      <c r="AB8" s="39"/>
      <c r="AC8" s="39"/>
      <c r="AD8" s="39"/>
      <c r="AE8" s="28"/>
      <c r="AF8" s="29"/>
      <c r="AG8" s="39"/>
      <c r="AH8" s="39"/>
      <c r="AI8" s="28" t="str">
        <f ca="1">INDIRECT("beschriftung!"&amp;ADDRESS(beschriftung!$C$1*12+ROW(beschriftung!$A7),COLUMN(beschriftung!AB$1)))</f>
        <v>thereof financial activities</v>
      </c>
      <c r="AJ8" s="29"/>
      <c r="AK8" s="28" t="str">
        <f ca="1">INDIRECT("beschriftung!"&amp;ADDRESS(beschriftung!$C$1*12+ROW(beschriftung!$A7),COLUMN(beschriftung!AC$1)))</f>
        <v>thereof insurance activities</v>
      </c>
      <c r="AL8" s="29"/>
      <c r="AM8" s="39"/>
      <c r="AN8" s="39"/>
      <c r="AO8" s="39"/>
      <c r="AP8" s="39"/>
      <c r="AQ8" s="39"/>
      <c r="AR8" s="39"/>
      <c r="AS8" s="39"/>
      <c r="AT8" s="39"/>
      <c r="AU8" s="39"/>
      <c r="AV8" s="39"/>
      <c r="AW8" s="39"/>
      <c r="AX8" s="39"/>
      <c r="AY8" s="39"/>
      <c r="AZ8" s="39"/>
      <c r="BA8" s="55"/>
      <c r="BB8" s="55"/>
      <c r="BC8" s="39"/>
      <c r="BD8" s="39"/>
      <c r="BE8" s="39"/>
      <c r="BF8" s="39"/>
    </row>
    <row r="9" spans="1:60" ht="11.25" customHeight="1" x14ac:dyDescent="0.15">
      <c r="A9" s="2"/>
      <c r="B9" s="2"/>
      <c r="C9" s="67"/>
      <c r="D9" s="55"/>
      <c r="E9" s="61"/>
      <c r="F9" s="62"/>
      <c r="G9" s="39"/>
      <c r="H9" s="39"/>
      <c r="I9" s="39"/>
      <c r="J9" s="39"/>
      <c r="K9" s="39"/>
      <c r="L9" s="39"/>
      <c r="M9" s="28"/>
      <c r="N9" s="29"/>
      <c r="O9" s="28"/>
      <c r="P9" s="29"/>
      <c r="Q9" s="39"/>
      <c r="R9" s="39"/>
      <c r="S9" s="39"/>
      <c r="T9" s="39"/>
      <c r="U9" s="39"/>
      <c r="V9" s="39"/>
      <c r="W9" s="39"/>
      <c r="X9" s="39"/>
      <c r="Y9" s="28"/>
      <c r="Z9" s="29"/>
      <c r="AA9" s="39"/>
      <c r="AB9" s="39"/>
      <c r="AC9" s="39"/>
      <c r="AD9" s="39"/>
      <c r="AE9" s="28"/>
      <c r="AF9" s="29"/>
      <c r="AG9" s="39"/>
      <c r="AH9" s="39"/>
      <c r="AI9" s="28"/>
      <c r="AJ9" s="29"/>
      <c r="AK9" s="28"/>
      <c r="AL9" s="29"/>
      <c r="AM9" s="39"/>
      <c r="AN9" s="39"/>
      <c r="AO9" s="39"/>
      <c r="AP9" s="39"/>
      <c r="AQ9" s="39"/>
      <c r="AR9" s="39"/>
      <c r="AS9" s="39"/>
      <c r="AT9" s="39"/>
      <c r="AU9" s="39"/>
      <c r="AV9" s="39"/>
      <c r="AW9" s="39"/>
      <c r="AX9" s="39"/>
      <c r="AY9" s="39"/>
      <c r="AZ9" s="39"/>
      <c r="BA9" s="55"/>
      <c r="BB9" s="55"/>
      <c r="BC9" s="39"/>
      <c r="BD9" s="39"/>
      <c r="BE9" s="39"/>
      <c r="BF9" s="39"/>
    </row>
    <row r="10" spans="1:60" ht="11.25" customHeight="1" x14ac:dyDescent="0.15">
      <c r="A10" s="2"/>
      <c r="B10" s="8"/>
      <c r="C10" s="68"/>
      <c r="D10" s="69"/>
      <c r="E10" s="63"/>
      <c r="F10" s="64"/>
      <c r="G10" s="40"/>
      <c r="H10" s="40"/>
      <c r="I10" s="40"/>
      <c r="J10" s="40"/>
      <c r="K10" s="40"/>
      <c r="L10" s="40"/>
      <c r="M10" s="30"/>
      <c r="N10" s="31"/>
      <c r="O10" s="30"/>
      <c r="P10" s="31"/>
      <c r="Q10" s="40"/>
      <c r="R10" s="40"/>
      <c r="S10" s="40"/>
      <c r="T10" s="40"/>
      <c r="U10" s="40"/>
      <c r="V10" s="40"/>
      <c r="W10" s="40"/>
      <c r="X10" s="40"/>
      <c r="Y10" s="30"/>
      <c r="Z10" s="31"/>
      <c r="AA10" s="40"/>
      <c r="AB10" s="40"/>
      <c r="AC10" s="40"/>
      <c r="AD10" s="40"/>
      <c r="AE10" s="30"/>
      <c r="AF10" s="31"/>
      <c r="AG10" s="40"/>
      <c r="AH10" s="40"/>
      <c r="AI10" s="30"/>
      <c r="AJ10" s="31"/>
      <c r="AK10" s="30"/>
      <c r="AL10" s="31"/>
      <c r="AM10" s="40"/>
      <c r="AN10" s="40"/>
      <c r="AO10" s="40"/>
      <c r="AP10" s="40"/>
      <c r="AQ10" s="40"/>
      <c r="AR10" s="40"/>
      <c r="AS10" s="40"/>
      <c r="AT10" s="40"/>
      <c r="AU10" s="40"/>
      <c r="AV10" s="40"/>
      <c r="AW10" s="40"/>
      <c r="AX10" s="40"/>
      <c r="AY10" s="40"/>
      <c r="AZ10" s="40"/>
      <c r="BA10" s="55"/>
      <c r="BB10" s="55"/>
      <c r="BC10" s="40"/>
      <c r="BD10" s="40"/>
      <c r="BE10" s="40"/>
      <c r="BF10" s="40"/>
    </row>
    <row r="11" spans="1:60" ht="11.25" customHeight="1" x14ac:dyDescent="0.15">
      <c r="A11" s="2"/>
      <c r="B11" s="8"/>
      <c r="C11" s="58" t="s">
        <v>201</v>
      </c>
      <c r="D11" s="59"/>
      <c r="E11" s="56" t="s">
        <v>202</v>
      </c>
      <c r="F11" s="57"/>
      <c r="G11" s="34" t="s">
        <v>113</v>
      </c>
      <c r="H11" s="35"/>
      <c r="I11" s="34" t="s">
        <v>114</v>
      </c>
      <c r="J11" s="35"/>
      <c r="K11" s="34" t="s">
        <v>115</v>
      </c>
      <c r="L11" s="35"/>
      <c r="M11" s="34" t="s">
        <v>116</v>
      </c>
      <c r="N11" s="35"/>
      <c r="O11" s="26" t="s">
        <v>195</v>
      </c>
      <c r="P11" s="27"/>
      <c r="Q11" s="34" t="s">
        <v>117</v>
      </c>
      <c r="R11" s="35"/>
      <c r="S11" s="34" t="s">
        <v>118</v>
      </c>
      <c r="T11" s="35"/>
      <c r="U11" s="34" t="s">
        <v>119</v>
      </c>
      <c r="V11" s="35"/>
      <c r="W11" s="34" t="s">
        <v>120</v>
      </c>
      <c r="X11" s="35"/>
      <c r="Y11" s="34" t="s">
        <v>121</v>
      </c>
      <c r="Z11" s="35"/>
      <c r="AA11" s="34" t="s">
        <v>196</v>
      </c>
      <c r="AB11" s="35"/>
      <c r="AC11" s="34" t="s">
        <v>122</v>
      </c>
      <c r="AD11" s="35"/>
      <c r="AE11" s="26" t="s">
        <v>197</v>
      </c>
      <c r="AF11" s="27"/>
      <c r="AG11" s="34" t="s">
        <v>198</v>
      </c>
      <c r="AH11" s="35"/>
      <c r="AI11" s="34" t="s">
        <v>123</v>
      </c>
      <c r="AJ11" s="35"/>
      <c r="AK11" s="26" t="s">
        <v>124</v>
      </c>
      <c r="AL11" s="27"/>
      <c r="AM11" s="34" t="s">
        <v>125</v>
      </c>
      <c r="AN11" s="35"/>
      <c r="AO11" s="34" t="s">
        <v>126</v>
      </c>
      <c r="AP11" s="35"/>
      <c r="AQ11" s="34" t="s">
        <v>127</v>
      </c>
      <c r="AR11" s="35"/>
      <c r="AS11" s="34" t="s">
        <v>128</v>
      </c>
      <c r="AT11" s="34"/>
      <c r="AU11" s="34" t="s">
        <v>96</v>
      </c>
      <c r="AV11" s="35"/>
      <c r="AW11" s="34" t="s">
        <v>129</v>
      </c>
      <c r="AX11" s="35"/>
      <c r="AY11" s="34" t="s">
        <v>130</v>
      </c>
      <c r="AZ11" s="35"/>
      <c r="BA11" s="10"/>
      <c r="BB11" s="11"/>
      <c r="BC11" s="32" t="s">
        <v>199</v>
      </c>
      <c r="BD11" s="33"/>
      <c r="BE11" s="32" t="s">
        <v>200</v>
      </c>
      <c r="BF11" s="33"/>
    </row>
    <row r="12" spans="1:60" x14ac:dyDescent="0.15">
      <c r="A12" s="17">
        <v>1980</v>
      </c>
      <c r="B12" s="17"/>
      <c r="C12" s="20">
        <v>56.6740605688287</v>
      </c>
      <c r="D12" s="19"/>
      <c r="E12" s="20"/>
      <c r="F12" s="19"/>
      <c r="G12" s="20"/>
      <c r="H12" s="19"/>
      <c r="I12" s="20"/>
      <c r="J12" s="19"/>
      <c r="K12" s="20"/>
      <c r="L12" s="19"/>
      <c r="M12" s="20"/>
      <c r="N12" s="19"/>
      <c r="O12" s="20"/>
      <c r="P12" s="19"/>
      <c r="Q12" s="20"/>
      <c r="R12" s="19"/>
      <c r="S12" s="20"/>
      <c r="T12" s="19"/>
      <c r="U12" s="20"/>
      <c r="V12" s="19"/>
      <c r="W12" s="20"/>
      <c r="X12" s="19"/>
      <c r="Y12" s="20"/>
      <c r="Z12" s="19"/>
      <c r="AA12" s="20"/>
      <c r="AB12" s="19"/>
      <c r="AC12" s="20"/>
      <c r="AD12" s="19"/>
      <c r="AE12" s="20"/>
      <c r="AF12" s="19"/>
      <c r="AG12" s="20"/>
      <c r="AH12" s="19"/>
      <c r="AI12" s="20"/>
      <c r="AJ12" s="19"/>
      <c r="AK12" s="20"/>
      <c r="AL12" s="19"/>
      <c r="AM12" s="20"/>
      <c r="AN12" s="19"/>
      <c r="AO12" s="20"/>
      <c r="AP12" s="19"/>
      <c r="AQ12" s="20"/>
      <c r="AR12" s="19"/>
      <c r="AS12" s="20"/>
      <c r="AT12" s="19"/>
      <c r="AU12" s="20"/>
      <c r="AV12" s="19"/>
      <c r="AW12" s="20"/>
      <c r="AX12" s="19"/>
      <c r="AY12" s="20"/>
      <c r="AZ12" s="19"/>
      <c r="BA12" s="20"/>
      <c r="BB12" s="19"/>
      <c r="BC12" s="20"/>
      <c r="BD12" s="19"/>
      <c r="BE12" s="20"/>
      <c r="BF12" s="19"/>
      <c r="BG12" s="20"/>
      <c r="BH12" s="19"/>
    </row>
    <row r="13" spans="1:60" x14ac:dyDescent="0.15">
      <c r="A13" s="17">
        <v>1981</v>
      </c>
      <c r="B13" s="17"/>
      <c r="C13" s="20">
        <v>59.904743991251401</v>
      </c>
      <c r="D13" s="19">
        <v>5.7004622396857003E-2</v>
      </c>
      <c r="E13" s="20"/>
      <c r="F13" s="19"/>
      <c r="G13" s="20"/>
      <c r="H13" s="19"/>
      <c r="I13" s="20"/>
      <c r="J13" s="19"/>
      <c r="K13" s="20"/>
      <c r="L13" s="19"/>
      <c r="M13" s="20"/>
      <c r="N13" s="19"/>
      <c r="O13" s="20"/>
      <c r="P13" s="19"/>
      <c r="Q13" s="20"/>
      <c r="R13" s="19"/>
      <c r="S13" s="20"/>
      <c r="T13" s="19"/>
      <c r="U13" s="20"/>
      <c r="V13" s="19"/>
      <c r="W13" s="20"/>
      <c r="X13" s="19"/>
      <c r="Y13" s="20"/>
      <c r="Z13" s="19"/>
      <c r="AA13" s="20"/>
      <c r="AB13" s="19"/>
      <c r="AC13" s="20"/>
      <c r="AD13" s="19"/>
      <c r="AE13" s="20"/>
      <c r="AF13" s="19"/>
      <c r="AG13" s="20"/>
      <c r="AH13" s="19"/>
      <c r="AI13" s="20"/>
      <c r="AJ13" s="19"/>
      <c r="AK13" s="20"/>
      <c r="AL13" s="19"/>
      <c r="AM13" s="20"/>
      <c r="AN13" s="19"/>
      <c r="AO13" s="20"/>
      <c r="AP13" s="19"/>
      <c r="AQ13" s="20"/>
      <c r="AR13" s="19"/>
      <c r="AS13" s="20"/>
      <c r="AT13" s="19"/>
      <c r="AU13" s="20"/>
      <c r="AV13" s="19"/>
      <c r="AW13" s="20"/>
      <c r="AX13" s="19"/>
      <c r="AY13" s="20"/>
      <c r="AZ13" s="19"/>
      <c r="BA13" s="20"/>
      <c r="BB13" s="19"/>
      <c r="BC13" s="20"/>
      <c r="BD13" s="19"/>
      <c r="BE13" s="20"/>
      <c r="BF13" s="19"/>
      <c r="BG13" s="20"/>
      <c r="BH13" s="19"/>
    </row>
    <row r="14" spans="1:60" x14ac:dyDescent="0.15">
      <c r="A14" s="17">
        <v>1982</v>
      </c>
      <c r="B14" s="17"/>
      <c r="C14" s="20">
        <v>64.295375506828805</v>
      </c>
      <c r="D14" s="19">
        <v>7.3293552781373603E-2</v>
      </c>
      <c r="E14" s="20"/>
      <c r="F14" s="19"/>
      <c r="G14" s="20"/>
      <c r="H14" s="19"/>
      <c r="I14" s="20"/>
      <c r="J14" s="19"/>
      <c r="K14" s="20"/>
      <c r="L14" s="19"/>
      <c r="M14" s="20"/>
      <c r="N14" s="19"/>
      <c r="O14" s="20"/>
      <c r="P14" s="19"/>
      <c r="Q14" s="20"/>
      <c r="R14" s="19"/>
      <c r="S14" s="20"/>
      <c r="T14" s="19"/>
      <c r="U14" s="20"/>
      <c r="V14" s="19"/>
      <c r="W14" s="20"/>
      <c r="X14" s="19"/>
      <c r="Y14" s="20"/>
      <c r="Z14" s="19"/>
      <c r="AA14" s="20"/>
      <c r="AB14" s="19"/>
      <c r="AC14" s="20"/>
      <c r="AD14" s="19"/>
      <c r="AE14" s="20"/>
      <c r="AF14" s="19"/>
      <c r="AG14" s="20"/>
      <c r="AH14" s="19"/>
      <c r="AI14" s="20"/>
      <c r="AJ14" s="19"/>
      <c r="AK14" s="20"/>
      <c r="AL14" s="19"/>
      <c r="AM14" s="20"/>
      <c r="AN14" s="19"/>
      <c r="AO14" s="20"/>
      <c r="AP14" s="19"/>
      <c r="AQ14" s="20"/>
      <c r="AR14" s="19"/>
      <c r="AS14" s="20"/>
      <c r="AT14" s="19"/>
      <c r="AU14" s="20"/>
      <c r="AV14" s="19"/>
      <c r="AW14" s="20"/>
      <c r="AX14" s="19"/>
      <c r="AY14" s="20"/>
      <c r="AZ14" s="19"/>
      <c r="BA14" s="20"/>
      <c r="BB14" s="19"/>
      <c r="BC14" s="20"/>
      <c r="BD14" s="19"/>
      <c r="BE14" s="20"/>
      <c r="BF14" s="19"/>
      <c r="BG14" s="20"/>
      <c r="BH14" s="19"/>
    </row>
    <row r="15" spans="1:60" x14ac:dyDescent="0.15">
      <c r="A15" s="17">
        <v>1983</v>
      </c>
      <c r="B15" s="17"/>
      <c r="C15" s="20">
        <v>65.824957264617794</v>
      </c>
      <c r="D15" s="19">
        <v>2.3789918726371002E-2</v>
      </c>
      <c r="E15" s="20"/>
      <c r="F15" s="19"/>
      <c r="G15" s="20"/>
      <c r="H15" s="19"/>
      <c r="I15" s="20"/>
      <c r="J15" s="19"/>
      <c r="K15" s="20"/>
      <c r="L15" s="19"/>
      <c r="M15" s="20"/>
      <c r="N15" s="19"/>
      <c r="O15" s="20"/>
      <c r="P15" s="19"/>
      <c r="Q15" s="20"/>
      <c r="R15" s="19"/>
      <c r="S15" s="20"/>
      <c r="T15" s="19"/>
      <c r="U15" s="20"/>
      <c r="V15" s="19"/>
      <c r="W15" s="20"/>
      <c r="X15" s="19"/>
      <c r="Y15" s="20"/>
      <c r="Z15" s="19"/>
      <c r="AA15" s="20"/>
      <c r="AB15" s="19"/>
      <c r="AC15" s="20"/>
      <c r="AD15" s="19"/>
      <c r="AE15" s="20"/>
      <c r="AF15" s="19"/>
      <c r="AG15" s="20"/>
      <c r="AH15" s="19"/>
      <c r="AI15" s="20"/>
      <c r="AJ15" s="19"/>
      <c r="AK15" s="20"/>
      <c r="AL15" s="19"/>
      <c r="AM15" s="20"/>
      <c r="AN15" s="19"/>
      <c r="AO15" s="20"/>
      <c r="AP15" s="19"/>
      <c r="AQ15" s="20"/>
      <c r="AR15" s="19"/>
      <c r="AS15" s="20"/>
      <c r="AT15" s="19"/>
      <c r="AU15" s="20"/>
      <c r="AV15" s="19"/>
      <c r="AW15" s="20"/>
      <c r="AX15" s="19"/>
      <c r="AY15" s="20"/>
      <c r="AZ15" s="19"/>
      <c r="BA15" s="20"/>
      <c r="BB15" s="19"/>
      <c r="BC15" s="20"/>
      <c r="BD15" s="19"/>
      <c r="BE15" s="20"/>
      <c r="BF15" s="19"/>
      <c r="BG15" s="20"/>
      <c r="BH15" s="19"/>
    </row>
    <row r="16" spans="1:60" x14ac:dyDescent="0.15">
      <c r="A16" s="17">
        <v>1984</v>
      </c>
      <c r="B16" s="17"/>
      <c r="C16" s="20">
        <v>68.275278376818903</v>
      </c>
      <c r="D16" s="19">
        <v>3.7224803691870499E-2</v>
      </c>
      <c r="E16" s="20"/>
      <c r="F16" s="19"/>
      <c r="G16" s="20"/>
      <c r="H16" s="19"/>
      <c r="I16" s="20"/>
      <c r="J16" s="19"/>
      <c r="K16" s="20"/>
      <c r="L16" s="19"/>
      <c r="M16" s="20"/>
      <c r="N16" s="19"/>
      <c r="O16" s="20"/>
      <c r="P16" s="19"/>
      <c r="Q16" s="20"/>
      <c r="R16" s="19"/>
      <c r="S16" s="20"/>
      <c r="T16" s="19"/>
      <c r="U16" s="20"/>
      <c r="V16" s="19"/>
      <c r="W16" s="20"/>
      <c r="X16" s="19"/>
      <c r="Y16" s="20"/>
      <c r="Z16" s="19"/>
      <c r="AA16" s="20"/>
      <c r="AB16" s="19"/>
      <c r="AC16" s="20"/>
      <c r="AD16" s="19"/>
      <c r="AE16" s="20"/>
      <c r="AF16" s="19"/>
      <c r="AG16" s="20"/>
      <c r="AH16" s="19"/>
      <c r="AI16" s="20"/>
      <c r="AJ16" s="19"/>
      <c r="AK16" s="20"/>
      <c r="AL16" s="19"/>
      <c r="AM16" s="20"/>
      <c r="AN16" s="19"/>
      <c r="AO16" s="20"/>
      <c r="AP16" s="19"/>
      <c r="AQ16" s="20"/>
      <c r="AR16" s="19"/>
      <c r="AS16" s="20"/>
      <c r="AT16" s="19"/>
      <c r="AU16" s="20"/>
      <c r="AV16" s="19"/>
      <c r="AW16" s="20"/>
      <c r="AX16" s="19"/>
      <c r="AY16" s="20"/>
      <c r="AZ16" s="19"/>
      <c r="BA16" s="20"/>
      <c r="BB16" s="19"/>
      <c r="BC16" s="20"/>
      <c r="BD16" s="19"/>
      <c r="BE16" s="20"/>
      <c r="BF16" s="19"/>
      <c r="BG16" s="20"/>
      <c r="BH16" s="19"/>
    </row>
    <row r="17" spans="1:60" x14ac:dyDescent="0.15">
      <c r="A17" s="17">
        <v>1985</v>
      </c>
      <c r="B17" s="17"/>
      <c r="C17" s="20">
        <v>69.856566370290807</v>
      </c>
      <c r="D17" s="19">
        <v>2.31604766917912E-2</v>
      </c>
      <c r="E17" s="20"/>
      <c r="F17" s="19"/>
      <c r="G17" s="20"/>
      <c r="H17" s="19"/>
      <c r="I17" s="20"/>
      <c r="J17" s="19"/>
      <c r="K17" s="20"/>
      <c r="L17" s="19"/>
      <c r="M17" s="20"/>
      <c r="N17" s="19"/>
      <c r="O17" s="20"/>
      <c r="P17" s="19"/>
      <c r="Q17" s="20"/>
      <c r="R17" s="19"/>
      <c r="S17" s="20"/>
      <c r="T17" s="19"/>
      <c r="U17" s="20"/>
      <c r="V17" s="19"/>
      <c r="W17" s="20"/>
      <c r="X17" s="19"/>
      <c r="Y17" s="20"/>
      <c r="Z17" s="19"/>
      <c r="AA17" s="20"/>
      <c r="AB17" s="19"/>
      <c r="AC17" s="20"/>
      <c r="AD17" s="19"/>
      <c r="AE17" s="20"/>
      <c r="AF17" s="19"/>
      <c r="AG17" s="20"/>
      <c r="AH17" s="19"/>
      <c r="AI17" s="20"/>
      <c r="AJ17" s="19"/>
      <c r="AK17" s="20"/>
      <c r="AL17" s="19"/>
      <c r="AM17" s="20"/>
      <c r="AN17" s="19"/>
      <c r="AO17" s="20"/>
      <c r="AP17" s="19"/>
      <c r="AQ17" s="20"/>
      <c r="AR17" s="19"/>
      <c r="AS17" s="20"/>
      <c r="AT17" s="19"/>
      <c r="AU17" s="20"/>
      <c r="AV17" s="19"/>
      <c r="AW17" s="20"/>
      <c r="AX17" s="19"/>
      <c r="AY17" s="20"/>
      <c r="AZ17" s="19"/>
      <c r="BA17" s="20"/>
      <c r="BB17" s="19"/>
      <c r="BC17" s="20"/>
      <c r="BD17" s="19"/>
      <c r="BE17" s="20"/>
      <c r="BF17" s="19"/>
      <c r="BG17" s="20"/>
      <c r="BH17" s="19"/>
    </row>
    <row r="18" spans="1:60" x14ac:dyDescent="0.15">
      <c r="A18" s="17">
        <v>1986</v>
      </c>
      <c r="B18" s="17"/>
      <c r="C18" s="20">
        <v>71.983561215665901</v>
      </c>
      <c r="D18" s="19">
        <v>3.0448030241001098E-2</v>
      </c>
      <c r="E18" s="20"/>
      <c r="F18" s="19"/>
      <c r="G18" s="20"/>
      <c r="H18" s="19"/>
      <c r="I18" s="20"/>
      <c r="J18" s="19"/>
      <c r="K18" s="20"/>
      <c r="L18" s="19"/>
      <c r="M18" s="20"/>
      <c r="N18" s="19"/>
      <c r="O18" s="20"/>
      <c r="P18" s="19"/>
      <c r="Q18" s="20"/>
      <c r="R18" s="19"/>
      <c r="S18" s="20"/>
      <c r="T18" s="19"/>
      <c r="U18" s="20"/>
      <c r="V18" s="19"/>
      <c r="W18" s="20"/>
      <c r="X18" s="19"/>
      <c r="Y18" s="20"/>
      <c r="Z18" s="19"/>
      <c r="AA18" s="20"/>
      <c r="AB18" s="19"/>
      <c r="AC18" s="20"/>
      <c r="AD18" s="19"/>
      <c r="AE18" s="20"/>
      <c r="AF18" s="19"/>
      <c r="AG18" s="20"/>
      <c r="AH18" s="19"/>
      <c r="AI18" s="20"/>
      <c r="AJ18" s="19"/>
      <c r="AK18" s="20"/>
      <c r="AL18" s="19"/>
      <c r="AM18" s="20"/>
      <c r="AN18" s="19"/>
      <c r="AO18" s="20"/>
      <c r="AP18" s="19"/>
      <c r="AQ18" s="20"/>
      <c r="AR18" s="19"/>
      <c r="AS18" s="20"/>
      <c r="AT18" s="19"/>
      <c r="AU18" s="20"/>
      <c r="AV18" s="19"/>
      <c r="AW18" s="20"/>
      <c r="AX18" s="19"/>
      <c r="AY18" s="20"/>
      <c r="AZ18" s="19"/>
      <c r="BA18" s="20"/>
      <c r="BB18" s="19"/>
      <c r="BC18" s="20"/>
      <c r="BD18" s="19"/>
      <c r="BE18" s="20"/>
      <c r="BF18" s="19"/>
      <c r="BG18" s="20"/>
      <c r="BH18" s="19"/>
    </row>
    <row r="19" spans="1:60" x14ac:dyDescent="0.15">
      <c r="A19" s="17">
        <v>1987</v>
      </c>
      <c r="B19" s="17"/>
      <c r="C19" s="20">
        <v>73.549520051780505</v>
      </c>
      <c r="D19" s="19">
        <v>2.1754395165625599E-2</v>
      </c>
      <c r="E19" s="20"/>
      <c r="F19" s="19"/>
      <c r="G19" s="20"/>
      <c r="H19" s="19"/>
      <c r="I19" s="20"/>
      <c r="J19" s="19"/>
      <c r="K19" s="20"/>
      <c r="L19" s="19"/>
      <c r="M19" s="20"/>
      <c r="N19" s="19"/>
      <c r="O19" s="20"/>
      <c r="P19" s="19"/>
      <c r="Q19" s="20"/>
      <c r="R19" s="19"/>
      <c r="S19" s="20"/>
      <c r="T19" s="19"/>
      <c r="U19" s="20"/>
      <c r="V19" s="19"/>
      <c r="W19" s="20"/>
      <c r="X19" s="19"/>
      <c r="Y19" s="20"/>
      <c r="Z19" s="19"/>
      <c r="AA19" s="20"/>
      <c r="AB19" s="19"/>
      <c r="AC19" s="20"/>
      <c r="AD19" s="19"/>
      <c r="AE19" s="20"/>
      <c r="AF19" s="19"/>
      <c r="AG19" s="20"/>
      <c r="AH19" s="19"/>
      <c r="AI19" s="20"/>
      <c r="AJ19" s="19"/>
      <c r="AK19" s="20"/>
      <c r="AL19" s="19"/>
      <c r="AM19" s="20"/>
      <c r="AN19" s="19"/>
      <c r="AO19" s="20"/>
      <c r="AP19" s="19"/>
      <c r="AQ19" s="20"/>
      <c r="AR19" s="19"/>
      <c r="AS19" s="20"/>
      <c r="AT19" s="19"/>
      <c r="AU19" s="20"/>
      <c r="AV19" s="19"/>
      <c r="AW19" s="20"/>
      <c r="AX19" s="19"/>
      <c r="AY19" s="20"/>
      <c r="AZ19" s="19"/>
      <c r="BA19" s="20"/>
      <c r="BB19" s="19"/>
      <c r="BC19" s="20"/>
      <c r="BD19" s="19"/>
      <c r="BE19" s="20"/>
      <c r="BF19" s="19"/>
      <c r="BG19" s="20"/>
      <c r="BH19" s="19"/>
    </row>
    <row r="20" spans="1:60" x14ac:dyDescent="0.15">
      <c r="A20" s="17">
        <v>1988</v>
      </c>
      <c r="B20" s="17"/>
      <c r="C20" s="20">
        <v>75.588047140040203</v>
      </c>
      <c r="D20" s="19">
        <v>2.77163887245555E-2</v>
      </c>
      <c r="E20" s="20"/>
      <c r="F20" s="19"/>
      <c r="G20" s="20"/>
      <c r="H20" s="19"/>
      <c r="I20" s="20"/>
      <c r="J20" s="19"/>
      <c r="K20" s="20"/>
      <c r="L20" s="19"/>
      <c r="M20" s="20"/>
      <c r="N20" s="19"/>
      <c r="O20" s="20"/>
      <c r="P20" s="19"/>
      <c r="Q20" s="20"/>
      <c r="R20" s="19"/>
      <c r="S20" s="20"/>
      <c r="T20" s="19"/>
      <c r="U20" s="20"/>
      <c r="V20" s="19"/>
      <c r="W20" s="20"/>
      <c r="X20" s="19"/>
      <c r="Y20" s="20"/>
      <c r="Z20" s="19"/>
      <c r="AA20" s="20"/>
      <c r="AB20" s="19"/>
      <c r="AC20" s="20"/>
      <c r="AD20" s="19"/>
      <c r="AE20" s="20"/>
      <c r="AF20" s="19"/>
      <c r="AG20" s="20"/>
      <c r="AH20" s="19"/>
      <c r="AI20" s="20"/>
      <c r="AJ20" s="19"/>
      <c r="AK20" s="20"/>
      <c r="AL20" s="19"/>
      <c r="AM20" s="20"/>
      <c r="AN20" s="19"/>
      <c r="AO20" s="20"/>
      <c r="AP20" s="19"/>
      <c r="AQ20" s="20"/>
      <c r="AR20" s="19"/>
      <c r="AS20" s="20"/>
      <c r="AT20" s="19"/>
      <c r="AU20" s="20"/>
      <c r="AV20" s="19"/>
      <c r="AW20" s="20"/>
      <c r="AX20" s="19"/>
      <c r="AY20" s="20"/>
      <c r="AZ20" s="19"/>
      <c r="BA20" s="20"/>
      <c r="BB20" s="19"/>
      <c r="BC20" s="20"/>
      <c r="BD20" s="19"/>
      <c r="BE20" s="20"/>
      <c r="BF20" s="19"/>
      <c r="BG20" s="20"/>
      <c r="BH20" s="19"/>
    </row>
    <row r="21" spans="1:60" x14ac:dyDescent="0.15">
      <c r="A21" s="17">
        <v>1989</v>
      </c>
      <c r="B21" s="17"/>
      <c r="C21" s="20">
        <v>78.221974029726496</v>
      </c>
      <c r="D21" s="19">
        <v>3.48458121269688E-2</v>
      </c>
      <c r="E21" s="20"/>
      <c r="F21" s="19"/>
      <c r="G21" s="20"/>
      <c r="H21" s="19"/>
      <c r="I21" s="20"/>
      <c r="J21" s="19"/>
      <c r="K21" s="20"/>
      <c r="L21" s="19"/>
      <c r="M21" s="20"/>
      <c r="N21" s="19"/>
      <c r="O21" s="20"/>
      <c r="P21" s="19"/>
      <c r="Q21" s="20"/>
      <c r="R21" s="19"/>
      <c r="S21" s="20"/>
      <c r="T21" s="19"/>
      <c r="U21" s="20"/>
      <c r="V21" s="19"/>
      <c r="W21" s="20"/>
      <c r="X21" s="19"/>
      <c r="Y21" s="20"/>
      <c r="Z21" s="19"/>
      <c r="AA21" s="20"/>
      <c r="AB21" s="19"/>
      <c r="AC21" s="20"/>
      <c r="AD21" s="19"/>
      <c r="AE21" s="20"/>
      <c r="AF21" s="19"/>
      <c r="AG21" s="20"/>
      <c r="AH21" s="19"/>
      <c r="AI21" s="20"/>
      <c r="AJ21" s="19"/>
      <c r="AK21" s="20"/>
      <c r="AL21" s="19"/>
      <c r="AM21" s="20"/>
      <c r="AN21" s="19"/>
      <c r="AO21" s="20"/>
      <c r="AP21" s="19"/>
      <c r="AQ21" s="20"/>
      <c r="AR21" s="19"/>
      <c r="AS21" s="20"/>
      <c r="AT21" s="19"/>
      <c r="AU21" s="20"/>
      <c r="AV21" s="19"/>
      <c r="AW21" s="20"/>
      <c r="AX21" s="19"/>
      <c r="AY21" s="20"/>
      <c r="AZ21" s="19"/>
      <c r="BA21" s="20"/>
      <c r="BB21" s="19"/>
      <c r="BC21" s="20"/>
      <c r="BD21" s="19"/>
      <c r="BE21" s="20"/>
      <c r="BF21" s="19"/>
      <c r="BG21" s="20"/>
      <c r="BH21" s="19"/>
    </row>
    <row r="22" spans="1:60" x14ac:dyDescent="0.15">
      <c r="A22" s="17">
        <v>1990</v>
      </c>
      <c r="B22" s="17"/>
      <c r="C22" s="20">
        <v>81.8166084570328</v>
      </c>
      <c r="D22" s="19">
        <v>4.5954279112672802E-2</v>
      </c>
      <c r="E22" s="20">
        <v>81.425579195890094</v>
      </c>
      <c r="F22" s="19"/>
      <c r="G22" s="20">
        <v>154.07520925565001</v>
      </c>
      <c r="H22" s="19"/>
      <c r="I22" s="20">
        <v>68.706368960115796</v>
      </c>
      <c r="J22" s="19"/>
      <c r="K22" s="20">
        <v>105.101356187186</v>
      </c>
      <c r="L22" s="19"/>
      <c r="M22" s="20">
        <v>217.81526670561399</v>
      </c>
      <c r="N22" s="19"/>
      <c r="O22" s="20">
        <v>80.342517308929601</v>
      </c>
      <c r="P22" s="19"/>
      <c r="Q22" s="20">
        <v>46.729055754492201</v>
      </c>
      <c r="R22" s="19"/>
      <c r="S22" s="20">
        <v>224.10160261798001</v>
      </c>
      <c r="T22" s="19"/>
      <c r="U22" s="20">
        <v>78.361042306760595</v>
      </c>
      <c r="V22" s="19"/>
      <c r="W22" s="20">
        <v>92.428689749757694</v>
      </c>
      <c r="X22" s="19"/>
      <c r="Y22" s="20">
        <v>109.381824299103</v>
      </c>
      <c r="Z22" s="19"/>
      <c r="AA22" s="20">
        <v>62.944627482195401</v>
      </c>
      <c r="AB22" s="19"/>
      <c r="AC22" s="20">
        <v>54.519919072865598</v>
      </c>
      <c r="AD22" s="19"/>
      <c r="AE22" s="20">
        <v>96.979701365409198</v>
      </c>
      <c r="AF22" s="19"/>
      <c r="AG22" s="20">
        <v>108.43405916486201</v>
      </c>
      <c r="AH22" s="19"/>
      <c r="AI22" s="20">
        <v>77.130980032813397</v>
      </c>
      <c r="AJ22" s="19"/>
      <c r="AK22" s="20">
        <v>184.292561346383</v>
      </c>
      <c r="AL22" s="19"/>
      <c r="AM22" s="20">
        <v>57.8012939000335</v>
      </c>
      <c r="AN22" s="19"/>
      <c r="AO22" s="20">
        <v>67.820562506531203</v>
      </c>
      <c r="AP22" s="19"/>
      <c r="AQ22" s="20">
        <v>58.650335323967198</v>
      </c>
      <c r="AR22" s="19"/>
      <c r="AS22" s="20">
        <v>70.162603438528905</v>
      </c>
      <c r="AT22" s="19"/>
      <c r="AU22" s="20">
        <v>42.362066296318098</v>
      </c>
      <c r="AV22" s="19"/>
      <c r="AW22" s="20">
        <v>47.663693034633397</v>
      </c>
      <c r="AX22" s="19"/>
      <c r="AY22" s="20">
        <v>72.341026610419505</v>
      </c>
      <c r="AZ22" s="19"/>
      <c r="BA22" s="20">
        <v>92.667005848727797</v>
      </c>
      <c r="BB22" s="19"/>
      <c r="BC22" s="20">
        <v>82.665045696182304</v>
      </c>
      <c r="BD22" s="19"/>
      <c r="BE22" s="20">
        <v>69.446674001296003</v>
      </c>
      <c r="BF22" s="19"/>
      <c r="BG22" s="20"/>
      <c r="BH22" s="19"/>
    </row>
    <row r="23" spans="1:60" x14ac:dyDescent="0.15">
      <c r="A23" s="17">
        <v>1991</v>
      </c>
      <c r="B23" s="17"/>
      <c r="C23" s="20">
        <v>86.239328318305496</v>
      </c>
      <c r="D23" s="19">
        <v>5.4056504476048602E-2</v>
      </c>
      <c r="E23" s="20">
        <v>85.930354680692503</v>
      </c>
      <c r="F23" s="19">
        <v>5.5323837168724098E-2</v>
      </c>
      <c r="G23" s="20">
        <v>152.25916353765501</v>
      </c>
      <c r="H23" s="19">
        <v>-1.1786748346912301E-2</v>
      </c>
      <c r="I23" s="20">
        <v>74.046914132370702</v>
      </c>
      <c r="J23" s="19">
        <v>7.7729987089772495E-2</v>
      </c>
      <c r="K23" s="20">
        <v>108.642301304559</v>
      </c>
      <c r="L23" s="19">
        <v>3.3690765236812102E-2</v>
      </c>
      <c r="M23" s="20">
        <v>221.231895845683</v>
      </c>
      <c r="N23" s="19">
        <v>1.5685902975233399E-2</v>
      </c>
      <c r="O23" s="20">
        <v>83.340629318461595</v>
      </c>
      <c r="P23" s="19">
        <v>3.7316630222125502E-2</v>
      </c>
      <c r="Q23" s="20">
        <v>52.783981551699704</v>
      </c>
      <c r="R23" s="19">
        <v>0.129575179713009</v>
      </c>
      <c r="S23" s="20">
        <v>196.387526517407</v>
      </c>
      <c r="T23" s="19">
        <v>-0.123667460548312</v>
      </c>
      <c r="U23" s="20">
        <v>81.603018628008499</v>
      </c>
      <c r="V23" s="19">
        <v>4.13722970727795E-2</v>
      </c>
      <c r="W23" s="20">
        <v>97.403243133338293</v>
      </c>
      <c r="X23" s="19">
        <v>5.3820446844467601E-2</v>
      </c>
      <c r="Y23" s="20">
        <v>113.10262881915099</v>
      </c>
      <c r="Z23" s="19">
        <v>3.4016661761589101E-2</v>
      </c>
      <c r="AA23" s="20">
        <v>67.504734660545395</v>
      </c>
      <c r="AB23" s="19">
        <v>7.2446328793348599E-2</v>
      </c>
      <c r="AC23" s="20">
        <v>58.770766235035403</v>
      </c>
      <c r="AD23" s="19">
        <v>7.7968699045364104E-2</v>
      </c>
      <c r="AE23" s="20">
        <v>103.526817452743</v>
      </c>
      <c r="AF23" s="19">
        <v>6.7510169604100903E-2</v>
      </c>
      <c r="AG23" s="20">
        <v>111.077554456439</v>
      </c>
      <c r="AH23" s="19">
        <v>2.4378828127774602E-2</v>
      </c>
      <c r="AI23" s="20">
        <v>84.247401952869893</v>
      </c>
      <c r="AJ23" s="19">
        <v>9.2264118996400205E-2</v>
      </c>
      <c r="AK23" s="20">
        <v>179.221827802283</v>
      </c>
      <c r="AL23" s="19">
        <v>-2.7514586085596201E-2</v>
      </c>
      <c r="AM23" s="20">
        <v>62.6649961590998</v>
      </c>
      <c r="AN23" s="19">
        <v>8.4145214248629696E-2</v>
      </c>
      <c r="AO23" s="20">
        <v>72.904730570809903</v>
      </c>
      <c r="AP23" s="19">
        <v>7.4964994042759206E-2</v>
      </c>
      <c r="AQ23" s="20">
        <v>62.161379018638002</v>
      </c>
      <c r="AR23" s="19">
        <v>5.9864000355272E-2</v>
      </c>
      <c r="AS23" s="20">
        <v>75.395235716723406</v>
      </c>
      <c r="AT23" s="19">
        <v>7.4578650474093997E-2</v>
      </c>
      <c r="AU23" s="20">
        <v>48.942821160919898</v>
      </c>
      <c r="AV23" s="19">
        <v>0.155345464467436</v>
      </c>
      <c r="AW23" s="20">
        <v>53.859789541325597</v>
      </c>
      <c r="AX23" s="19">
        <v>0.129996148267193</v>
      </c>
      <c r="AY23" s="20">
        <v>78.429210388425005</v>
      </c>
      <c r="AZ23" s="19">
        <v>8.4159488236080104E-2</v>
      </c>
      <c r="BA23" s="20">
        <v>92.931822758499607</v>
      </c>
      <c r="BB23" s="19">
        <v>2.85772597642864E-3</v>
      </c>
      <c r="BC23" s="20">
        <v>85.338389139101295</v>
      </c>
      <c r="BD23" s="19">
        <v>3.2339466099666099E-2</v>
      </c>
      <c r="BE23" s="20">
        <v>73.827509455086897</v>
      </c>
      <c r="BF23" s="19">
        <v>6.3082005247784095E-2</v>
      </c>
      <c r="BG23" s="20"/>
      <c r="BH23" s="19"/>
    </row>
    <row r="24" spans="1:60" x14ac:dyDescent="0.15">
      <c r="A24" s="17">
        <v>1992</v>
      </c>
      <c r="B24" s="17"/>
      <c r="C24" s="20">
        <v>88.055793117815398</v>
      </c>
      <c r="D24" s="19">
        <v>2.1063067569421001E-2</v>
      </c>
      <c r="E24" s="20">
        <v>87.811807363921702</v>
      </c>
      <c r="F24" s="19">
        <v>2.189508806545E-2</v>
      </c>
      <c r="G24" s="20">
        <v>138.16768292998799</v>
      </c>
      <c r="H24" s="19">
        <v>-9.2549310532512502E-2</v>
      </c>
      <c r="I24" s="20">
        <v>76.542105378452007</v>
      </c>
      <c r="J24" s="19">
        <v>3.3697437297937297E-2</v>
      </c>
      <c r="K24" s="20">
        <v>109.081940016663</v>
      </c>
      <c r="L24" s="19">
        <v>4.0466623665447203E-3</v>
      </c>
      <c r="M24" s="20">
        <v>222.09788899800901</v>
      </c>
      <c r="N24" s="19">
        <v>3.9144136473416901E-3</v>
      </c>
      <c r="O24" s="20">
        <v>83.680215450897506</v>
      </c>
      <c r="P24" s="19">
        <v>4.0746768438513197E-3</v>
      </c>
      <c r="Q24" s="20">
        <v>57.876501904520701</v>
      </c>
      <c r="R24" s="19">
        <v>9.6478518730783697E-2</v>
      </c>
      <c r="S24" s="20">
        <v>175.713190164227</v>
      </c>
      <c r="T24" s="19">
        <v>-0.105273164338914</v>
      </c>
      <c r="U24" s="20">
        <v>79.426077226069694</v>
      </c>
      <c r="V24" s="19">
        <v>-2.6677216585118901E-2</v>
      </c>
      <c r="W24" s="20">
        <v>99.677901354234905</v>
      </c>
      <c r="X24" s="19">
        <v>2.3353002915751798E-2</v>
      </c>
      <c r="Y24" s="20">
        <v>115.151456224288</v>
      </c>
      <c r="Z24" s="19">
        <v>1.81147637904422E-2</v>
      </c>
      <c r="AA24" s="20">
        <v>66.612823446331006</v>
      </c>
      <c r="AB24" s="19">
        <v>-1.32125726987803E-2</v>
      </c>
      <c r="AC24" s="20">
        <v>62.117695585880398</v>
      </c>
      <c r="AD24" s="19">
        <v>5.6948880629870101E-2</v>
      </c>
      <c r="AE24" s="20">
        <v>107.201992761188</v>
      </c>
      <c r="AF24" s="19">
        <v>3.5499741988326901E-2</v>
      </c>
      <c r="AG24" s="20">
        <v>111.39853454687901</v>
      </c>
      <c r="AH24" s="19">
        <v>2.8896935299902401E-3</v>
      </c>
      <c r="AI24" s="20">
        <v>90.424189767856205</v>
      </c>
      <c r="AJ24" s="19">
        <v>7.3317249811950105E-2</v>
      </c>
      <c r="AK24" s="20">
        <v>169.430474858385</v>
      </c>
      <c r="AL24" s="19">
        <v>-5.4632591710311998E-2</v>
      </c>
      <c r="AM24" s="20">
        <v>66.2964826369723</v>
      </c>
      <c r="AN24" s="19">
        <v>5.7950797102939398E-2</v>
      </c>
      <c r="AO24" s="20">
        <v>77.225240836902898</v>
      </c>
      <c r="AP24" s="19">
        <v>5.9262413183142702E-2</v>
      </c>
      <c r="AQ24" s="20">
        <v>64.597102728192496</v>
      </c>
      <c r="AR24" s="19">
        <v>3.91838750685405E-2</v>
      </c>
      <c r="AS24" s="20">
        <v>79.2827732027678</v>
      </c>
      <c r="AT24" s="19">
        <v>5.1562110643845097E-2</v>
      </c>
      <c r="AU24" s="20">
        <v>52.010419369875102</v>
      </c>
      <c r="AV24" s="19">
        <v>6.26771840321423E-2</v>
      </c>
      <c r="AW24" s="20">
        <v>56.892124179028897</v>
      </c>
      <c r="AX24" s="19">
        <v>5.6300528901559899E-2</v>
      </c>
      <c r="AY24" s="20">
        <v>82.986446887260499</v>
      </c>
      <c r="AZ24" s="19">
        <v>5.8106367210194701E-2</v>
      </c>
      <c r="BA24" s="20">
        <v>91.471760890744804</v>
      </c>
      <c r="BB24" s="19">
        <v>-1.5711107610027902E-2</v>
      </c>
      <c r="BC24" s="20">
        <v>86.891265706101805</v>
      </c>
      <c r="BD24" s="19">
        <v>1.81966941568266E-2</v>
      </c>
      <c r="BE24" s="20">
        <v>77.571088107937101</v>
      </c>
      <c r="BF24" s="19">
        <v>5.0707096588808599E-2</v>
      </c>
      <c r="BG24" s="20"/>
      <c r="BH24" s="19"/>
    </row>
    <row r="25" spans="1:60" x14ac:dyDescent="0.15">
      <c r="A25" s="17">
        <v>1993</v>
      </c>
      <c r="B25" s="17"/>
      <c r="C25" s="20">
        <v>90.115238766366105</v>
      </c>
      <c r="D25" s="19">
        <v>2.3387963195053499E-2</v>
      </c>
      <c r="E25" s="20">
        <v>89.816081304675805</v>
      </c>
      <c r="F25" s="19">
        <v>2.2824651956516302E-2</v>
      </c>
      <c r="G25" s="20">
        <v>134.568445595952</v>
      </c>
      <c r="H25" s="19">
        <v>-2.6049777036938799E-2</v>
      </c>
      <c r="I25" s="20">
        <v>77.868912984299897</v>
      </c>
      <c r="J25" s="19">
        <v>1.7334349496759702E-2</v>
      </c>
      <c r="K25" s="20">
        <v>110.239603334918</v>
      </c>
      <c r="L25" s="19">
        <v>1.0612786296960299E-2</v>
      </c>
      <c r="M25" s="20">
        <v>223.20174868975599</v>
      </c>
      <c r="N25" s="19">
        <v>4.9701494090173002E-3</v>
      </c>
      <c r="O25" s="20">
        <v>84.675584743610898</v>
      </c>
      <c r="P25" s="19">
        <v>1.18949179008434E-2</v>
      </c>
      <c r="Q25" s="20">
        <v>61.186336094205899</v>
      </c>
      <c r="R25" s="19">
        <v>5.7187875575919402E-2</v>
      </c>
      <c r="S25" s="20">
        <v>170.071558543045</v>
      </c>
      <c r="T25" s="19">
        <v>-3.2107046806841198E-2</v>
      </c>
      <c r="U25" s="20">
        <v>78.321984956867198</v>
      </c>
      <c r="V25" s="19">
        <v>-1.39008787511932E-2</v>
      </c>
      <c r="W25" s="20">
        <v>101.868665906055</v>
      </c>
      <c r="X25" s="19">
        <v>2.19784377686176E-2</v>
      </c>
      <c r="Y25" s="20">
        <v>117.276022562862</v>
      </c>
      <c r="Z25" s="19">
        <v>1.8450190802935501E-2</v>
      </c>
      <c r="AA25" s="20">
        <v>63.5991009047194</v>
      </c>
      <c r="AB25" s="19">
        <v>-4.5242378054125301E-2</v>
      </c>
      <c r="AC25" s="20">
        <v>65.175446112007606</v>
      </c>
      <c r="AD25" s="19">
        <v>4.9225112060051299E-2</v>
      </c>
      <c r="AE25" s="20">
        <v>109.724059155261</v>
      </c>
      <c r="AF25" s="19">
        <v>2.3526301415789399E-2</v>
      </c>
      <c r="AG25" s="20">
        <v>124.71942770565499</v>
      </c>
      <c r="AH25" s="19">
        <v>0.11957871091356</v>
      </c>
      <c r="AI25" s="20">
        <v>111.80194170438</v>
      </c>
      <c r="AJ25" s="19">
        <v>0.23641629514631701</v>
      </c>
      <c r="AK25" s="20">
        <v>170.02540978074899</v>
      </c>
      <c r="AL25" s="19">
        <v>3.51138083547964E-3</v>
      </c>
      <c r="AM25" s="20">
        <v>67.873628065885299</v>
      </c>
      <c r="AN25" s="19">
        <v>2.3789277593340801E-2</v>
      </c>
      <c r="AO25" s="20">
        <v>78.397955712268697</v>
      </c>
      <c r="AP25" s="19">
        <v>1.51856421897418E-2</v>
      </c>
      <c r="AQ25" s="20">
        <v>66.658378536409302</v>
      </c>
      <c r="AR25" s="19">
        <v>3.1909725377159602E-2</v>
      </c>
      <c r="AS25" s="20">
        <v>80.169260034250101</v>
      </c>
      <c r="AT25" s="19">
        <v>1.1181329760186799E-2</v>
      </c>
      <c r="AU25" s="20">
        <v>53.689999794738299</v>
      </c>
      <c r="AV25" s="19">
        <v>3.2293152895359598E-2</v>
      </c>
      <c r="AW25" s="20">
        <v>58.553032926106603</v>
      </c>
      <c r="AX25" s="19">
        <v>2.91940012971059E-2</v>
      </c>
      <c r="AY25" s="20">
        <v>84.965897977389105</v>
      </c>
      <c r="AZ25" s="19">
        <v>2.38527032349964E-2</v>
      </c>
      <c r="BA25" s="20">
        <v>95.878379272840405</v>
      </c>
      <c r="BB25" s="19">
        <v>4.8174631593230099E-2</v>
      </c>
      <c r="BC25" s="20">
        <v>90.381852363454698</v>
      </c>
      <c r="BD25" s="19">
        <v>4.0171893331136403E-2</v>
      </c>
      <c r="BE25" s="20">
        <v>80.085098279893998</v>
      </c>
      <c r="BF25" s="19">
        <v>3.24091131538429E-2</v>
      </c>
      <c r="BG25" s="20"/>
      <c r="BH25" s="19"/>
    </row>
    <row r="26" spans="1:60" x14ac:dyDescent="0.15">
      <c r="A26" s="17">
        <v>1994</v>
      </c>
      <c r="B26" s="17"/>
      <c r="C26" s="20">
        <v>91.194382282183795</v>
      </c>
      <c r="D26" s="19">
        <v>1.19751501587368E-2</v>
      </c>
      <c r="E26" s="20">
        <v>91.018442662342594</v>
      </c>
      <c r="F26" s="19">
        <v>1.3386927376491499E-2</v>
      </c>
      <c r="G26" s="20">
        <v>134.89511991964699</v>
      </c>
      <c r="H26" s="19">
        <v>2.42757001649285E-3</v>
      </c>
      <c r="I26" s="20">
        <v>79.5199732420446</v>
      </c>
      <c r="J26" s="19">
        <v>2.12030731452169E-2</v>
      </c>
      <c r="K26" s="20">
        <v>111.453557596116</v>
      </c>
      <c r="L26" s="19">
        <v>1.10119614410218E-2</v>
      </c>
      <c r="M26" s="20">
        <v>214.46625609082301</v>
      </c>
      <c r="N26" s="19">
        <v>-3.9137205018384802E-2</v>
      </c>
      <c r="O26" s="20">
        <v>86.652068420629504</v>
      </c>
      <c r="P26" s="19">
        <v>2.3341836764437102E-2</v>
      </c>
      <c r="Q26" s="20">
        <v>64.157908729976796</v>
      </c>
      <c r="R26" s="19">
        <v>4.8565951574477198E-2</v>
      </c>
      <c r="S26" s="20">
        <v>168.07792161089</v>
      </c>
      <c r="T26" s="19">
        <v>-1.17223417556371E-2</v>
      </c>
      <c r="U26" s="20">
        <v>81.127750710998598</v>
      </c>
      <c r="V26" s="19">
        <v>3.5823476073500803E-2</v>
      </c>
      <c r="W26" s="20">
        <v>104.71483231249699</v>
      </c>
      <c r="X26" s="19">
        <v>2.7939566903389501E-2</v>
      </c>
      <c r="Y26" s="20">
        <v>120.12174478527299</v>
      </c>
      <c r="Z26" s="19">
        <v>2.4265166572182501E-2</v>
      </c>
      <c r="AA26" s="20">
        <v>62.952460706414797</v>
      </c>
      <c r="AB26" s="19">
        <v>-1.01674424497508E-2</v>
      </c>
      <c r="AC26" s="20">
        <v>68.1468514523539</v>
      </c>
      <c r="AD26" s="19">
        <v>4.55908707589021E-2</v>
      </c>
      <c r="AE26" s="20">
        <v>111.47799626224101</v>
      </c>
      <c r="AF26" s="19">
        <v>1.5984981967338101E-2</v>
      </c>
      <c r="AG26" s="20">
        <v>116.40166157134701</v>
      </c>
      <c r="AH26" s="19">
        <v>-6.6691824099277805E-2</v>
      </c>
      <c r="AI26" s="20">
        <v>109.518385263206</v>
      </c>
      <c r="AJ26" s="19">
        <v>-2.0425015937666099E-2</v>
      </c>
      <c r="AK26" s="20">
        <v>149.22617754368699</v>
      </c>
      <c r="AL26" s="19">
        <v>-0.122330140323632</v>
      </c>
      <c r="AM26" s="20">
        <v>69.484564914797502</v>
      </c>
      <c r="AN26" s="19">
        <v>2.3734355961471301E-2</v>
      </c>
      <c r="AO26" s="20">
        <v>78.855052480955806</v>
      </c>
      <c r="AP26" s="19">
        <v>5.8304679571585796E-3</v>
      </c>
      <c r="AQ26" s="20">
        <v>68.327750172269603</v>
      </c>
      <c r="AR26" s="19">
        <v>2.50436880181313E-2</v>
      </c>
      <c r="AS26" s="20">
        <v>82.277867661906498</v>
      </c>
      <c r="AT26" s="19">
        <v>2.6301946990100699E-2</v>
      </c>
      <c r="AU26" s="20">
        <v>61.258641810000299</v>
      </c>
      <c r="AV26" s="19">
        <v>0.1409693060942</v>
      </c>
      <c r="AW26" s="20">
        <v>65.711950389335996</v>
      </c>
      <c r="AX26" s="19">
        <v>0.122263819745493</v>
      </c>
      <c r="AY26" s="20">
        <v>86.973677871807794</v>
      </c>
      <c r="AZ26" s="19">
        <v>2.3630420465313901E-2</v>
      </c>
      <c r="BA26" s="20">
        <v>91.683062456156307</v>
      </c>
      <c r="BB26" s="19">
        <v>-4.3756651379615201E-2</v>
      </c>
      <c r="BC26" s="20">
        <v>89.107168003148701</v>
      </c>
      <c r="BD26" s="19">
        <v>-1.4103321927726601E-2</v>
      </c>
      <c r="BE26" s="20">
        <v>81.613881791383093</v>
      </c>
      <c r="BF26" s="19">
        <v>1.9089487861351E-2</v>
      </c>
      <c r="BG26" s="20"/>
      <c r="BH26" s="19"/>
    </row>
    <row r="27" spans="1:60" x14ac:dyDescent="0.15">
      <c r="A27" s="17">
        <v>1995</v>
      </c>
      <c r="B27" s="17"/>
      <c r="C27" s="20">
        <v>91.859112881517703</v>
      </c>
      <c r="D27" s="19">
        <v>7.2891617081964899E-3</v>
      </c>
      <c r="E27" s="20">
        <v>91.147458519842999</v>
      </c>
      <c r="F27" s="19">
        <v>1.41746940209786E-3</v>
      </c>
      <c r="G27" s="20">
        <v>122.43150187719</v>
      </c>
      <c r="H27" s="19">
        <v>-9.2394877219283397E-2</v>
      </c>
      <c r="I27" s="20">
        <v>79.485914814315507</v>
      </c>
      <c r="J27" s="19">
        <v>-4.2830029161910999E-4</v>
      </c>
      <c r="K27" s="20">
        <v>110.166045848389</v>
      </c>
      <c r="L27" s="19">
        <v>-1.1552002246462001E-2</v>
      </c>
      <c r="M27" s="20">
        <v>199.14481315540499</v>
      </c>
      <c r="N27" s="19">
        <v>-7.14398769050619E-2</v>
      </c>
      <c r="O27" s="20">
        <v>86.951188642699805</v>
      </c>
      <c r="P27" s="19">
        <v>3.45196863181951E-3</v>
      </c>
      <c r="Q27" s="20">
        <v>66.701163447579106</v>
      </c>
      <c r="R27" s="19">
        <v>3.9640548888620501E-2</v>
      </c>
      <c r="S27" s="20">
        <v>149.22600300270099</v>
      </c>
      <c r="T27" s="19">
        <v>-0.11216177846268301</v>
      </c>
      <c r="U27" s="20">
        <v>80.184783943309696</v>
      </c>
      <c r="V27" s="19">
        <v>-1.16232332269143E-2</v>
      </c>
      <c r="W27" s="20">
        <v>104.30369304450301</v>
      </c>
      <c r="X27" s="19">
        <v>-3.9262753796613899E-3</v>
      </c>
      <c r="Y27" s="20">
        <v>120.387009096344</v>
      </c>
      <c r="Z27" s="19">
        <v>2.2082955217213002E-3</v>
      </c>
      <c r="AA27" s="20">
        <v>65.684758710447198</v>
      </c>
      <c r="AB27" s="19">
        <v>4.3402560811319803E-2</v>
      </c>
      <c r="AC27" s="20">
        <v>72.320060148996603</v>
      </c>
      <c r="AD27" s="19">
        <v>6.1238466747954003E-2</v>
      </c>
      <c r="AE27" s="20">
        <v>112.119465367103</v>
      </c>
      <c r="AF27" s="19">
        <v>5.7542216972845698E-3</v>
      </c>
      <c r="AG27" s="20">
        <v>116.577320514558</v>
      </c>
      <c r="AH27" s="19">
        <v>1.5090759087161799E-3</v>
      </c>
      <c r="AI27" s="20">
        <v>111.26300669077899</v>
      </c>
      <c r="AJ27" s="19">
        <v>1.5929941108792499E-2</v>
      </c>
      <c r="AK27" s="20">
        <v>146.49439722756401</v>
      </c>
      <c r="AL27" s="19">
        <v>-1.8306307653850998E-2</v>
      </c>
      <c r="AM27" s="20">
        <v>70.117556692257807</v>
      </c>
      <c r="AN27" s="19">
        <v>9.1098185364826296E-3</v>
      </c>
      <c r="AO27" s="20">
        <v>79.792649936868202</v>
      </c>
      <c r="AP27" s="19">
        <v>1.18901379989416E-2</v>
      </c>
      <c r="AQ27" s="20">
        <v>68.487719170025898</v>
      </c>
      <c r="AR27" s="19">
        <v>2.3412010106138598E-3</v>
      </c>
      <c r="AS27" s="20">
        <v>82.724710097732</v>
      </c>
      <c r="AT27" s="19">
        <v>5.4308947050214504E-3</v>
      </c>
      <c r="AU27" s="20">
        <v>61.667344381771699</v>
      </c>
      <c r="AV27" s="19">
        <v>6.6717537264224802E-3</v>
      </c>
      <c r="AW27" s="20">
        <v>66.481292019660401</v>
      </c>
      <c r="AX27" s="19">
        <v>1.17077887015389E-2</v>
      </c>
      <c r="AY27" s="20">
        <v>87.741490007273299</v>
      </c>
      <c r="AZ27" s="19">
        <v>8.8280978136530096E-3</v>
      </c>
      <c r="BA27" s="20">
        <v>114.59434382632099</v>
      </c>
      <c r="BB27" s="19">
        <v>0.24989655402404301</v>
      </c>
      <c r="BC27" s="20">
        <v>101.393577061494</v>
      </c>
      <c r="BD27" s="19">
        <v>0.13788350963988499</v>
      </c>
      <c r="BE27" s="20">
        <v>83.073304574486102</v>
      </c>
      <c r="BF27" s="19">
        <v>1.7882041033576501E-2</v>
      </c>
      <c r="BG27" s="20"/>
      <c r="BH27" s="19"/>
    </row>
    <row r="28" spans="1:60" x14ac:dyDescent="0.15">
      <c r="A28" s="17">
        <v>1996</v>
      </c>
      <c r="B28" s="17"/>
      <c r="C28" s="20">
        <v>92.073448467059393</v>
      </c>
      <c r="D28" s="19">
        <v>2.3333078103875398E-3</v>
      </c>
      <c r="E28" s="20">
        <v>91.529810632178794</v>
      </c>
      <c r="F28" s="19">
        <v>4.1948740924300197E-3</v>
      </c>
      <c r="G28" s="20">
        <v>108.274010623264</v>
      </c>
      <c r="H28" s="19">
        <v>-0.115636017175768</v>
      </c>
      <c r="I28" s="20">
        <v>79.078361811003404</v>
      </c>
      <c r="J28" s="19">
        <v>-5.1273612974597196E-3</v>
      </c>
      <c r="K28" s="20">
        <v>108.87676742686899</v>
      </c>
      <c r="L28" s="19">
        <v>-1.1703047083078901E-2</v>
      </c>
      <c r="M28" s="20">
        <v>197.20108176271799</v>
      </c>
      <c r="N28" s="19">
        <v>-9.7603917565767303E-3</v>
      </c>
      <c r="O28" s="20">
        <v>85.894272079177199</v>
      </c>
      <c r="P28" s="19">
        <v>-1.2155285971600101E-2</v>
      </c>
      <c r="Q28" s="20">
        <v>67.381586773519004</v>
      </c>
      <c r="R28" s="19">
        <v>1.0201071327259101E-2</v>
      </c>
      <c r="S28" s="20">
        <v>150.78376785619901</v>
      </c>
      <c r="T28" s="19">
        <v>1.0438963867911001E-2</v>
      </c>
      <c r="U28" s="20">
        <v>78.206444446461504</v>
      </c>
      <c r="V28" s="19">
        <v>-2.4672255751750499E-2</v>
      </c>
      <c r="W28" s="20">
        <v>105.123088532</v>
      </c>
      <c r="X28" s="19">
        <v>7.85586266008176E-3</v>
      </c>
      <c r="Y28" s="20">
        <v>121.369405822483</v>
      </c>
      <c r="Z28" s="19">
        <v>8.1603217283436908E-3</v>
      </c>
      <c r="AA28" s="20">
        <v>66.240026466879698</v>
      </c>
      <c r="AB28" s="19">
        <v>8.4535250997908006E-3</v>
      </c>
      <c r="AC28" s="20">
        <v>73.830547270943399</v>
      </c>
      <c r="AD28" s="19">
        <v>2.0886143054012599E-2</v>
      </c>
      <c r="AE28" s="20">
        <v>113.129396070235</v>
      </c>
      <c r="AF28" s="19">
        <v>9.0076303862600699E-3</v>
      </c>
      <c r="AG28" s="20">
        <v>122.187673546654</v>
      </c>
      <c r="AH28" s="19">
        <v>4.81255960192968E-2</v>
      </c>
      <c r="AI28" s="20">
        <v>123.198382249952</v>
      </c>
      <c r="AJ28" s="19">
        <v>0.107271733113805</v>
      </c>
      <c r="AK28" s="20">
        <v>140.94978577025199</v>
      </c>
      <c r="AL28" s="19">
        <v>-3.7848624672648899E-2</v>
      </c>
      <c r="AM28" s="20">
        <v>70.390222064406203</v>
      </c>
      <c r="AN28" s="19">
        <v>3.8886890104443701E-3</v>
      </c>
      <c r="AO28" s="20">
        <v>79.656692520135607</v>
      </c>
      <c r="AP28" s="19">
        <v>-1.7038839647531799E-3</v>
      </c>
      <c r="AQ28" s="20">
        <v>69.466590288768799</v>
      </c>
      <c r="AR28" s="19">
        <v>1.42926517426112E-2</v>
      </c>
      <c r="AS28" s="20">
        <v>84.170899361959698</v>
      </c>
      <c r="AT28" s="19">
        <v>1.7481950224051999E-2</v>
      </c>
      <c r="AU28" s="20">
        <v>63.6683640076957</v>
      </c>
      <c r="AV28" s="19">
        <v>3.2448610297468802E-2</v>
      </c>
      <c r="AW28" s="20">
        <v>67.619761349966495</v>
      </c>
      <c r="AX28" s="19">
        <v>1.7124657113604801E-2</v>
      </c>
      <c r="AY28" s="20">
        <v>88.244262670553496</v>
      </c>
      <c r="AZ28" s="19">
        <v>5.7301587109874798E-3</v>
      </c>
      <c r="BA28" s="20">
        <v>108.06228495101701</v>
      </c>
      <c r="BB28" s="19">
        <v>-5.7001581903586299E-2</v>
      </c>
      <c r="BC28" s="20">
        <v>98.585430374960595</v>
      </c>
      <c r="BD28" s="19">
        <v>-2.7695508610274099E-2</v>
      </c>
      <c r="BE28" s="20">
        <v>84.061536983817703</v>
      </c>
      <c r="BF28" s="19">
        <v>1.18959082510739E-2</v>
      </c>
      <c r="BG28" s="20"/>
      <c r="BH28" s="19"/>
    </row>
    <row r="29" spans="1:60" x14ac:dyDescent="0.15">
      <c r="A29" s="17">
        <v>1997</v>
      </c>
      <c r="B29" s="17"/>
      <c r="C29" s="20">
        <v>91.632529716786493</v>
      </c>
      <c r="D29" s="19">
        <v>-4.7887719816499504E-3</v>
      </c>
      <c r="E29" s="20">
        <v>91.179883660806794</v>
      </c>
      <c r="F29" s="19">
        <v>-3.82309292409821E-3</v>
      </c>
      <c r="G29" s="20">
        <v>112.158875330322</v>
      </c>
      <c r="H29" s="19">
        <v>3.58799372508238E-2</v>
      </c>
      <c r="I29" s="20">
        <v>75.996514139078002</v>
      </c>
      <c r="J29" s="19">
        <v>-3.8972072781311699E-2</v>
      </c>
      <c r="K29" s="20">
        <v>107.636732332703</v>
      </c>
      <c r="L29" s="19">
        <v>-1.13893452521824E-2</v>
      </c>
      <c r="M29" s="20">
        <v>190.236535464177</v>
      </c>
      <c r="N29" s="19">
        <v>-3.5316978164051098E-2</v>
      </c>
      <c r="O29" s="20">
        <v>85.406293887511495</v>
      </c>
      <c r="P29" s="19">
        <v>-5.6811493927778596E-3</v>
      </c>
      <c r="Q29" s="20">
        <v>67.154079453081195</v>
      </c>
      <c r="R29" s="19">
        <v>-3.3764019420095001E-3</v>
      </c>
      <c r="S29" s="20">
        <v>151.47764380038001</v>
      </c>
      <c r="T29" s="19">
        <v>4.6017947027476901E-3</v>
      </c>
      <c r="U29" s="20">
        <v>75.739550309695403</v>
      </c>
      <c r="V29" s="19">
        <v>-3.1543361346070102E-2</v>
      </c>
      <c r="W29" s="20">
        <v>104.450151051768</v>
      </c>
      <c r="X29" s="19">
        <v>-6.4014241745453697E-3</v>
      </c>
      <c r="Y29" s="20">
        <v>120.65742233294399</v>
      </c>
      <c r="Z29" s="19">
        <v>-5.8662517519442198E-3</v>
      </c>
      <c r="AA29" s="20">
        <v>66.097967748283295</v>
      </c>
      <c r="AB29" s="19">
        <v>-2.14460540210426E-3</v>
      </c>
      <c r="AC29" s="20">
        <v>73.789707528942003</v>
      </c>
      <c r="AD29" s="19">
        <v>-5.5315507619790904E-4</v>
      </c>
      <c r="AE29" s="20">
        <v>111.296546152872</v>
      </c>
      <c r="AF29" s="19">
        <v>-1.6201358630297698E-2</v>
      </c>
      <c r="AG29" s="20">
        <v>128.808174848184</v>
      </c>
      <c r="AH29" s="19">
        <v>5.4183053898659198E-2</v>
      </c>
      <c r="AI29" s="20">
        <v>134.36184817163101</v>
      </c>
      <c r="AJ29" s="19">
        <v>9.0613737922544194E-2</v>
      </c>
      <c r="AK29" s="20">
        <v>141.975724440433</v>
      </c>
      <c r="AL29" s="19">
        <v>7.2787529585416301E-3</v>
      </c>
      <c r="AM29" s="20">
        <v>68.833725541646899</v>
      </c>
      <c r="AN29" s="19">
        <v>-2.2112396823171301E-2</v>
      </c>
      <c r="AO29" s="20">
        <v>78.910820963317505</v>
      </c>
      <c r="AP29" s="19">
        <v>-9.3635767845814399E-3</v>
      </c>
      <c r="AQ29" s="20">
        <v>68.767762299537196</v>
      </c>
      <c r="AR29" s="19">
        <v>-1.0059914936469801E-2</v>
      </c>
      <c r="AS29" s="20">
        <v>84.642838254803095</v>
      </c>
      <c r="AT29" s="19">
        <v>5.6069127978999296E-3</v>
      </c>
      <c r="AU29" s="20">
        <v>64.021892019980001</v>
      </c>
      <c r="AV29" s="19">
        <v>5.55264797194455E-3</v>
      </c>
      <c r="AW29" s="20">
        <v>67.769083157326094</v>
      </c>
      <c r="AX29" s="19">
        <v>2.2082569411447902E-3</v>
      </c>
      <c r="AY29" s="20">
        <v>87.759673961827403</v>
      </c>
      <c r="AZ29" s="19">
        <v>-5.4914471951020803E-3</v>
      </c>
      <c r="BA29" s="20">
        <v>104.29829322090301</v>
      </c>
      <c r="BB29" s="19">
        <v>-3.4831687408982001E-2</v>
      </c>
      <c r="BC29" s="20">
        <v>96.697872867120907</v>
      </c>
      <c r="BD29" s="19">
        <v>-1.9146414441367901E-2</v>
      </c>
      <c r="BE29" s="20">
        <v>84.327467920608598</v>
      </c>
      <c r="BF29" s="19">
        <v>3.1635269391052699E-3</v>
      </c>
      <c r="BG29" s="20"/>
      <c r="BH29" s="19"/>
    </row>
    <row r="30" spans="1:60" x14ac:dyDescent="0.15">
      <c r="A30" s="17">
        <v>1998</v>
      </c>
      <c r="B30" s="17"/>
      <c r="C30" s="20">
        <v>91.460374938022994</v>
      </c>
      <c r="D30" s="19">
        <v>-1.8787517849350201E-3</v>
      </c>
      <c r="E30" s="20">
        <v>90.774350769592004</v>
      </c>
      <c r="F30" s="19">
        <v>-4.4476136065646496E-3</v>
      </c>
      <c r="G30" s="20">
        <v>106.912119173357</v>
      </c>
      <c r="H30" s="19">
        <v>-4.6779678750456397E-2</v>
      </c>
      <c r="I30" s="20">
        <v>73.181551995543998</v>
      </c>
      <c r="J30" s="19">
        <v>-3.7040674502287103E-2</v>
      </c>
      <c r="K30" s="20">
        <v>106.45895911375899</v>
      </c>
      <c r="L30" s="19">
        <v>-1.0942112357179E-2</v>
      </c>
      <c r="M30" s="20">
        <v>183.00417911711199</v>
      </c>
      <c r="N30" s="19">
        <v>-3.8017704272304997E-2</v>
      </c>
      <c r="O30" s="20">
        <v>85.049983482674307</v>
      </c>
      <c r="P30" s="19">
        <v>-4.17194551617572E-3</v>
      </c>
      <c r="Q30" s="20">
        <v>67.037792528696798</v>
      </c>
      <c r="R30" s="19">
        <v>-1.73164348810284E-3</v>
      </c>
      <c r="S30" s="20">
        <v>153.372273119168</v>
      </c>
      <c r="T30" s="19">
        <v>1.25076497841807E-2</v>
      </c>
      <c r="U30" s="20">
        <v>75.408882960030894</v>
      </c>
      <c r="V30" s="19">
        <v>-4.365847807551E-3</v>
      </c>
      <c r="W30" s="20">
        <v>103.97996353717301</v>
      </c>
      <c r="X30" s="19">
        <v>-4.5015493980704599E-3</v>
      </c>
      <c r="Y30" s="20">
        <v>120.20036204674599</v>
      </c>
      <c r="Z30" s="19">
        <v>-3.7880826339618001E-3</v>
      </c>
      <c r="AA30" s="20">
        <v>66.399599106253106</v>
      </c>
      <c r="AB30" s="19">
        <v>4.5633983652644296E-3</v>
      </c>
      <c r="AC30" s="20">
        <v>73.896524376552307</v>
      </c>
      <c r="AD30" s="19">
        <v>1.4475846454393699E-3</v>
      </c>
      <c r="AE30" s="20">
        <v>108.20430351887801</v>
      </c>
      <c r="AF30" s="19">
        <v>-2.77838148701108E-2</v>
      </c>
      <c r="AG30" s="20">
        <v>129.80040379016501</v>
      </c>
      <c r="AH30" s="19">
        <v>7.7031519400836404E-3</v>
      </c>
      <c r="AI30" s="20">
        <v>136.68071855298899</v>
      </c>
      <c r="AJ30" s="19">
        <v>1.72583989645365E-2</v>
      </c>
      <c r="AK30" s="20">
        <v>142.45658126493001</v>
      </c>
      <c r="AL30" s="19">
        <v>3.38689467084752E-3</v>
      </c>
      <c r="AM30" s="20">
        <v>68.468977346701394</v>
      </c>
      <c r="AN30" s="19">
        <v>-5.2989750601944996E-3</v>
      </c>
      <c r="AO30" s="20">
        <v>79.365850900175701</v>
      </c>
      <c r="AP30" s="19">
        <v>5.7663819904965096E-3</v>
      </c>
      <c r="AQ30" s="20">
        <v>67.387149596864404</v>
      </c>
      <c r="AR30" s="19">
        <v>-2.00764523449103E-2</v>
      </c>
      <c r="AS30" s="20">
        <v>85.374764729991497</v>
      </c>
      <c r="AT30" s="19">
        <v>8.6472345478902906E-3</v>
      </c>
      <c r="AU30" s="20">
        <v>64.590670851925694</v>
      </c>
      <c r="AV30" s="19">
        <v>8.8841303185502908E-3</v>
      </c>
      <c r="AW30" s="20">
        <v>68.149480521016997</v>
      </c>
      <c r="AX30" s="19">
        <v>5.6131401808678901E-3</v>
      </c>
      <c r="AY30" s="20">
        <v>88.649543314807104</v>
      </c>
      <c r="AZ30" s="19">
        <v>1.01398434247466E-2</v>
      </c>
      <c r="BA30" s="20">
        <v>112.907029263213</v>
      </c>
      <c r="BB30" s="19">
        <v>8.2539567776792597E-2</v>
      </c>
      <c r="BC30" s="20">
        <v>101.347255003648</v>
      </c>
      <c r="BD30" s="19">
        <v>4.8081534770842101E-2</v>
      </c>
      <c r="BE30" s="20">
        <v>84.751020129852805</v>
      </c>
      <c r="BF30" s="19">
        <v>5.0227075434417E-3</v>
      </c>
      <c r="BG30" s="20"/>
      <c r="BH30" s="19"/>
    </row>
    <row r="31" spans="1:60" x14ac:dyDescent="0.15">
      <c r="A31" s="17">
        <v>1999</v>
      </c>
      <c r="B31" s="17"/>
      <c r="C31" s="20">
        <v>91.682209491353206</v>
      </c>
      <c r="D31" s="19">
        <v>2.4254717245642001E-3</v>
      </c>
      <c r="E31" s="20">
        <v>90.759680667519106</v>
      </c>
      <c r="F31" s="19">
        <v>-1.6161065266351299E-4</v>
      </c>
      <c r="G31" s="20">
        <v>98.749949127249494</v>
      </c>
      <c r="H31" s="19">
        <v>-7.6344666154010393E-2</v>
      </c>
      <c r="I31" s="20">
        <v>71.823144065646304</v>
      </c>
      <c r="J31" s="19">
        <v>-1.85621634531665E-2</v>
      </c>
      <c r="K31" s="20">
        <v>105.58585093700501</v>
      </c>
      <c r="L31" s="19">
        <v>-8.2013593221408297E-3</v>
      </c>
      <c r="M31" s="20">
        <v>178.81001399259199</v>
      </c>
      <c r="N31" s="19">
        <v>-2.2918411725645901E-2</v>
      </c>
      <c r="O31" s="20">
        <v>84.6573752601347</v>
      </c>
      <c r="P31" s="19">
        <v>-4.6162057470541303E-3</v>
      </c>
      <c r="Q31" s="20">
        <v>66.480684247995697</v>
      </c>
      <c r="R31" s="19">
        <v>-8.3103613601620604E-3</v>
      </c>
      <c r="S31" s="20">
        <v>155.383361463619</v>
      </c>
      <c r="T31" s="19">
        <v>1.31124635734414E-2</v>
      </c>
      <c r="U31" s="20">
        <v>77.026270996745495</v>
      </c>
      <c r="V31" s="19">
        <v>2.14482428757343E-2</v>
      </c>
      <c r="W31" s="20">
        <v>104.110280971487</v>
      </c>
      <c r="X31" s="19">
        <v>1.2532937104501301E-3</v>
      </c>
      <c r="Y31" s="20">
        <v>119.807562751986</v>
      </c>
      <c r="Z31" s="19">
        <v>-3.2678711450722102E-3</v>
      </c>
      <c r="AA31" s="20">
        <v>68.618258771655604</v>
      </c>
      <c r="AB31" s="19">
        <v>3.3413750915154902E-2</v>
      </c>
      <c r="AC31" s="20">
        <v>75.362319509336004</v>
      </c>
      <c r="AD31" s="19">
        <v>1.9835779086367199E-2</v>
      </c>
      <c r="AE31" s="20">
        <v>105.86153040217501</v>
      </c>
      <c r="AF31" s="19">
        <v>-2.1651385762989899E-2</v>
      </c>
      <c r="AG31" s="20">
        <v>127.74546001990301</v>
      </c>
      <c r="AH31" s="19">
        <v>-1.5831566853857899E-2</v>
      </c>
      <c r="AI31" s="20">
        <v>134.51656919141399</v>
      </c>
      <c r="AJ31" s="19">
        <v>-1.5833611240020699E-2</v>
      </c>
      <c r="AK31" s="20">
        <v>138.620202306116</v>
      </c>
      <c r="AL31" s="19">
        <v>-2.6930163034584099E-2</v>
      </c>
      <c r="AM31" s="20">
        <v>69.305468489344094</v>
      </c>
      <c r="AN31" s="19">
        <v>1.22170824665162E-2</v>
      </c>
      <c r="AO31" s="20">
        <v>79.312032280146894</v>
      </c>
      <c r="AP31" s="19">
        <v>-6.78108020242152E-4</v>
      </c>
      <c r="AQ31" s="20">
        <v>67.541892027938005</v>
      </c>
      <c r="AR31" s="19">
        <v>2.2963195802066E-3</v>
      </c>
      <c r="AS31" s="20">
        <v>85.804202695036807</v>
      </c>
      <c r="AT31" s="19">
        <v>5.0300339497681996E-3</v>
      </c>
      <c r="AU31" s="20">
        <v>65.793446852659002</v>
      </c>
      <c r="AV31" s="19">
        <v>1.86215127489648E-2</v>
      </c>
      <c r="AW31" s="20">
        <v>69.0741753343369</v>
      </c>
      <c r="AX31" s="19">
        <v>1.35686260005274E-2</v>
      </c>
      <c r="AY31" s="20">
        <v>89.733884275625797</v>
      </c>
      <c r="AZ31" s="19">
        <v>1.22317715384952E-2</v>
      </c>
      <c r="BA31" s="20">
        <v>120.748918920013</v>
      </c>
      <c r="BB31" s="19">
        <v>6.9454397197166798E-2</v>
      </c>
      <c r="BC31" s="20">
        <v>105.882747140463</v>
      </c>
      <c r="BD31" s="19">
        <v>4.4751997838042602E-2</v>
      </c>
      <c r="BE31" s="20">
        <v>84.6211104502745</v>
      </c>
      <c r="BF31" s="19">
        <v>-1.53283912546731E-3</v>
      </c>
      <c r="BG31" s="20"/>
      <c r="BH31" s="19"/>
    </row>
    <row r="32" spans="1:60" x14ac:dyDescent="0.15">
      <c r="A32" s="17">
        <v>2000</v>
      </c>
      <c r="B32" s="17"/>
      <c r="C32" s="20">
        <v>93.006767876230597</v>
      </c>
      <c r="D32" s="19">
        <v>1.4447278182168699E-2</v>
      </c>
      <c r="E32" s="20">
        <v>91.953984330851796</v>
      </c>
      <c r="F32" s="19">
        <v>1.31589672258527E-2</v>
      </c>
      <c r="G32" s="20">
        <v>98.383027993250195</v>
      </c>
      <c r="H32" s="19">
        <v>-3.71565896734338E-3</v>
      </c>
      <c r="I32" s="20">
        <v>72.5580397159939</v>
      </c>
      <c r="J32" s="19">
        <v>1.02320172683599E-2</v>
      </c>
      <c r="K32" s="20">
        <v>105.607593172962</v>
      </c>
      <c r="L32" s="19">
        <v>2.0591997661845201E-4</v>
      </c>
      <c r="M32" s="20">
        <v>172.084627973332</v>
      </c>
      <c r="N32" s="19">
        <v>-3.7611909249887103E-2</v>
      </c>
      <c r="O32" s="20">
        <v>85.501778528320003</v>
      </c>
      <c r="P32" s="19">
        <v>9.9743615437004607E-3</v>
      </c>
      <c r="Q32" s="20">
        <v>66.717864539019899</v>
      </c>
      <c r="R32" s="19">
        <v>3.5676571880547399E-3</v>
      </c>
      <c r="S32" s="20">
        <v>155.476263460621</v>
      </c>
      <c r="T32" s="19">
        <v>5.9788896395906999E-4</v>
      </c>
      <c r="U32" s="20">
        <v>80.374882296759296</v>
      </c>
      <c r="V32" s="19">
        <v>4.3473626032802803E-2</v>
      </c>
      <c r="W32" s="20">
        <v>105.833468710586</v>
      </c>
      <c r="X32" s="19">
        <v>1.6551561699958101E-2</v>
      </c>
      <c r="Y32" s="20">
        <v>120.596887508913</v>
      </c>
      <c r="Z32" s="19">
        <v>6.58827154810138E-3</v>
      </c>
      <c r="AA32" s="20">
        <v>68.908437268678298</v>
      </c>
      <c r="AB32" s="19">
        <v>4.22888167402147E-3</v>
      </c>
      <c r="AC32" s="20">
        <v>76.044686666384095</v>
      </c>
      <c r="AD32" s="19">
        <v>9.0544871958671003E-3</v>
      </c>
      <c r="AE32" s="20">
        <v>98.294876699769603</v>
      </c>
      <c r="AF32" s="19">
        <v>-7.1476896977204302E-2</v>
      </c>
      <c r="AG32" s="20">
        <v>131.857629811734</v>
      </c>
      <c r="AH32" s="19">
        <v>3.2190340002616898E-2</v>
      </c>
      <c r="AI32" s="20">
        <v>139.65596128957699</v>
      </c>
      <c r="AJ32" s="19">
        <v>3.8206386983074402E-2</v>
      </c>
      <c r="AK32" s="20">
        <v>143.46373585635899</v>
      </c>
      <c r="AL32" s="19">
        <v>3.4941036513184399E-2</v>
      </c>
      <c r="AM32" s="20">
        <v>70.971011377231804</v>
      </c>
      <c r="AN32" s="19">
        <v>2.40319115387519E-2</v>
      </c>
      <c r="AO32" s="20">
        <v>80.507441976802795</v>
      </c>
      <c r="AP32" s="19">
        <v>1.50722363592126E-2</v>
      </c>
      <c r="AQ32" s="20">
        <v>71.427400421125199</v>
      </c>
      <c r="AR32" s="19">
        <v>5.7527384509453099E-2</v>
      </c>
      <c r="AS32" s="20">
        <v>86.435324315356596</v>
      </c>
      <c r="AT32" s="19">
        <v>7.3553695564643204E-3</v>
      </c>
      <c r="AU32" s="20">
        <v>67.631514905599303</v>
      </c>
      <c r="AV32" s="19">
        <v>2.7936947232093601E-2</v>
      </c>
      <c r="AW32" s="20">
        <v>70.143195454492499</v>
      </c>
      <c r="AX32" s="19">
        <v>1.5476408006048799E-2</v>
      </c>
      <c r="AY32" s="20">
        <v>91.097710095821995</v>
      </c>
      <c r="AZ32" s="19">
        <v>1.51985599554245E-2</v>
      </c>
      <c r="BA32" s="20">
        <v>126.018736717202</v>
      </c>
      <c r="BB32" s="19">
        <v>4.3642774149224899E-2</v>
      </c>
      <c r="BC32" s="20">
        <v>110.195082754851</v>
      </c>
      <c r="BD32" s="19">
        <v>4.0727462507817301E-2</v>
      </c>
      <c r="BE32" s="20">
        <v>87.489995353393994</v>
      </c>
      <c r="BF32" s="19">
        <v>3.3902709239502997E-2</v>
      </c>
      <c r="BG32" s="20"/>
      <c r="BH32" s="19"/>
    </row>
    <row r="33" spans="1:60" x14ac:dyDescent="0.15">
      <c r="A33" s="17">
        <v>2001</v>
      </c>
      <c r="B33" s="17"/>
      <c r="C33" s="20">
        <v>94.021374107084796</v>
      </c>
      <c r="D33" s="19">
        <v>1.0908950542227101E-2</v>
      </c>
      <c r="E33" s="20">
        <v>93.045969749617399</v>
      </c>
      <c r="F33" s="19">
        <v>1.1875346421495099E-2</v>
      </c>
      <c r="G33" s="20">
        <v>95.422284480166297</v>
      </c>
      <c r="H33" s="19">
        <v>-3.0094047453865201E-2</v>
      </c>
      <c r="I33" s="20">
        <v>74.725306011960797</v>
      </c>
      <c r="J33" s="19">
        <v>2.9869416324503E-2</v>
      </c>
      <c r="K33" s="20">
        <v>106.572160818014</v>
      </c>
      <c r="L33" s="19">
        <v>9.1335065602022904E-3</v>
      </c>
      <c r="M33" s="20">
        <v>170.805717258203</v>
      </c>
      <c r="N33" s="19">
        <v>-7.4318707614418099E-3</v>
      </c>
      <c r="O33" s="20">
        <v>86.670209569600203</v>
      </c>
      <c r="P33" s="19">
        <v>1.36655758674447E-2</v>
      </c>
      <c r="Q33" s="20">
        <v>68.133357992786202</v>
      </c>
      <c r="R33" s="19">
        <v>2.1216108512263299E-2</v>
      </c>
      <c r="S33" s="20">
        <v>158.25522667991601</v>
      </c>
      <c r="T33" s="19">
        <v>1.78738744901656E-2</v>
      </c>
      <c r="U33" s="20">
        <v>83.321682219850402</v>
      </c>
      <c r="V33" s="19">
        <v>3.6663194257764903E-2</v>
      </c>
      <c r="W33" s="20">
        <v>106.097643440894</v>
      </c>
      <c r="X33" s="19">
        <v>2.4961359910649098E-3</v>
      </c>
      <c r="Y33" s="20">
        <v>120.20253436249099</v>
      </c>
      <c r="Z33" s="19">
        <v>-3.2700109809404901E-3</v>
      </c>
      <c r="AA33" s="20">
        <v>71.569942249811305</v>
      </c>
      <c r="AB33" s="19">
        <v>3.8623789576821603E-2</v>
      </c>
      <c r="AC33" s="20">
        <v>78.048883060996403</v>
      </c>
      <c r="AD33" s="19">
        <v>2.63555086156761E-2</v>
      </c>
      <c r="AE33" s="20">
        <v>98.329566856560405</v>
      </c>
      <c r="AF33" s="19">
        <v>3.5291927672642702E-4</v>
      </c>
      <c r="AG33" s="20">
        <v>127.68552175293</v>
      </c>
      <c r="AH33" s="19">
        <v>-3.1641006021122103E-2</v>
      </c>
      <c r="AI33" s="20">
        <v>139.600837587348</v>
      </c>
      <c r="AJ33" s="19">
        <v>-3.9471069992624798E-4</v>
      </c>
      <c r="AK33" s="20">
        <v>130.58329734375101</v>
      </c>
      <c r="AL33" s="19">
        <v>-8.9781842329161296E-2</v>
      </c>
      <c r="AM33" s="20">
        <v>73.210795424651806</v>
      </c>
      <c r="AN33" s="19">
        <v>3.1559139484640002E-2</v>
      </c>
      <c r="AO33" s="20">
        <v>81.913013062310995</v>
      </c>
      <c r="AP33" s="19">
        <v>1.7458896357844599E-2</v>
      </c>
      <c r="AQ33" s="20">
        <v>75.215043512945897</v>
      </c>
      <c r="AR33" s="19">
        <v>5.3027872629962003E-2</v>
      </c>
      <c r="AS33" s="20">
        <v>87.256534414793606</v>
      </c>
      <c r="AT33" s="19">
        <v>9.5008621294794295E-3</v>
      </c>
      <c r="AU33" s="20">
        <v>69.594587956382099</v>
      </c>
      <c r="AV33" s="19">
        <v>2.9026010337383799E-2</v>
      </c>
      <c r="AW33" s="20">
        <v>71.951472159497101</v>
      </c>
      <c r="AX33" s="19">
        <v>2.5779787950747101E-2</v>
      </c>
      <c r="AY33" s="20">
        <v>91.204415875457897</v>
      </c>
      <c r="AZ33" s="19">
        <v>1.17133328075547E-3</v>
      </c>
      <c r="BA33" s="20">
        <v>124.57610257172</v>
      </c>
      <c r="BB33" s="19">
        <v>-1.14477750139597E-2</v>
      </c>
      <c r="BC33" s="20">
        <v>109.736704677273</v>
      </c>
      <c r="BD33" s="19">
        <v>-4.1596962960467297E-3</v>
      </c>
      <c r="BE33" s="20">
        <v>88.487793072672304</v>
      </c>
      <c r="BF33" s="19">
        <v>1.14047065067033E-2</v>
      </c>
      <c r="BG33" s="20"/>
      <c r="BH33" s="19"/>
    </row>
    <row r="34" spans="1:60" x14ac:dyDescent="0.15">
      <c r="A34" s="17">
        <v>2002</v>
      </c>
      <c r="B34" s="17"/>
      <c r="C34" s="20">
        <v>93.591968009421706</v>
      </c>
      <c r="D34" s="19">
        <v>-4.56711148652278E-3</v>
      </c>
      <c r="E34" s="20">
        <v>92.818857547346994</v>
      </c>
      <c r="F34" s="19">
        <v>-2.44086017784073E-3</v>
      </c>
      <c r="G34" s="20">
        <v>93.865791948526393</v>
      </c>
      <c r="H34" s="19">
        <v>-1.63116251106252E-2</v>
      </c>
      <c r="I34" s="20">
        <v>75.184529927146002</v>
      </c>
      <c r="J34" s="19">
        <v>6.1454939389840001E-3</v>
      </c>
      <c r="K34" s="20">
        <v>106.105482217586</v>
      </c>
      <c r="L34" s="19">
        <v>-4.3789916320171596E-3</v>
      </c>
      <c r="M34" s="20">
        <v>166.69435964686599</v>
      </c>
      <c r="N34" s="19">
        <v>-2.4070374676758498E-2</v>
      </c>
      <c r="O34" s="20">
        <v>86.819604065788496</v>
      </c>
      <c r="P34" s="19">
        <v>1.7237121835760301E-3</v>
      </c>
      <c r="Q34" s="20">
        <v>66.127175724630305</v>
      </c>
      <c r="R34" s="19">
        <v>-2.9444934570351099E-2</v>
      </c>
      <c r="S34" s="20">
        <v>160.410429572059</v>
      </c>
      <c r="T34" s="19">
        <v>1.3618525829177899E-2</v>
      </c>
      <c r="U34" s="20">
        <v>82.534516117384499</v>
      </c>
      <c r="V34" s="19">
        <v>-9.4473140903339504E-3</v>
      </c>
      <c r="W34" s="20">
        <v>105.153746731997</v>
      </c>
      <c r="X34" s="19">
        <v>-8.8964908011630595E-3</v>
      </c>
      <c r="Y34" s="20">
        <v>119.93463180826301</v>
      </c>
      <c r="Z34" s="19">
        <v>-2.2287596151668899E-3</v>
      </c>
      <c r="AA34" s="20">
        <v>72.090463868378393</v>
      </c>
      <c r="AB34" s="19">
        <v>7.2729081819045104E-3</v>
      </c>
      <c r="AC34" s="20">
        <v>80.406421331634903</v>
      </c>
      <c r="AD34" s="19">
        <v>3.0205919395362501E-2</v>
      </c>
      <c r="AE34" s="20">
        <v>99.175324478303693</v>
      </c>
      <c r="AF34" s="19">
        <v>8.6012544220506193E-3</v>
      </c>
      <c r="AG34" s="20">
        <v>122.95369101482299</v>
      </c>
      <c r="AH34" s="19">
        <v>-3.7058475175152698E-2</v>
      </c>
      <c r="AI34" s="20">
        <v>140.255971965795</v>
      </c>
      <c r="AJ34" s="19">
        <v>4.69291151664786E-3</v>
      </c>
      <c r="AK34" s="20">
        <v>116.28436306790999</v>
      </c>
      <c r="AL34" s="19">
        <v>-0.10950048411015401</v>
      </c>
      <c r="AM34" s="20">
        <v>73.829094095179997</v>
      </c>
      <c r="AN34" s="19">
        <v>8.4454576260477605E-3</v>
      </c>
      <c r="AO34" s="20">
        <v>83.017638008653904</v>
      </c>
      <c r="AP34" s="19">
        <v>1.34853414011602E-2</v>
      </c>
      <c r="AQ34" s="20">
        <v>75.720806843564702</v>
      </c>
      <c r="AR34" s="19">
        <v>6.7242310447079802E-3</v>
      </c>
      <c r="AS34" s="20">
        <v>88.297831889747499</v>
      </c>
      <c r="AT34" s="19">
        <v>1.1933747792501399E-2</v>
      </c>
      <c r="AU34" s="20">
        <v>70.508122833976401</v>
      </c>
      <c r="AV34" s="19">
        <v>1.3126521823318299E-2</v>
      </c>
      <c r="AW34" s="20">
        <v>73.154713356721203</v>
      </c>
      <c r="AX34" s="19">
        <v>1.6722954529085898E-2</v>
      </c>
      <c r="AY34" s="20">
        <v>91.267057255341797</v>
      </c>
      <c r="AZ34" s="19">
        <v>6.8682397976682597E-4</v>
      </c>
      <c r="BA34" s="20">
        <v>117.520287788562</v>
      </c>
      <c r="BB34" s="19">
        <v>-5.6638589886014598E-2</v>
      </c>
      <c r="BC34" s="20">
        <v>105.99788443517799</v>
      </c>
      <c r="BD34" s="19">
        <v>-3.4070826649021203E-2</v>
      </c>
      <c r="BE34" s="20">
        <v>89.289814312213906</v>
      </c>
      <c r="BF34" s="19">
        <v>9.0636370474617093E-3</v>
      </c>
      <c r="BG34" s="20"/>
      <c r="BH34" s="19"/>
    </row>
    <row r="35" spans="1:60" x14ac:dyDescent="0.15">
      <c r="A35" s="17">
        <v>2003</v>
      </c>
      <c r="B35" s="17"/>
      <c r="C35" s="20">
        <v>94.694461817929493</v>
      </c>
      <c r="D35" s="19">
        <v>1.1779790851249101E-2</v>
      </c>
      <c r="E35" s="20">
        <v>93.969818940150503</v>
      </c>
      <c r="F35" s="19">
        <v>1.24000814405241E-2</v>
      </c>
      <c r="G35" s="20">
        <v>99.763786137559194</v>
      </c>
      <c r="H35" s="19">
        <v>6.2834330447742101E-2</v>
      </c>
      <c r="I35" s="20">
        <v>75.012801555210899</v>
      </c>
      <c r="J35" s="19">
        <v>-2.2840918484358101E-3</v>
      </c>
      <c r="K35" s="20">
        <v>106.478342055117</v>
      </c>
      <c r="L35" s="19">
        <v>3.5140487535401102E-3</v>
      </c>
      <c r="M35" s="20">
        <v>166.82406409997401</v>
      </c>
      <c r="N35" s="19">
        <v>7.7809743163159695E-4</v>
      </c>
      <c r="O35" s="20">
        <v>87.201113655167603</v>
      </c>
      <c r="P35" s="19">
        <v>4.3942793045916896E-3</v>
      </c>
      <c r="Q35" s="20">
        <v>64.892489797790304</v>
      </c>
      <c r="R35" s="19">
        <v>-1.8671384545161401E-2</v>
      </c>
      <c r="S35" s="20">
        <v>161.79165785198299</v>
      </c>
      <c r="T35" s="19">
        <v>8.6105889972927195E-3</v>
      </c>
      <c r="U35" s="20">
        <v>81.560450083408995</v>
      </c>
      <c r="V35" s="19">
        <v>-1.18019233624647E-2</v>
      </c>
      <c r="W35" s="20">
        <v>105.233737209355</v>
      </c>
      <c r="X35" s="19">
        <v>7.6070021129992504E-4</v>
      </c>
      <c r="Y35" s="20">
        <v>119.941421137476</v>
      </c>
      <c r="Z35" s="19">
        <v>5.6608580111916502E-5</v>
      </c>
      <c r="AA35" s="20">
        <v>72.4399481078663</v>
      </c>
      <c r="AB35" s="19">
        <v>4.8478567168885904E-3</v>
      </c>
      <c r="AC35" s="20">
        <v>81.660267701036702</v>
      </c>
      <c r="AD35" s="19">
        <v>1.55938586575111E-2</v>
      </c>
      <c r="AE35" s="20">
        <v>100.48941594874501</v>
      </c>
      <c r="AF35" s="19">
        <v>1.32501857428133E-2</v>
      </c>
      <c r="AG35" s="20">
        <v>131.286702214656</v>
      </c>
      <c r="AH35" s="19">
        <v>6.7773575002547895E-2</v>
      </c>
      <c r="AI35" s="20">
        <v>140.54141712404399</v>
      </c>
      <c r="AJ35" s="19">
        <v>2.03517293594291E-3</v>
      </c>
      <c r="AK35" s="20">
        <v>136.50676773692501</v>
      </c>
      <c r="AL35" s="19">
        <v>0.17390476359409601</v>
      </c>
      <c r="AM35" s="20">
        <v>74.411081378709397</v>
      </c>
      <c r="AN35" s="19">
        <v>7.8828988850807597E-3</v>
      </c>
      <c r="AO35" s="20">
        <v>83.621698895074303</v>
      </c>
      <c r="AP35" s="19">
        <v>7.2762957476264498E-3</v>
      </c>
      <c r="AQ35" s="20">
        <v>76.595358602397695</v>
      </c>
      <c r="AR35" s="19">
        <v>1.1549688854210999E-2</v>
      </c>
      <c r="AS35" s="20">
        <v>89.703539435455795</v>
      </c>
      <c r="AT35" s="19">
        <v>1.5920068654273999E-2</v>
      </c>
      <c r="AU35" s="20">
        <v>71.770709460516898</v>
      </c>
      <c r="AV35" s="19">
        <v>1.7906966967670399E-2</v>
      </c>
      <c r="AW35" s="20">
        <v>74.622474800927506</v>
      </c>
      <c r="AX35" s="19">
        <v>2.0063798719970299E-2</v>
      </c>
      <c r="AY35" s="20">
        <v>91.325066133358007</v>
      </c>
      <c r="AZ35" s="19">
        <v>6.3559492067288804E-4</v>
      </c>
      <c r="BA35" s="20">
        <v>117.02529907070399</v>
      </c>
      <c r="BB35" s="19">
        <v>-4.2119426966418204E-3</v>
      </c>
      <c r="BC35" s="20">
        <v>106.14848458012101</v>
      </c>
      <c r="BD35" s="19">
        <v>1.4207844406060001E-3</v>
      </c>
      <c r="BE35" s="20">
        <v>90.289477914791703</v>
      </c>
      <c r="BF35" s="19">
        <v>1.11957182381672E-2</v>
      </c>
      <c r="BG35" s="20"/>
      <c r="BH35" s="19"/>
    </row>
    <row r="36" spans="1:60" x14ac:dyDescent="0.15">
      <c r="A36" s="17">
        <v>2004</v>
      </c>
      <c r="B36" s="17"/>
      <c r="C36" s="20">
        <v>95.102631604825703</v>
      </c>
      <c r="D36" s="19">
        <v>4.3103871024798802E-3</v>
      </c>
      <c r="E36" s="20">
        <v>94.412333529230906</v>
      </c>
      <c r="F36" s="19">
        <v>4.70911399076157E-3</v>
      </c>
      <c r="G36" s="20">
        <v>97.734788029339697</v>
      </c>
      <c r="H36" s="19">
        <v>-2.03380223102375E-2</v>
      </c>
      <c r="I36" s="20">
        <v>75.588915243322901</v>
      </c>
      <c r="J36" s="19">
        <v>7.6802049272612898E-3</v>
      </c>
      <c r="K36" s="20">
        <v>107.597607277492</v>
      </c>
      <c r="L36" s="19">
        <v>1.0511670268087E-2</v>
      </c>
      <c r="M36" s="20">
        <v>167.230627557963</v>
      </c>
      <c r="N36" s="19">
        <v>2.4370792078613999E-3</v>
      </c>
      <c r="O36" s="20">
        <v>88.360316325975205</v>
      </c>
      <c r="P36" s="19">
        <v>1.3293438836017499E-2</v>
      </c>
      <c r="Q36" s="20">
        <v>64.945311789276701</v>
      </c>
      <c r="R36" s="19">
        <v>8.1399236877843805E-4</v>
      </c>
      <c r="S36" s="20">
        <v>168.528446667639</v>
      </c>
      <c r="T36" s="19">
        <v>4.1638666078935002E-2</v>
      </c>
      <c r="U36" s="20">
        <v>82.496753848733206</v>
      </c>
      <c r="V36" s="19">
        <v>1.14798749193599E-2</v>
      </c>
      <c r="W36" s="20">
        <v>106.69796355109</v>
      </c>
      <c r="X36" s="19">
        <v>1.39140391718857E-2</v>
      </c>
      <c r="Y36" s="20">
        <v>119.710219933928</v>
      </c>
      <c r="Z36" s="19">
        <v>-1.9276176766610501E-3</v>
      </c>
      <c r="AA36" s="20">
        <v>72.483865684030505</v>
      </c>
      <c r="AB36" s="19">
        <v>6.0626183910028597E-4</v>
      </c>
      <c r="AC36" s="20">
        <v>82.334223893297903</v>
      </c>
      <c r="AD36" s="19">
        <v>8.2531714778182295E-3</v>
      </c>
      <c r="AE36" s="20">
        <v>101.40527599363701</v>
      </c>
      <c r="AF36" s="19">
        <v>9.1139951033161193E-3</v>
      </c>
      <c r="AG36" s="20">
        <v>125.71347704439</v>
      </c>
      <c r="AH36" s="19">
        <v>-4.2450797196155202E-2</v>
      </c>
      <c r="AI36" s="20">
        <v>134.75956956147601</v>
      </c>
      <c r="AJ36" s="19">
        <v>-4.1139812596770201E-2</v>
      </c>
      <c r="AK36" s="20">
        <v>129.96138753839301</v>
      </c>
      <c r="AL36" s="19">
        <v>-4.7949125944775101E-2</v>
      </c>
      <c r="AM36" s="20">
        <v>76.004116919641604</v>
      </c>
      <c r="AN36" s="19">
        <v>2.1408579359633001E-2</v>
      </c>
      <c r="AO36" s="20">
        <v>84.188337908861001</v>
      </c>
      <c r="AP36" s="19">
        <v>6.7762198242074002E-3</v>
      </c>
      <c r="AQ36" s="20">
        <v>75.197780933697103</v>
      </c>
      <c r="AR36" s="19">
        <v>-1.8246244866550999E-2</v>
      </c>
      <c r="AS36" s="20">
        <v>91.104129013205394</v>
      </c>
      <c r="AT36" s="19">
        <v>1.5613537509936701E-2</v>
      </c>
      <c r="AU36" s="20">
        <v>73.439846766600994</v>
      </c>
      <c r="AV36" s="19">
        <v>2.3256525100986601E-2</v>
      </c>
      <c r="AW36" s="20">
        <v>76.006118513249902</v>
      </c>
      <c r="AX36" s="19">
        <v>1.8541916708250599E-2</v>
      </c>
      <c r="AY36" s="20">
        <v>91.447125798270804</v>
      </c>
      <c r="AZ36" s="19">
        <v>1.33654066819378E-3</v>
      </c>
      <c r="BA36" s="20">
        <v>116.344701277024</v>
      </c>
      <c r="BB36" s="19">
        <v>-5.8158175974275502E-3</v>
      </c>
      <c r="BC36" s="20">
        <v>105.955671964335</v>
      </c>
      <c r="BD36" s="19">
        <v>-1.8164424725280999E-3</v>
      </c>
      <c r="BE36" s="20">
        <v>90.776748082016994</v>
      </c>
      <c r="BF36" s="19">
        <v>5.39675473242984E-3</v>
      </c>
      <c r="BG36" s="20"/>
      <c r="BH36" s="19"/>
    </row>
    <row r="37" spans="1:60" x14ac:dyDescent="0.15">
      <c r="A37" s="17">
        <v>2005</v>
      </c>
      <c r="B37" s="17"/>
      <c r="C37" s="20">
        <v>96.007106242375102</v>
      </c>
      <c r="D37" s="19">
        <v>9.5105111424014198E-3</v>
      </c>
      <c r="E37" s="20">
        <v>95.412469532275495</v>
      </c>
      <c r="F37" s="19">
        <v>1.0593277018567699E-2</v>
      </c>
      <c r="G37" s="20">
        <v>92.069673778325097</v>
      </c>
      <c r="H37" s="19">
        <v>-5.7964153452852399E-2</v>
      </c>
      <c r="I37" s="20">
        <v>77.579603626051195</v>
      </c>
      <c r="J37" s="19">
        <v>2.6335718356590199E-2</v>
      </c>
      <c r="K37" s="20">
        <v>108.199639034846</v>
      </c>
      <c r="L37" s="19">
        <v>5.5952151036344801E-3</v>
      </c>
      <c r="M37" s="20">
        <v>166.09750235668599</v>
      </c>
      <c r="N37" s="19">
        <v>-6.7758234112004203E-3</v>
      </c>
      <c r="O37" s="20">
        <v>89.240041223363306</v>
      </c>
      <c r="P37" s="19">
        <v>9.9561085107788792E-3</v>
      </c>
      <c r="Q37" s="20">
        <v>63.5870208038234</v>
      </c>
      <c r="R37" s="19">
        <v>-2.0914380854163299E-2</v>
      </c>
      <c r="S37" s="20">
        <v>153.31358002847901</v>
      </c>
      <c r="T37" s="19">
        <v>-9.0280702991144393E-2</v>
      </c>
      <c r="U37" s="20">
        <v>84.027076816413796</v>
      </c>
      <c r="V37" s="19">
        <v>1.8550099201316301E-2</v>
      </c>
      <c r="W37" s="20">
        <v>109.704946796277</v>
      </c>
      <c r="X37" s="19">
        <v>2.8182199032764602E-2</v>
      </c>
      <c r="Y37" s="20">
        <v>119.269440779555</v>
      </c>
      <c r="Z37" s="19">
        <v>-3.68205116168518E-3</v>
      </c>
      <c r="AA37" s="20">
        <v>75.316183282030195</v>
      </c>
      <c r="AB37" s="19">
        <v>3.9075145499912499E-2</v>
      </c>
      <c r="AC37" s="20">
        <v>83.036661952738896</v>
      </c>
      <c r="AD37" s="19">
        <v>8.5315440678879195E-3</v>
      </c>
      <c r="AE37" s="20">
        <v>100.077707733564</v>
      </c>
      <c r="AF37" s="19">
        <v>-1.3091707971450201E-2</v>
      </c>
      <c r="AG37" s="20">
        <v>124.816913786269</v>
      </c>
      <c r="AH37" s="19">
        <v>-7.1317990656182299E-3</v>
      </c>
      <c r="AI37" s="20">
        <v>135.18416811396801</v>
      </c>
      <c r="AJ37" s="19">
        <v>3.1507859061408201E-3</v>
      </c>
      <c r="AK37" s="20">
        <v>125.112987275297</v>
      </c>
      <c r="AL37" s="19">
        <v>-3.7306467366421597E-2</v>
      </c>
      <c r="AM37" s="20">
        <v>77.671808169427194</v>
      </c>
      <c r="AN37" s="19">
        <v>2.1942117313839899E-2</v>
      </c>
      <c r="AO37" s="20">
        <v>85.179051472643494</v>
      </c>
      <c r="AP37" s="19">
        <v>1.17678242425341E-2</v>
      </c>
      <c r="AQ37" s="20">
        <v>75.545253352903302</v>
      </c>
      <c r="AR37" s="19">
        <v>4.6207802263820196E-3</v>
      </c>
      <c r="AS37" s="20">
        <v>92.1092484388206</v>
      </c>
      <c r="AT37" s="19">
        <v>1.10326440360298E-2</v>
      </c>
      <c r="AU37" s="20">
        <v>74.914539305593607</v>
      </c>
      <c r="AV37" s="19">
        <v>2.0080277995122801E-2</v>
      </c>
      <c r="AW37" s="20">
        <v>77.316368830905006</v>
      </c>
      <c r="AX37" s="19">
        <v>1.7238747922994499E-2</v>
      </c>
      <c r="AY37" s="20">
        <v>91.737031026187495</v>
      </c>
      <c r="AZ37" s="19">
        <v>3.1701950759639398E-3</v>
      </c>
      <c r="BA37" s="20">
        <v>114.247564680097</v>
      </c>
      <c r="BB37" s="19">
        <v>-1.8025200751804499E-2</v>
      </c>
      <c r="BC37" s="20">
        <v>105.54468757853201</v>
      </c>
      <c r="BD37" s="19">
        <v>-3.8788332722918799E-3</v>
      </c>
      <c r="BE37" s="20">
        <v>92.7880303666592</v>
      </c>
      <c r="BF37" s="19">
        <v>2.2156359719175601E-2</v>
      </c>
      <c r="BG37" s="20"/>
      <c r="BH37" s="19"/>
    </row>
    <row r="38" spans="1:60" x14ac:dyDescent="0.15">
      <c r="A38" s="17">
        <v>2006</v>
      </c>
      <c r="B38" s="17"/>
      <c r="C38" s="20">
        <v>98.048476599357102</v>
      </c>
      <c r="D38" s="19">
        <v>2.1262700615393999E-2</v>
      </c>
      <c r="E38" s="20">
        <v>97.511435423909802</v>
      </c>
      <c r="F38" s="19">
        <v>2.1998863481091001E-2</v>
      </c>
      <c r="G38" s="20">
        <v>94.098354579198897</v>
      </c>
      <c r="H38" s="19">
        <v>2.2034191255616099E-2</v>
      </c>
      <c r="I38" s="20">
        <v>79.854019358143503</v>
      </c>
      <c r="J38" s="19">
        <v>2.9317186809246599E-2</v>
      </c>
      <c r="K38" s="20">
        <v>109.719212117829</v>
      </c>
      <c r="L38" s="19">
        <v>1.40441603737049E-2</v>
      </c>
      <c r="M38" s="20">
        <v>165.157757290022</v>
      </c>
      <c r="N38" s="19">
        <v>-5.6577916785684997E-3</v>
      </c>
      <c r="O38" s="20">
        <v>91.140847656512406</v>
      </c>
      <c r="P38" s="19">
        <v>2.1299927780081201E-2</v>
      </c>
      <c r="Q38" s="20">
        <v>65.321234635983203</v>
      </c>
      <c r="R38" s="19">
        <v>2.7273078849065199E-2</v>
      </c>
      <c r="S38" s="20">
        <v>167.04311131984801</v>
      </c>
      <c r="T38" s="19">
        <v>8.9551958077155797E-2</v>
      </c>
      <c r="U38" s="20">
        <v>87.1997981513924</v>
      </c>
      <c r="V38" s="19">
        <v>3.77583209506447E-2</v>
      </c>
      <c r="W38" s="20">
        <v>112.98948662814</v>
      </c>
      <c r="X38" s="19">
        <v>2.99397604919505E-2</v>
      </c>
      <c r="Y38" s="20">
        <v>118.86646525294201</v>
      </c>
      <c r="Z38" s="19">
        <v>-3.3786988853020698E-3</v>
      </c>
      <c r="AA38" s="20">
        <v>75.703570031100398</v>
      </c>
      <c r="AB38" s="19">
        <v>5.1434729189558902E-3</v>
      </c>
      <c r="AC38" s="20">
        <v>84.615556038265694</v>
      </c>
      <c r="AD38" s="19">
        <v>1.9014421442247201E-2</v>
      </c>
      <c r="AE38" s="20">
        <v>98.202804373804497</v>
      </c>
      <c r="AF38" s="19">
        <v>-1.8734475461318501E-2</v>
      </c>
      <c r="AG38" s="20">
        <v>130.06648143760799</v>
      </c>
      <c r="AH38" s="19">
        <v>4.2058143340475002E-2</v>
      </c>
      <c r="AI38" s="20">
        <v>136.86835521984699</v>
      </c>
      <c r="AJ38" s="19">
        <v>1.24584641040109E-2</v>
      </c>
      <c r="AK38" s="20">
        <v>138.557474847896</v>
      </c>
      <c r="AL38" s="19">
        <v>0.10745876879285</v>
      </c>
      <c r="AM38" s="20">
        <v>79.875625741327099</v>
      </c>
      <c r="AN38" s="19">
        <v>2.8373455232208401E-2</v>
      </c>
      <c r="AO38" s="20">
        <v>86.414864573652594</v>
      </c>
      <c r="AP38" s="19">
        <v>1.45084158562854E-2</v>
      </c>
      <c r="AQ38" s="20">
        <v>76.581629160703898</v>
      </c>
      <c r="AR38" s="19">
        <v>1.37186092018147E-2</v>
      </c>
      <c r="AS38" s="20">
        <v>93.180733715195302</v>
      </c>
      <c r="AT38" s="19">
        <v>1.1632765379541801E-2</v>
      </c>
      <c r="AU38" s="20">
        <v>75.953689535464704</v>
      </c>
      <c r="AV38" s="19">
        <v>1.3871142230912299E-2</v>
      </c>
      <c r="AW38" s="20">
        <v>78.599456557798106</v>
      </c>
      <c r="AX38" s="19">
        <v>1.65952921262933E-2</v>
      </c>
      <c r="AY38" s="20">
        <v>92.335848146851902</v>
      </c>
      <c r="AZ38" s="19">
        <v>6.5275397946278303E-3</v>
      </c>
      <c r="BA38" s="20">
        <v>114.548593625585</v>
      </c>
      <c r="BB38" s="19">
        <v>2.6348828207423099E-3</v>
      </c>
      <c r="BC38" s="20">
        <v>106.12849677362</v>
      </c>
      <c r="BD38" s="19">
        <v>5.5313934645280201E-3</v>
      </c>
      <c r="BE38" s="20">
        <v>93.817284801588897</v>
      </c>
      <c r="BF38" s="19">
        <v>1.1092534574368399E-2</v>
      </c>
      <c r="BG38" s="20"/>
      <c r="BH38" s="19"/>
    </row>
    <row r="39" spans="1:60" x14ac:dyDescent="0.15">
      <c r="A39" s="17">
        <v>2007</v>
      </c>
      <c r="B39" s="17"/>
      <c r="C39" s="20">
        <v>100.47084188629999</v>
      </c>
      <c r="D39" s="19">
        <v>2.47057921852427E-2</v>
      </c>
      <c r="E39" s="20">
        <v>99.987785010586506</v>
      </c>
      <c r="F39" s="19">
        <v>2.5395478754993001E-2</v>
      </c>
      <c r="G39" s="20">
        <v>96.534879937499099</v>
      </c>
      <c r="H39" s="19">
        <v>2.58933896261648E-2</v>
      </c>
      <c r="I39" s="20">
        <v>81.384800443190002</v>
      </c>
      <c r="J39" s="19">
        <v>1.91697437067135E-2</v>
      </c>
      <c r="K39" s="20">
        <v>112.163099188042</v>
      </c>
      <c r="L39" s="19">
        <v>2.2274012208446398E-2</v>
      </c>
      <c r="M39" s="20">
        <v>167.00428076259999</v>
      </c>
      <c r="N39" s="19">
        <v>1.11803617515587E-2</v>
      </c>
      <c r="O39" s="20">
        <v>93.544229171437294</v>
      </c>
      <c r="P39" s="19">
        <v>2.63699710582312E-2</v>
      </c>
      <c r="Q39" s="20">
        <v>64.853456916476304</v>
      </c>
      <c r="R39" s="19">
        <v>-7.1611891923615296E-3</v>
      </c>
      <c r="S39" s="20">
        <v>185.67199652137199</v>
      </c>
      <c r="T39" s="19">
        <v>0.111521421352444</v>
      </c>
      <c r="U39" s="20">
        <v>90.812785434063301</v>
      </c>
      <c r="V39" s="19">
        <v>4.1433436306792498E-2</v>
      </c>
      <c r="W39" s="20">
        <v>115.156579637818</v>
      </c>
      <c r="X39" s="19">
        <v>1.91795986896568E-2</v>
      </c>
      <c r="Y39" s="20">
        <v>118.555239230653</v>
      </c>
      <c r="Z39" s="19">
        <v>-2.61828280690202E-3</v>
      </c>
      <c r="AA39" s="20">
        <v>76.707738556782203</v>
      </c>
      <c r="AB39" s="19">
        <v>1.3264480463329099E-2</v>
      </c>
      <c r="AC39" s="20">
        <v>85.556658612854207</v>
      </c>
      <c r="AD39" s="19">
        <v>1.1122098803711299E-2</v>
      </c>
      <c r="AE39" s="20">
        <v>98.248544915214495</v>
      </c>
      <c r="AF39" s="19">
        <v>4.6577632585620399E-4</v>
      </c>
      <c r="AG39" s="20">
        <v>137.43810575810099</v>
      </c>
      <c r="AH39" s="19">
        <v>5.6675818696838798E-2</v>
      </c>
      <c r="AI39" s="20">
        <v>136.216528816411</v>
      </c>
      <c r="AJ39" s="19">
        <v>-4.7624332329299097E-3</v>
      </c>
      <c r="AK39" s="20">
        <v>164.723765623529</v>
      </c>
      <c r="AL39" s="19">
        <v>0.188847918918539</v>
      </c>
      <c r="AM39" s="20">
        <v>82.388844198563902</v>
      </c>
      <c r="AN39" s="19">
        <v>3.1464147340463502E-2</v>
      </c>
      <c r="AO39" s="20">
        <v>88.310484414033994</v>
      </c>
      <c r="AP39" s="19">
        <v>2.1936270452240999E-2</v>
      </c>
      <c r="AQ39" s="20">
        <v>77.864886735135698</v>
      </c>
      <c r="AR39" s="19">
        <v>1.67567285848533E-2</v>
      </c>
      <c r="AS39" s="20">
        <v>93.9532737305083</v>
      </c>
      <c r="AT39" s="19">
        <v>8.2907698245240392E-3</v>
      </c>
      <c r="AU39" s="20">
        <v>76.636441645713205</v>
      </c>
      <c r="AV39" s="19">
        <v>8.9890578643936295E-3</v>
      </c>
      <c r="AW39" s="20">
        <v>80.164548211607197</v>
      </c>
      <c r="AX39" s="19">
        <v>1.9912245228542302E-2</v>
      </c>
      <c r="AY39" s="20">
        <v>92.2898007164207</v>
      </c>
      <c r="AZ39" s="19">
        <v>-4.98695050247577E-4</v>
      </c>
      <c r="BA39" s="20">
        <v>115.384656906865</v>
      </c>
      <c r="BB39" s="19">
        <v>7.2987651338047898E-3</v>
      </c>
      <c r="BC39" s="20">
        <v>106.712167902689</v>
      </c>
      <c r="BD39" s="19">
        <v>5.4996645275671198E-3</v>
      </c>
      <c r="BE39" s="20">
        <v>93.983221565503896</v>
      </c>
      <c r="BF39" s="19">
        <v>1.7687227280767099E-3</v>
      </c>
      <c r="BG39" s="20"/>
      <c r="BH39" s="19"/>
    </row>
    <row r="40" spans="1:60" x14ac:dyDescent="0.15">
      <c r="A40" s="17">
        <v>2008</v>
      </c>
      <c r="B40" s="17"/>
      <c r="C40" s="20">
        <v>101.828652511808</v>
      </c>
      <c r="D40" s="19">
        <v>1.35144744486555E-2</v>
      </c>
      <c r="E40" s="20">
        <v>101.400725271795</v>
      </c>
      <c r="F40" s="19">
        <v>1.4131128727966199E-2</v>
      </c>
      <c r="G40" s="20">
        <v>101.777528739435</v>
      </c>
      <c r="H40" s="19">
        <v>5.4308337103957202E-2</v>
      </c>
      <c r="I40" s="20">
        <v>80.382156169356406</v>
      </c>
      <c r="J40" s="19">
        <v>-1.23197976572238E-2</v>
      </c>
      <c r="K40" s="20">
        <v>113.69924270252601</v>
      </c>
      <c r="L40" s="19">
        <v>1.3695622941977801E-2</v>
      </c>
      <c r="M40" s="20">
        <v>164.21820733921999</v>
      </c>
      <c r="N40" s="19">
        <v>-1.6682646760062699E-2</v>
      </c>
      <c r="O40" s="20">
        <v>95.8725190657578</v>
      </c>
      <c r="P40" s="19">
        <v>2.4889722379917999E-2</v>
      </c>
      <c r="Q40" s="20">
        <v>64.046551818620202</v>
      </c>
      <c r="R40" s="19">
        <v>-1.2441975127020799E-2</v>
      </c>
      <c r="S40" s="20">
        <v>220.20097426824699</v>
      </c>
      <c r="T40" s="19">
        <v>0.185967611668896</v>
      </c>
      <c r="U40" s="20">
        <v>92.751901577849907</v>
      </c>
      <c r="V40" s="19">
        <v>2.1352897992480899E-2</v>
      </c>
      <c r="W40" s="20">
        <v>118.956552766605</v>
      </c>
      <c r="X40" s="19">
        <v>3.2998315343671002E-2</v>
      </c>
      <c r="Y40" s="20">
        <v>119.47581641718099</v>
      </c>
      <c r="Z40" s="19">
        <v>7.7649641846446703E-3</v>
      </c>
      <c r="AA40" s="20">
        <v>82.329443545594302</v>
      </c>
      <c r="AB40" s="19">
        <v>7.3287325302267003E-2</v>
      </c>
      <c r="AC40" s="20">
        <v>86.661606921318693</v>
      </c>
      <c r="AD40" s="19">
        <v>1.2914813719693699E-2</v>
      </c>
      <c r="AE40" s="20">
        <v>97.495653274952602</v>
      </c>
      <c r="AF40" s="19">
        <v>-7.66313273048047E-3</v>
      </c>
      <c r="AG40" s="20">
        <v>127.338305179157</v>
      </c>
      <c r="AH40" s="19">
        <v>-7.3486174181710703E-2</v>
      </c>
      <c r="AI40" s="20">
        <v>135.97178870648401</v>
      </c>
      <c r="AJ40" s="19">
        <v>-1.7966990647464401E-3</v>
      </c>
      <c r="AK40" s="20">
        <v>133.744013458691</v>
      </c>
      <c r="AL40" s="19">
        <v>-0.188070932251763</v>
      </c>
      <c r="AM40" s="20">
        <v>84.772314361460403</v>
      </c>
      <c r="AN40" s="19">
        <v>2.8929525424001599E-2</v>
      </c>
      <c r="AO40" s="20">
        <v>91.029396673012101</v>
      </c>
      <c r="AP40" s="19">
        <v>3.07881026473684E-2</v>
      </c>
      <c r="AQ40" s="20">
        <v>84.040315087903593</v>
      </c>
      <c r="AR40" s="19">
        <v>7.9309540046905005E-2</v>
      </c>
      <c r="AS40" s="20">
        <v>94.332573452827802</v>
      </c>
      <c r="AT40" s="19">
        <v>4.0371102278729002E-3</v>
      </c>
      <c r="AU40" s="20">
        <v>76.546062459227301</v>
      </c>
      <c r="AV40" s="19">
        <v>-1.17932389011177E-3</v>
      </c>
      <c r="AW40" s="20">
        <v>81.398712898131905</v>
      </c>
      <c r="AX40" s="19">
        <v>1.53953925277162E-2</v>
      </c>
      <c r="AY40" s="20">
        <v>92.361290095939907</v>
      </c>
      <c r="AZ40" s="19">
        <v>7.7461841898318596E-4</v>
      </c>
      <c r="BA40" s="20">
        <v>115.101616277069</v>
      </c>
      <c r="BB40" s="19">
        <v>-2.4530179088230199E-3</v>
      </c>
      <c r="BC40" s="20">
        <v>107.09375002716401</v>
      </c>
      <c r="BD40" s="19">
        <v>3.5758070703075799E-3</v>
      </c>
      <c r="BE40" s="20">
        <v>95.479354865166997</v>
      </c>
      <c r="BF40" s="19">
        <v>1.59191531716152E-2</v>
      </c>
      <c r="BG40" s="20"/>
      <c r="BH40" s="19"/>
    </row>
    <row r="41" spans="1:60" x14ac:dyDescent="0.15">
      <c r="A41" s="17">
        <v>2009</v>
      </c>
      <c r="B41" s="17"/>
      <c r="C41" s="20">
        <v>102.31407624816001</v>
      </c>
      <c r="D41" s="19">
        <v>4.7670643220583103E-3</v>
      </c>
      <c r="E41" s="20">
        <v>102.069167192303</v>
      </c>
      <c r="F41" s="19">
        <v>6.5920822431555504E-3</v>
      </c>
      <c r="G41" s="20">
        <v>87.922080450364305</v>
      </c>
      <c r="H41" s="19">
        <v>-0.13613465035629299</v>
      </c>
      <c r="I41" s="20">
        <v>94.351698974542003</v>
      </c>
      <c r="J41" s="19">
        <v>0.17378910284209501</v>
      </c>
      <c r="K41" s="20">
        <v>118.373825116246</v>
      </c>
      <c r="L41" s="19">
        <v>4.1113575628207097E-2</v>
      </c>
      <c r="M41" s="20">
        <v>168.65396283613501</v>
      </c>
      <c r="N41" s="19">
        <v>2.7011350134597399E-2</v>
      </c>
      <c r="O41" s="20">
        <v>100.357869141818</v>
      </c>
      <c r="P41" s="19">
        <v>4.6784523028786398E-2</v>
      </c>
      <c r="Q41" s="20">
        <v>74.760318947692795</v>
      </c>
      <c r="R41" s="19">
        <v>0.16728093589509699</v>
      </c>
      <c r="S41" s="20">
        <v>135.70411670858499</v>
      </c>
      <c r="T41" s="19">
        <v>-0.38372608404869601</v>
      </c>
      <c r="U41" s="20">
        <v>92.652264096436596</v>
      </c>
      <c r="V41" s="19">
        <v>-1.0742365355139701E-3</v>
      </c>
      <c r="W41" s="20">
        <v>110.482779192884</v>
      </c>
      <c r="X41" s="19">
        <v>-7.1234189093781999E-2</v>
      </c>
      <c r="Y41" s="20">
        <v>118.442924242128</v>
      </c>
      <c r="Z41" s="19">
        <v>-8.6451987190991897E-3</v>
      </c>
      <c r="AA41" s="20">
        <v>86.825182413466706</v>
      </c>
      <c r="AB41" s="19">
        <v>5.46066956638986E-2</v>
      </c>
      <c r="AC41" s="20">
        <v>90.872866271601495</v>
      </c>
      <c r="AD41" s="19">
        <v>4.8594291057933101E-2</v>
      </c>
      <c r="AE41" s="20">
        <v>96.814089154012294</v>
      </c>
      <c r="AF41" s="19">
        <v>-6.9907128989455903E-3</v>
      </c>
      <c r="AG41" s="20">
        <v>127.250237344025</v>
      </c>
      <c r="AH41" s="19">
        <v>-6.9160520872402198E-4</v>
      </c>
      <c r="AI41" s="20">
        <v>138.67267944941401</v>
      </c>
      <c r="AJ41" s="19">
        <v>1.9863611184528299E-2</v>
      </c>
      <c r="AK41" s="20">
        <v>128.529158785531</v>
      </c>
      <c r="AL41" s="19">
        <v>-3.89913128692723E-2</v>
      </c>
      <c r="AM41" s="20">
        <v>88.461688625339093</v>
      </c>
      <c r="AN41" s="19">
        <v>4.3520980778555297E-2</v>
      </c>
      <c r="AO41" s="20">
        <v>93.544057108013604</v>
      </c>
      <c r="AP41" s="19">
        <v>2.76247072584088E-2</v>
      </c>
      <c r="AQ41" s="20">
        <v>88.807760756026198</v>
      </c>
      <c r="AR41" s="19">
        <v>5.6728079412076797E-2</v>
      </c>
      <c r="AS41" s="20">
        <v>95.477966923846594</v>
      </c>
      <c r="AT41" s="19">
        <v>1.2142078065871E-2</v>
      </c>
      <c r="AU41" s="20">
        <v>78.050826554122494</v>
      </c>
      <c r="AV41" s="19">
        <v>1.96582821709048E-2</v>
      </c>
      <c r="AW41" s="20">
        <v>84.314824235447404</v>
      </c>
      <c r="AX41" s="19">
        <v>3.5825030070990797E-2</v>
      </c>
      <c r="AY41" s="20">
        <v>92.566910786140298</v>
      </c>
      <c r="AZ41" s="19">
        <v>2.2262648127453501E-3</v>
      </c>
      <c r="BA41" s="20">
        <v>110.098922365199</v>
      </c>
      <c r="BB41" s="19">
        <v>-4.3463281174334102E-2</v>
      </c>
      <c r="BC41" s="20">
        <v>104.26891468601799</v>
      </c>
      <c r="BD41" s="19">
        <v>-2.6377219402895901E-2</v>
      </c>
      <c r="BE41" s="20">
        <v>95.989785377626603</v>
      </c>
      <c r="BF41" s="19">
        <v>5.3459778103912602E-3</v>
      </c>
      <c r="BG41" s="20"/>
      <c r="BH41" s="19"/>
    </row>
    <row r="42" spans="1:60" x14ac:dyDescent="0.15">
      <c r="A42" s="17">
        <v>2010</v>
      </c>
      <c r="B42" s="17"/>
      <c r="C42" s="20">
        <v>102.771973741054</v>
      </c>
      <c r="D42" s="19">
        <v>4.4754105171591601E-3</v>
      </c>
      <c r="E42" s="20">
        <v>102.52992705618099</v>
      </c>
      <c r="F42" s="19">
        <v>4.5141924496143702E-3</v>
      </c>
      <c r="G42" s="20">
        <v>86.373389544586701</v>
      </c>
      <c r="H42" s="19">
        <v>-1.7614356915177001E-2</v>
      </c>
      <c r="I42" s="20">
        <v>93.224158570178801</v>
      </c>
      <c r="J42" s="19">
        <v>-1.1950398526130199E-2</v>
      </c>
      <c r="K42" s="20">
        <v>114.52683990449501</v>
      </c>
      <c r="L42" s="19">
        <v>-3.2498613675555302E-2</v>
      </c>
      <c r="M42" s="20">
        <v>156.756677304058</v>
      </c>
      <c r="N42" s="19">
        <v>-7.05425792077954E-2</v>
      </c>
      <c r="O42" s="20">
        <v>98.646101614641495</v>
      </c>
      <c r="P42" s="19">
        <v>-1.7056634839038898E-2</v>
      </c>
      <c r="Q42" s="20">
        <v>72.668203951452099</v>
      </c>
      <c r="R42" s="19">
        <v>-2.7984297361071199E-2</v>
      </c>
      <c r="S42" s="20">
        <v>172.26163173360601</v>
      </c>
      <c r="T42" s="19">
        <v>0.26939134870554998</v>
      </c>
      <c r="U42" s="20">
        <v>91.1307904831977</v>
      </c>
      <c r="V42" s="19">
        <v>-1.6421332258597099E-2</v>
      </c>
      <c r="W42" s="20">
        <v>116.07297694520101</v>
      </c>
      <c r="X42" s="19">
        <v>5.0597910309232899E-2</v>
      </c>
      <c r="Y42" s="20">
        <v>116.08190697003501</v>
      </c>
      <c r="Z42" s="19">
        <v>-1.9933797541730199E-2</v>
      </c>
      <c r="AA42" s="20">
        <v>86.211032186859299</v>
      </c>
      <c r="AB42" s="19">
        <v>-7.07341130229711E-3</v>
      </c>
      <c r="AC42" s="20">
        <v>91.986737157693796</v>
      </c>
      <c r="AD42" s="19">
        <v>1.22574639911019E-2</v>
      </c>
      <c r="AE42" s="20">
        <v>97.033553481977506</v>
      </c>
      <c r="AF42" s="19">
        <v>2.2668635307414599E-3</v>
      </c>
      <c r="AG42" s="20">
        <v>124.468344777002</v>
      </c>
      <c r="AH42" s="19">
        <v>-2.1861590399257499E-2</v>
      </c>
      <c r="AI42" s="20">
        <v>132.12144776210499</v>
      </c>
      <c r="AJ42" s="19">
        <v>-4.7242410785748E-2</v>
      </c>
      <c r="AK42" s="20">
        <v>129.89690427246001</v>
      </c>
      <c r="AL42" s="19">
        <v>1.0641519012905399E-2</v>
      </c>
      <c r="AM42" s="20">
        <v>89.359405273059394</v>
      </c>
      <c r="AN42" s="19">
        <v>1.01480840086872E-2</v>
      </c>
      <c r="AO42" s="20">
        <v>95.714251094412305</v>
      </c>
      <c r="AP42" s="19">
        <v>2.31996991951369E-2</v>
      </c>
      <c r="AQ42" s="20">
        <v>89.171012563555493</v>
      </c>
      <c r="AR42" s="19">
        <v>4.09031603135701E-3</v>
      </c>
      <c r="AS42" s="20">
        <v>96.853474806849803</v>
      </c>
      <c r="AT42" s="19">
        <v>1.44065476813131E-2</v>
      </c>
      <c r="AU42" s="20">
        <v>78.037945722595495</v>
      </c>
      <c r="AV42" s="19">
        <v>-1.6503132760559101E-4</v>
      </c>
      <c r="AW42" s="20">
        <v>85.955873567174507</v>
      </c>
      <c r="AX42" s="19">
        <v>1.9463354713810801E-2</v>
      </c>
      <c r="AY42" s="20">
        <v>92.697904044192697</v>
      </c>
      <c r="AZ42" s="19">
        <v>1.4151196895293399E-3</v>
      </c>
      <c r="BA42" s="20">
        <v>110.47610667488399</v>
      </c>
      <c r="BB42" s="19">
        <v>3.4258674070768401E-3</v>
      </c>
      <c r="BC42" s="20">
        <v>104.74917815325</v>
      </c>
      <c r="BD42" s="19">
        <v>4.6060081154337702E-3</v>
      </c>
      <c r="BE42" s="20">
        <v>96.643659022559206</v>
      </c>
      <c r="BF42" s="19">
        <v>6.8119086042348603E-3</v>
      </c>
      <c r="BG42" s="20"/>
      <c r="BH42" s="19"/>
    </row>
    <row r="43" spans="1:60" x14ac:dyDescent="0.15">
      <c r="A43" s="17">
        <v>2011</v>
      </c>
      <c r="B43" s="17"/>
      <c r="C43" s="20">
        <v>102.88115472118</v>
      </c>
      <c r="D43" s="19">
        <v>1.0623614216118699E-3</v>
      </c>
      <c r="E43" s="20">
        <v>102.570885384132</v>
      </c>
      <c r="F43" s="19">
        <v>3.9947680767227201E-4</v>
      </c>
      <c r="G43" s="20">
        <v>81.429973815497206</v>
      </c>
      <c r="H43" s="19">
        <v>-5.7233087125030099E-2</v>
      </c>
      <c r="I43" s="20">
        <v>91.258195533099496</v>
      </c>
      <c r="J43" s="19">
        <v>-2.1088557593140801E-2</v>
      </c>
      <c r="K43" s="20">
        <v>108.379272727093</v>
      </c>
      <c r="L43" s="19">
        <v>-5.3677960402367199E-2</v>
      </c>
      <c r="M43" s="20">
        <v>132.48155924474099</v>
      </c>
      <c r="N43" s="19">
        <v>-0.15485859024831999</v>
      </c>
      <c r="O43" s="20">
        <v>97.388133259842107</v>
      </c>
      <c r="P43" s="19">
        <v>-1.2752337235926401E-2</v>
      </c>
      <c r="Q43" s="20">
        <v>72.779408470756906</v>
      </c>
      <c r="R43" s="19">
        <v>1.5303050475710101E-3</v>
      </c>
      <c r="S43" s="20">
        <v>176.27371305048399</v>
      </c>
      <c r="T43" s="19">
        <v>2.3290626452919998E-2</v>
      </c>
      <c r="U43" s="20">
        <v>94.640718662205799</v>
      </c>
      <c r="V43" s="19">
        <v>3.8515282929046699E-2</v>
      </c>
      <c r="W43" s="20">
        <v>117.82740112057</v>
      </c>
      <c r="X43" s="19">
        <v>1.51148374198908E-2</v>
      </c>
      <c r="Y43" s="20">
        <v>111.87519038852</v>
      </c>
      <c r="Z43" s="19">
        <v>-3.6239209807265402E-2</v>
      </c>
      <c r="AA43" s="20">
        <v>87.402956580656806</v>
      </c>
      <c r="AB43" s="19">
        <v>1.3825659704596699E-2</v>
      </c>
      <c r="AC43" s="20">
        <v>93.8004349369415</v>
      </c>
      <c r="AD43" s="19">
        <v>1.9716948717710001E-2</v>
      </c>
      <c r="AE43" s="20">
        <v>99.348652486165406</v>
      </c>
      <c r="AF43" s="19">
        <v>2.38587470118563E-2</v>
      </c>
      <c r="AG43" s="20">
        <v>124.96299722620699</v>
      </c>
      <c r="AH43" s="19">
        <v>3.9741224975011801E-3</v>
      </c>
      <c r="AI43" s="20">
        <v>127.722705640144</v>
      </c>
      <c r="AJ43" s="19">
        <v>-3.3293172277986803E-2</v>
      </c>
      <c r="AK43" s="20">
        <v>137.80299310504199</v>
      </c>
      <c r="AL43" s="19">
        <v>6.0864336042981901E-2</v>
      </c>
      <c r="AM43" s="20">
        <v>90.448071054177902</v>
      </c>
      <c r="AN43" s="19">
        <v>1.2183001641425099E-2</v>
      </c>
      <c r="AO43" s="20">
        <v>97.349896933116796</v>
      </c>
      <c r="AP43" s="19">
        <v>1.7088843301830799E-2</v>
      </c>
      <c r="AQ43" s="20">
        <v>90.053469362447899</v>
      </c>
      <c r="AR43" s="19">
        <v>9.8962294306512693E-3</v>
      </c>
      <c r="AS43" s="20">
        <v>98.918627091142397</v>
      </c>
      <c r="AT43" s="19">
        <v>2.13224387499884E-2</v>
      </c>
      <c r="AU43" s="20">
        <v>78.0650707103011</v>
      </c>
      <c r="AV43" s="19">
        <v>3.4758715717564398E-4</v>
      </c>
      <c r="AW43" s="20">
        <v>87.690416407753105</v>
      </c>
      <c r="AX43" s="19">
        <v>2.0179456837502E-2</v>
      </c>
      <c r="AY43" s="20">
        <v>92.661795108662702</v>
      </c>
      <c r="AZ43" s="19">
        <v>-3.8953346251247001E-4</v>
      </c>
      <c r="BA43" s="20">
        <v>112.669550359987</v>
      </c>
      <c r="BB43" s="19">
        <v>1.9854462210164601E-2</v>
      </c>
      <c r="BC43" s="20">
        <v>106.58937992524901</v>
      </c>
      <c r="BD43" s="19">
        <v>1.7567696515071299E-2</v>
      </c>
      <c r="BE43" s="20">
        <v>97.961736154736002</v>
      </c>
      <c r="BF43" s="19">
        <v>1.3638526784972099E-2</v>
      </c>
      <c r="BG43" s="20"/>
      <c r="BH43" s="19"/>
    </row>
    <row r="44" spans="1:60" x14ac:dyDescent="0.15">
      <c r="A44" s="17">
        <v>2012</v>
      </c>
      <c r="B44" s="17"/>
      <c r="C44" s="20">
        <v>103.088934979382</v>
      </c>
      <c r="D44" s="19">
        <v>2.01961436733122E-3</v>
      </c>
      <c r="E44" s="20">
        <v>102.908794790199</v>
      </c>
      <c r="F44" s="19">
        <v>3.2943988423357298E-3</v>
      </c>
      <c r="G44" s="20">
        <v>80.165254138969999</v>
      </c>
      <c r="H44" s="19">
        <v>-1.55313776643577E-2</v>
      </c>
      <c r="I44" s="20">
        <v>86.880453799356701</v>
      </c>
      <c r="J44" s="19">
        <v>-4.79709434113781E-2</v>
      </c>
      <c r="K44" s="20">
        <v>109.733762225614</v>
      </c>
      <c r="L44" s="19">
        <v>1.2497680270755899E-2</v>
      </c>
      <c r="M44" s="20">
        <v>139.049228984688</v>
      </c>
      <c r="N44" s="19">
        <v>4.9574218309239797E-2</v>
      </c>
      <c r="O44" s="20">
        <v>97.346031988620297</v>
      </c>
      <c r="P44" s="19">
        <v>-4.3230391437465399E-4</v>
      </c>
      <c r="Q44" s="20">
        <v>73.140724407738006</v>
      </c>
      <c r="R44" s="19">
        <v>4.9645352246339104E-3</v>
      </c>
      <c r="S44" s="20">
        <v>159.23889395264399</v>
      </c>
      <c r="T44" s="19">
        <v>-9.6638453930798104E-2</v>
      </c>
      <c r="U44" s="20">
        <v>94.764144082057598</v>
      </c>
      <c r="V44" s="19">
        <v>1.3041471112698001E-3</v>
      </c>
      <c r="W44" s="20">
        <v>115.078672880114</v>
      </c>
      <c r="X44" s="19">
        <v>-2.33284296718302E-2</v>
      </c>
      <c r="Y44" s="20">
        <v>106.82758635477801</v>
      </c>
      <c r="Z44" s="19">
        <v>-4.5118171564335403E-2</v>
      </c>
      <c r="AA44" s="20">
        <v>87.254486047978105</v>
      </c>
      <c r="AB44" s="19">
        <v>-1.6986900499383901E-3</v>
      </c>
      <c r="AC44" s="20">
        <v>94.399419974764996</v>
      </c>
      <c r="AD44" s="19">
        <v>6.3857383841148304E-3</v>
      </c>
      <c r="AE44" s="20">
        <v>99.6627702962911</v>
      </c>
      <c r="AF44" s="19">
        <v>3.1617722260446298E-3</v>
      </c>
      <c r="AG44" s="20">
        <v>123.427825399239</v>
      </c>
      <c r="AH44" s="19">
        <v>-1.2285011251676701E-2</v>
      </c>
      <c r="AI44" s="20">
        <v>124.53344030180899</v>
      </c>
      <c r="AJ44" s="19">
        <v>-2.4970230017836301E-2</v>
      </c>
      <c r="AK44" s="20">
        <v>137.45633768223399</v>
      </c>
      <c r="AL44" s="19">
        <v>-2.51558703477373E-3</v>
      </c>
      <c r="AM44" s="20">
        <v>91.911550093169396</v>
      </c>
      <c r="AN44" s="19">
        <v>1.61803233826283E-2</v>
      </c>
      <c r="AO44" s="20">
        <v>97.945015604903602</v>
      </c>
      <c r="AP44" s="19">
        <v>6.1131926230559904E-3</v>
      </c>
      <c r="AQ44" s="20">
        <v>92.1477901833738</v>
      </c>
      <c r="AR44" s="19">
        <v>2.3256414614040599E-2</v>
      </c>
      <c r="AS44" s="20">
        <v>102.60142102445</v>
      </c>
      <c r="AT44" s="19">
        <v>3.7230540309810302E-2</v>
      </c>
      <c r="AU44" s="20">
        <v>79.849577684847105</v>
      </c>
      <c r="AV44" s="19">
        <v>2.28592244688837E-2</v>
      </c>
      <c r="AW44" s="20">
        <v>88.831782547313594</v>
      </c>
      <c r="AX44" s="19">
        <v>1.30158595011476E-2</v>
      </c>
      <c r="AY44" s="20">
        <v>92.974988184149396</v>
      </c>
      <c r="AZ44" s="19">
        <v>3.37995907719502E-3</v>
      </c>
      <c r="BA44" s="20">
        <v>108.75928481657201</v>
      </c>
      <c r="BB44" s="19">
        <v>-3.4705610619027397E-2</v>
      </c>
      <c r="BC44" s="20">
        <v>105.504446819623</v>
      </c>
      <c r="BD44" s="19">
        <v>-1.01786229208446E-2</v>
      </c>
      <c r="BE44" s="20">
        <v>100.82411795089401</v>
      </c>
      <c r="BF44" s="19">
        <v>2.92193861451839E-2</v>
      </c>
      <c r="BG44" s="20"/>
      <c r="BH44" s="19"/>
    </row>
    <row r="45" spans="1:60" x14ac:dyDescent="0.15">
      <c r="A45" s="17">
        <v>2013</v>
      </c>
      <c r="B45" s="17"/>
      <c r="C45" s="20">
        <v>103.05789815676</v>
      </c>
      <c r="D45" s="19">
        <v>-3.0106841852795002E-4</v>
      </c>
      <c r="E45" s="20">
        <v>102.85790593288399</v>
      </c>
      <c r="F45" s="19">
        <v>-4.9450445336984795E-4</v>
      </c>
      <c r="G45" s="20">
        <v>90.891879963067893</v>
      </c>
      <c r="H45" s="19">
        <v>0.13380642198804499</v>
      </c>
      <c r="I45" s="20">
        <v>86.934676201092003</v>
      </c>
      <c r="J45" s="19">
        <v>6.2410357409636895E-4</v>
      </c>
      <c r="K45" s="20">
        <v>109.67845522605499</v>
      </c>
      <c r="L45" s="19">
        <v>-5.04010784253772E-4</v>
      </c>
      <c r="M45" s="20">
        <v>136.403821458696</v>
      </c>
      <c r="N45" s="19">
        <v>-1.9024970834491499E-2</v>
      </c>
      <c r="O45" s="20">
        <v>97.998330414165196</v>
      </c>
      <c r="P45" s="19">
        <v>6.7008219258608602E-3</v>
      </c>
      <c r="Q45" s="20">
        <v>72.684255824207398</v>
      </c>
      <c r="R45" s="19">
        <v>-6.2409633925126799E-3</v>
      </c>
      <c r="S45" s="20">
        <v>150.43894064113999</v>
      </c>
      <c r="T45" s="19">
        <v>-5.5262587506549297E-2</v>
      </c>
      <c r="U45" s="20">
        <v>95.593293323714505</v>
      </c>
      <c r="V45" s="19">
        <v>8.7496093558230292E-3</v>
      </c>
      <c r="W45" s="20">
        <v>113.045945156823</v>
      </c>
      <c r="X45" s="19">
        <v>-1.7663809222140101E-2</v>
      </c>
      <c r="Y45" s="20">
        <v>103.931454469625</v>
      </c>
      <c r="Z45" s="19">
        <v>-2.71103371701658E-2</v>
      </c>
      <c r="AA45" s="20">
        <v>90.396789075725394</v>
      </c>
      <c r="AB45" s="19">
        <v>3.6013082765962399E-2</v>
      </c>
      <c r="AC45" s="20">
        <v>95.254378160628605</v>
      </c>
      <c r="AD45" s="19">
        <v>9.0568160915833803E-3</v>
      </c>
      <c r="AE45" s="20">
        <v>99.381593417696806</v>
      </c>
      <c r="AF45" s="19">
        <v>-2.8212829902116701E-3</v>
      </c>
      <c r="AG45" s="20">
        <v>117.79438250822599</v>
      </c>
      <c r="AH45" s="19">
        <v>-4.5641595586667902E-2</v>
      </c>
      <c r="AI45" s="20">
        <v>118.81046905142</v>
      </c>
      <c r="AJ45" s="19">
        <v>-4.5955297119547198E-2</v>
      </c>
      <c r="AK45" s="20">
        <v>129.1325844209</v>
      </c>
      <c r="AL45" s="19">
        <v>-6.0555616435645998E-2</v>
      </c>
      <c r="AM45" s="20">
        <v>94.242187389299104</v>
      </c>
      <c r="AN45" s="19">
        <v>2.53573929910571E-2</v>
      </c>
      <c r="AO45" s="20">
        <v>98.861276254280398</v>
      </c>
      <c r="AP45" s="19">
        <v>9.3548471427369294E-3</v>
      </c>
      <c r="AQ45" s="20">
        <v>92.628327981819396</v>
      </c>
      <c r="AR45" s="19">
        <v>5.2148597105727799E-3</v>
      </c>
      <c r="AS45" s="20">
        <v>102.66700044114501</v>
      </c>
      <c r="AT45" s="19">
        <v>6.3916674876529601E-4</v>
      </c>
      <c r="AU45" s="20">
        <v>82.516291436707505</v>
      </c>
      <c r="AV45" s="19">
        <v>3.3396717041954002E-2</v>
      </c>
      <c r="AW45" s="20">
        <v>89.487168364179098</v>
      </c>
      <c r="AX45" s="19">
        <v>7.3778302998308599E-3</v>
      </c>
      <c r="AY45" s="20">
        <v>93.621575591567904</v>
      </c>
      <c r="AZ45" s="19">
        <v>6.9544231200961999E-3</v>
      </c>
      <c r="BA45" s="20">
        <v>109.369852599418</v>
      </c>
      <c r="BB45" s="19">
        <v>5.6139370893737396E-3</v>
      </c>
      <c r="BC45" s="20">
        <v>106.160974198023</v>
      </c>
      <c r="BD45" s="19">
        <v>6.2227460376373901E-3</v>
      </c>
      <c r="BE45" s="20">
        <v>101.54469364181401</v>
      </c>
      <c r="BF45" s="19">
        <v>7.1468583664751097E-3</v>
      </c>
      <c r="BG45" s="20"/>
      <c r="BH45" s="19"/>
    </row>
    <row r="46" spans="1:60" x14ac:dyDescent="0.15">
      <c r="A46" s="17">
        <v>2014</v>
      </c>
      <c r="B46" s="17"/>
      <c r="C46" s="20">
        <v>102.43373169578901</v>
      </c>
      <c r="D46" s="19">
        <v>-6.0564641054656797E-3</v>
      </c>
      <c r="E46" s="20">
        <v>102.266702293609</v>
      </c>
      <c r="F46" s="19">
        <v>-5.74777051810793E-3</v>
      </c>
      <c r="G46" s="20">
        <v>89.075680529187807</v>
      </c>
      <c r="H46" s="19">
        <v>-1.9981976768640199E-2</v>
      </c>
      <c r="I46" s="20">
        <v>88.343160073543601</v>
      </c>
      <c r="J46" s="19">
        <v>1.6201634767622802E-2</v>
      </c>
      <c r="K46" s="20">
        <v>108.45535889885601</v>
      </c>
      <c r="L46" s="19">
        <v>-1.11516553062179E-2</v>
      </c>
      <c r="M46" s="20">
        <v>132.60512826874</v>
      </c>
      <c r="N46" s="19">
        <v>-2.7848876588156199E-2</v>
      </c>
      <c r="O46" s="20">
        <v>97.545809794225406</v>
      </c>
      <c r="P46" s="19">
        <v>-4.6176360150966796E-3</v>
      </c>
      <c r="Q46" s="20">
        <v>77.209532049932406</v>
      </c>
      <c r="R46" s="19">
        <v>6.2259373428404E-2</v>
      </c>
      <c r="S46" s="20">
        <v>146.650360378226</v>
      </c>
      <c r="T46" s="19">
        <v>-2.5183507985151898E-2</v>
      </c>
      <c r="U46" s="20">
        <v>96.524837107934601</v>
      </c>
      <c r="V46" s="19">
        <v>9.7448654798981699E-3</v>
      </c>
      <c r="W46" s="20">
        <v>110.802367865091</v>
      </c>
      <c r="X46" s="19">
        <v>-1.9846596785221899E-2</v>
      </c>
      <c r="Y46" s="20">
        <v>102.687170652546</v>
      </c>
      <c r="Z46" s="19">
        <v>-1.19721582212886E-2</v>
      </c>
      <c r="AA46" s="20">
        <v>89.522409044922497</v>
      </c>
      <c r="AB46" s="19">
        <v>-9.6726890384404296E-3</v>
      </c>
      <c r="AC46" s="20">
        <v>96.420367811060004</v>
      </c>
      <c r="AD46" s="19">
        <v>1.2240798511803401E-2</v>
      </c>
      <c r="AE46" s="20">
        <v>99.565733023003702</v>
      </c>
      <c r="AF46" s="19">
        <v>1.8528542255602501E-3</v>
      </c>
      <c r="AG46" s="20">
        <v>112.548888531499</v>
      </c>
      <c r="AH46" s="19">
        <v>-4.4530934880195702E-2</v>
      </c>
      <c r="AI46" s="20">
        <v>114.079324191957</v>
      </c>
      <c r="AJ46" s="19">
        <v>-3.98209425249825E-2</v>
      </c>
      <c r="AK46" s="20">
        <v>120.58393999267599</v>
      </c>
      <c r="AL46" s="19">
        <v>-6.6200521476129898E-2</v>
      </c>
      <c r="AM46" s="20">
        <v>95.718415281372501</v>
      </c>
      <c r="AN46" s="19">
        <v>1.56641938495692E-2</v>
      </c>
      <c r="AO46" s="20">
        <v>99.076205737450195</v>
      </c>
      <c r="AP46" s="19">
        <v>2.1740512697503399E-3</v>
      </c>
      <c r="AQ46" s="20">
        <v>93.185593339344905</v>
      </c>
      <c r="AR46" s="19">
        <v>6.0161439774117902E-3</v>
      </c>
      <c r="AS46" s="20">
        <v>102.03947487708299</v>
      </c>
      <c r="AT46" s="19">
        <v>-6.1122421164162598E-3</v>
      </c>
      <c r="AU46" s="20">
        <v>84.441518993449293</v>
      </c>
      <c r="AV46" s="19">
        <v>2.3331484282936601E-2</v>
      </c>
      <c r="AW46" s="20">
        <v>92.147226792979495</v>
      </c>
      <c r="AX46" s="19">
        <v>2.9725584990856001E-2</v>
      </c>
      <c r="AY46" s="20">
        <v>94.298719201905598</v>
      </c>
      <c r="AZ46" s="19">
        <v>7.2327730660264296E-3</v>
      </c>
      <c r="BA46" s="20">
        <v>107.69035373183399</v>
      </c>
      <c r="BB46" s="19">
        <v>-1.5356140907814101E-2</v>
      </c>
      <c r="BC46" s="20">
        <v>104.92397910662299</v>
      </c>
      <c r="BD46" s="19">
        <v>-1.16520698942819E-2</v>
      </c>
      <c r="BE46" s="20">
        <v>100.94289573413199</v>
      </c>
      <c r="BF46" s="19">
        <v>-5.9264338302501603E-3</v>
      </c>
      <c r="BG46" s="20"/>
      <c r="BH46" s="19"/>
    </row>
    <row r="47" spans="1:60" x14ac:dyDescent="0.15">
      <c r="A47" s="17">
        <v>2015</v>
      </c>
      <c r="B47" s="17"/>
      <c r="C47" s="20">
        <v>101.058989579818</v>
      </c>
      <c r="D47" s="19">
        <v>-1.3420795017540701E-2</v>
      </c>
      <c r="E47" s="20">
        <v>100.952898161337</v>
      </c>
      <c r="F47" s="19">
        <v>-1.2846841667971299E-2</v>
      </c>
      <c r="G47" s="20">
        <v>87.082068775961602</v>
      </c>
      <c r="H47" s="19">
        <v>-2.2381100446074099E-2</v>
      </c>
      <c r="I47" s="20">
        <v>110.54926376460099</v>
      </c>
      <c r="J47" s="19">
        <v>0.25136189007242699</v>
      </c>
      <c r="K47" s="20">
        <v>105.623549877907</v>
      </c>
      <c r="L47" s="19">
        <v>-2.6110365128101099E-2</v>
      </c>
      <c r="M47" s="20">
        <v>122.373060362636</v>
      </c>
      <c r="N47" s="19">
        <v>-7.7161932118999493E-2</v>
      </c>
      <c r="O47" s="20">
        <v>97.365430813375497</v>
      </c>
      <c r="P47" s="19">
        <v>-1.8491720067771401E-3</v>
      </c>
      <c r="Q47" s="20">
        <v>93.911631446540596</v>
      </c>
      <c r="R47" s="19">
        <v>0.216321728071176</v>
      </c>
      <c r="S47" s="20">
        <v>121.585022995355</v>
      </c>
      <c r="T47" s="19">
        <v>-0.170919030258261</v>
      </c>
      <c r="U47" s="20">
        <v>100.303437239614</v>
      </c>
      <c r="V47" s="19">
        <v>3.9146402572575602E-2</v>
      </c>
      <c r="W47" s="20">
        <v>100.982768089198</v>
      </c>
      <c r="X47" s="19">
        <v>-8.8622652792487294E-2</v>
      </c>
      <c r="Y47" s="20">
        <v>100.148093915079</v>
      </c>
      <c r="Z47" s="19">
        <v>-2.47263287257024E-2</v>
      </c>
      <c r="AA47" s="20">
        <v>95.227626055047807</v>
      </c>
      <c r="AB47" s="19">
        <v>6.3729484840632705E-2</v>
      </c>
      <c r="AC47" s="20">
        <v>97.751400974678702</v>
      </c>
      <c r="AD47" s="19">
        <v>1.3804481292033001E-2</v>
      </c>
      <c r="AE47" s="20">
        <v>100.99866095193801</v>
      </c>
      <c r="AF47" s="19">
        <v>1.4391778028724199E-2</v>
      </c>
      <c r="AG47" s="20">
        <v>110.63098917009501</v>
      </c>
      <c r="AH47" s="19">
        <v>-1.7040589084693501E-2</v>
      </c>
      <c r="AI47" s="20">
        <v>113.567924840598</v>
      </c>
      <c r="AJ47" s="19">
        <v>-4.4828399447611701E-3</v>
      </c>
      <c r="AK47" s="20">
        <v>115.057185739517</v>
      </c>
      <c r="AL47" s="19">
        <v>-4.5833253196858402E-2</v>
      </c>
      <c r="AM47" s="20">
        <v>96.583470814543503</v>
      </c>
      <c r="AN47" s="19">
        <v>9.0375037094798695E-3</v>
      </c>
      <c r="AO47" s="20">
        <v>98.532435757949202</v>
      </c>
      <c r="AP47" s="19">
        <v>-5.4884013316165402E-3</v>
      </c>
      <c r="AQ47" s="20">
        <v>94.573577303690101</v>
      </c>
      <c r="AR47" s="19">
        <v>1.48948342185331E-2</v>
      </c>
      <c r="AS47" s="20">
        <v>102.36423774203401</v>
      </c>
      <c r="AT47" s="19">
        <v>3.1827179171823902E-3</v>
      </c>
      <c r="AU47" s="20">
        <v>92.498583387588695</v>
      </c>
      <c r="AV47" s="19">
        <v>9.5415910208394697E-2</v>
      </c>
      <c r="AW47" s="20">
        <v>94.316495630547195</v>
      </c>
      <c r="AX47" s="19">
        <v>2.3541336110322501E-2</v>
      </c>
      <c r="AY47" s="20">
        <v>96.012336262114701</v>
      </c>
      <c r="AZ47" s="19">
        <v>1.81722198849819E-2</v>
      </c>
      <c r="BA47" s="20">
        <v>104.343970808157</v>
      </c>
      <c r="BB47" s="19">
        <v>-3.1074119526159901E-2</v>
      </c>
      <c r="BC47" s="20">
        <v>102.820718065698</v>
      </c>
      <c r="BD47" s="19">
        <v>-2.0045570696354299E-2</v>
      </c>
      <c r="BE47" s="20">
        <v>100.573631033738</v>
      </c>
      <c r="BF47" s="19">
        <v>-3.6581544219519398E-3</v>
      </c>
      <c r="BG47" s="20"/>
      <c r="BH47" s="19"/>
    </row>
    <row r="48" spans="1:60" x14ac:dyDescent="0.15">
      <c r="A48" s="17">
        <v>2016</v>
      </c>
      <c r="B48" s="17"/>
      <c r="C48" s="20">
        <v>100.442112425801</v>
      </c>
      <c r="D48" s="19">
        <v>-6.1041294454119398E-3</v>
      </c>
      <c r="E48" s="20">
        <v>100.50545845436299</v>
      </c>
      <c r="F48" s="19">
        <v>-4.4321630693420202E-3</v>
      </c>
      <c r="G48" s="20">
        <v>91.667311927765198</v>
      </c>
      <c r="H48" s="19">
        <v>5.2654274482157398E-2</v>
      </c>
      <c r="I48" s="20">
        <v>112.840907580033</v>
      </c>
      <c r="J48" s="19">
        <v>2.07296162578883E-2</v>
      </c>
      <c r="K48" s="20">
        <v>104.503160397982</v>
      </c>
      <c r="L48" s="19">
        <v>-1.0607383308182E-2</v>
      </c>
      <c r="M48" s="20">
        <v>117.63995121215601</v>
      </c>
      <c r="N48" s="19">
        <v>-3.8677705178361298E-2</v>
      </c>
      <c r="O48" s="20">
        <v>97.738710159395694</v>
      </c>
      <c r="P48" s="19">
        <v>3.8337975080262598E-3</v>
      </c>
      <c r="Q48" s="20">
        <v>95.614736334289901</v>
      </c>
      <c r="R48" s="19">
        <v>1.8135185828592301E-2</v>
      </c>
      <c r="S48" s="20">
        <v>121.931237490051</v>
      </c>
      <c r="T48" s="19">
        <v>2.8475093902744501E-3</v>
      </c>
      <c r="U48" s="20">
        <v>99.467947715254397</v>
      </c>
      <c r="V48" s="19">
        <v>-8.3296200743727695E-3</v>
      </c>
      <c r="W48" s="20">
        <v>98.117604255464002</v>
      </c>
      <c r="X48" s="19">
        <v>-2.8372799517666601E-2</v>
      </c>
      <c r="Y48" s="20">
        <v>99.314243041612798</v>
      </c>
      <c r="Z48" s="19">
        <v>-8.3261781714336607E-3</v>
      </c>
      <c r="AA48" s="20">
        <v>98.751119449957201</v>
      </c>
      <c r="AB48" s="19">
        <v>3.7000748006388501E-2</v>
      </c>
      <c r="AC48" s="20">
        <v>97.244747256926701</v>
      </c>
      <c r="AD48" s="19">
        <v>-5.1830839527635701E-3</v>
      </c>
      <c r="AE48" s="20">
        <v>99.682190724337403</v>
      </c>
      <c r="AF48" s="19">
        <v>-1.30345314996511E-2</v>
      </c>
      <c r="AG48" s="20">
        <v>109.333438565145</v>
      </c>
      <c r="AH48" s="19">
        <v>-1.17286360239903E-2</v>
      </c>
      <c r="AI48" s="20">
        <v>111.87664998285101</v>
      </c>
      <c r="AJ48" s="19">
        <v>-1.4892187738054801E-2</v>
      </c>
      <c r="AK48" s="20">
        <v>113.308461419869</v>
      </c>
      <c r="AL48" s="19">
        <v>-1.51987405950199E-2</v>
      </c>
      <c r="AM48" s="20">
        <v>97.499803159988502</v>
      </c>
      <c r="AN48" s="19">
        <v>9.4874654815890695E-3</v>
      </c>
      <c r="AO48" s="20">
        <v>98.827153636380203</v>
      </c>
      <c r="AP48" s="19">
        <v>2.9910747274630701E-3</v>
      </c>
      <c r="AQ48" s="20">
        <v>96.282679456124697</v>
      </c>
      <c r="AR48" s="19">
        <v>1.8071666539020599E-2</v>
      </c>
      <c r="AS48" s="20">
        <v>101.792965909209</v>
      </c>
      <c r="AT48" s="19">
        <v>-5.5807755269420304E-3</v>
      </c>
      <c r="AU48" s="20">
        <v>93.378043740544996</v>
      </c>
      <c r="AV48" s="19">
        <v>9.5078251011826397E-3</v>
      </c>
      <c r="AW48" s="20">
        <v>96.407618645765396</v>
      </c>
      <c r="AX48" s="19">
        <v>2.2171339183438801E-2</v>
      </c>
      <c r="AY48" s="20">
        <v>96.753745516299603</v>
      </c>
      <c r="AZ48" s="19">
        <v>7.7220207636732301E-3</v>
      </c>
      <c r="BA48" s="20">
        <v>98.306868372981199</v>
      </c>
      <c r="BB48" s="19">
        <v>-5.7857702638852697E-2</v>
      </c>
      <c r="BC48" s="20">
        <v>99.079913386284503</v>
      </c>
      <c r="BD48" s="19">
        <v>-3.6381818273468203E-2</v>
      </c>
      <c r="BE48" s="20">
        <v>100.032650763886</v>
      </c>
      <c r="BF48" s="19">
        <v>-5.3789473870242696E-3</v>
      </c>
      <c r="BG48" s="20"/>
      <c r="BH48" s="19"/>
    </row>
    <row r="49" spans="1:60" x14ac:dyDescent="0.15">
      <c r="A49" s="17">
        <v>2017</v>
      </c>
      <c r="B49" s="17"/>
      <c r="C49" s="20">
        <v>100.107357611388</v>
      </c>
      <c r="D49" s="19">
        <v>-3.3328133621221001E-3</v>
      </c>
      <c r="E49" s="20">
        <v>100.106171750809</v>
      </c>
      <c r="F49" s="19">
        <v>-3.9727862515621703E-3</v>
      </c>
      <c r="G49" s="20">
        <v>91.391505773681402</v>
      </c>
      <c r="H49" s="19">
        <v>-3.0087732287951102E-3</v>
      </c>
      <c r="I49" s="20">
        <v>107.475843400166</v>
      </c>
      <c r="J49" s="19">
        <v>-4.75453830966528E-2</v>
      </c>
      <c r="K49" s="20">
        <v>101.458261875809</v>
      </c>
      <c r="L49" s="19">
        <v>-2.91369037125432E-2</v>
      </c>
      <c r="M49" s="20">
        <v>111.35872542331199</v>
      </c>
      <c r="N49" s="19">
        <v>-5.33936449660464E-2</v>
      </c>
      <c r="O49" s="20">
        <v>96.143123074424594</v>
      </c>
      <c r="P49" s="19">
        <v>-1.6325027027356501E-2</v>
      </c>
      <c r="Q49" s="20">
        <v>88.953109898350107</v>
      </c>
      <c r="R49" s="19">
        <v>-6.9671545321730102E-2</v>
      </c>
      <c r="S49" s="20">
        <v>139.42945207031201</v>
      </c>
      <c r="T49" s="19">
        <v>0.143508873857601</v>
      </c>
      <c r="U49" s="20">
        <v>98.887477437738198</v>
      </c>
      <c r="V49" s="19">
        <v>-5.83575202715436E-3</v>
      </c>
      <c r="W49" s="20">
        <v>101.598351260057</v>
      </c>
      <c r="X49" s="19">
        <v>3.5475254731355703E-2</v>
      </c>
      <c r="Y49" s="20">
        <v>99.406130678886797</v>
      </c>
      <c r="Z49" s="19">
        <v>9.2522114109572196E-4</v>
      </c>
      <c r="AA49" s="20">
        <v>98.650116168723102</v>
      </c>
      <c r="AB49" s="19">
        <v>-1.0228064430732901E-3</v>
      </c>
      <c r="AC49" s="20">
        <v>97.170316138410001</v>
      </c>
      <c r="AD49" s="19">
        <v>-7.6539988653578895E-4</v>
      </c>
      <c r="AE49" s="20">
        <v>99.255604707672703</v>
      </c>
      <c r="AF49" s="19">
        <v>-4.27946068966678E-3</v>
      </c>
      <c r="AG49" s="20">
        <v>106.536481637839</v>
      </c>
      <c r="AH49" s="19">
        <v>-2.5581898493377699E-2</v>
      </c>
      <c r="AI49" s="20">
        <v>109.190058025204</v>
      </c>
      <c r="AJ49" s="19">
        <v>-2.4013875621578602E-2</v>
      </c>
      <c r="AK49" s="20">
        <v>108.939537985315</v>
      </c>
      <c r="AL49" s="19">
        <v>-3.8557786239500701E-2</v>
      </c>
      <c r="AM49" s="20">
        <v>97.770228056528794</v>
      </c>
      <c r="AN49" s="19">
        <v>2.7735942819955301E-3</v>
      </c>
      <c r="AO49" s="20">
        <v>98.8518760654499</v>
      </c>
      <c r="AP49" s="19">
        <v>2.5015826278518299E-4</v>
      </c>
      <c r="AQ49" s="20">
        <v>96.496108692654403</v>
      </c>
      <c r="AR49" s="19">
        <v>2.21669398624269E-3</v>
      </c>
      <c r="AS49" s="20">
        <v>100.102021724948</v>
      </c>
      <c r="AT49" s="19">
        <v>-1.6611601490904598E-2</v>
      </c>
      <c r="AU49" s="20">
        <v>93.587165603581695</v>
      </c>
      <c r="AV49" s="19">
        <v>2.23951857052973E-3</v>
      </c>
      <c r="AW49" s="20">
        <v>96.715873456094499</v>
      </c>
      <c r="AX49" s="19">
        <v>3.1974113110473401E-3</v>
      </c>
      <c r="AY49" s="20">
        <v>97.274887444031407</v>
      </c>
      <c r="AZ49" s="19">
        <v>5.38627135260605E-3</v>
      </c>
      <c r="BA49" s="20">
        <v>100.029553712785</v>
      </c>
      <c r="BB49" s="19">
        <v>1.75235501681161E-2</v>
      </c>
      <c r="BC49" s="20">
        <v>99.931172287278599</v>
      </c>
      <c r="BD49" s="19">
        <v>8.5916395352037007E-3</v>
      </c>
      <c r="BE49" s="20">
        <v>99.684681718119805</v>
      </c>
      <c r="BF49" s="19">
        <v>-3.4785546829810801E-3</v>
      </c>
      <c r="BG49" s="20"/>
      <c r="BH49" s="19"/>
    </row>
    <row r="50" spans="1:60" x14ac:dyDescent="0.15">
      <c r="A50" s="17">
        <v>2018</v>
      </c>
      <c r="B50" s="17"/>
      <c r="C50" s="20">
        <v>100.857333279504</v>
      </c>
      <c r="D50" s="19">
        <v>7.4917137562176004E-3</v>
      </c>
      <c r="E50" s="20">
        <v>100.88015343116901</v>
      </c>
      <c r="F50" s="19">
        <v>7.7316080199993902E-3</v>
      </c>
      <c r="G50" s="20">
        <v>89.009764199787199</v>
      </c>
      <c r="H50" s="19">
        <v>-2.6060863684555301E-2</v>
      </c>
      <c r="I50" s="20">
        <v>99.682973041085006</v>
      </c>
      <c r="J50" s="19">
        <v>-7.2508110776723797E-2</v>
      </c>
      <c r="K50" s="20">
        <v>100.91342177924599</v>
      </c>
      <c r="L50" s="19">
        <v>-5.3700909762275399E-3</v>
      </c>
      <c r="M50" s="20">
        <v>109.59996411533599</v>
      </c>
      <c r="N50" s="19">
        <v>-1.5793655156253E-2</v>
      </c>
      <c r="O50" s="20">
        <v>96.179765205298594</v>
      </c>
      <c r="P50" s="19">
        <v>3.8112066367523801E-4</v>
      </c>
      <c r="Q50" s="20">
        <v>87.678564478686596</v>
      </c>
      <c r="R50" s="19">
        <v>-1.43282839815269E-2</v>
      </c>
      <c r="S50" s="20">
        <v>138.59852736299601</v>
      </c>
      <c r="T50" s="19">
        <v>-5.9594633341668599E-3</v>
      </c>
      <c r="U50" s="20">
        <v>97.111119294339801</v>
      </c>
      <c r="V50" s="19">
        <v>-1.79634286304537E-2</v>
      </c>
      <c r="W50" s="20">
        <v>106.27213611233</v>
      </c>
      <c r="X50" s="19">
        <v>4.6002565930519698E-2</v>
      </c>
      <c r="Y50" s="20">
        <v>100.205035145038</v>
      </c>
      <c r="Z50" s="19">
        <v>8.0367725883263592E-3</v>
      </c>
      <c r="AA50" s="20">
        <v>98.183102864523804</v>
      </c>
      <c r="AB50" s="19">
        <v>-4.7340370425973397E-3</v>
      </c>
      <c r="AC50" s="20">
        <v>96.610252936512794</v>
      </c>
      <c r="AD50" s="19">
        <v>-5.7637272796301504E-3</v>
      </c>
      <c r="AE50" s="20">
        <v>99.013250762594794</v>
      </c>
      <c r="AF50" s="19">
        <v>-2.4417154657585499E-3</v>
      </c>
      <c r="AG50" s="20">
        <v>110.79417380088201</v>
      </c>
      <c r="AH50" s="19">
        <v>3.9964640258310903E-2</v>
      </c>
      <c r="AI50" s="20">
        <v>112.79990011246799</v>
      </c>
      <c r="AJ50" s="19">
        <v>3.3060171892490803E-2</v>
      </c>
      <c r="AK50" s="20">
        <v>115.49298803130399</v>
      </c>
      <c r="AL50" s="19">
        <v>6.0156763716699098E-2</v>
      </c>
      <c r="AM50" s="20">
        <v>97.798824911387896</v>
      </c>
      <c r="AN50" s="19">
        <v>2.9249041786627599E-4</v>
      </c>
      <c r="AO50" s="20">
        <v>99.183451715036398</v>
      </c>
      <c r="AP50" s="19">
        <v>3.3542676455324801E-3</v>
      </c>
      <c r="AQ50" s="20">
        <v>97.4614797879278</v>
      </c>
      <c r="AR50" s="19">
        <v>1.0004248962495599E-2</v>
      </c>
      <c r="AS50" s="20">
        <v>99.212964731561996</v>
      </c>
      <c r="AT50" s="19">
        <v>-8.8815088653142506E-3</v>
      </c>
      <c r="AU50" s="20">
        <v>91.850107199687997</v>
      </c>
      <c r="AV50" s="19">
        <v>-1.8560861339166599E-2</v>
      </c>
      <c r="AW50" s="20">
        <v>96.582301831696199</v>
      </c>
      <c r="AX50" s="19">
        <v>-1.3810724095758601E-3</v>
      </c>
      <c r="AY50" s="20">
        <v>97.5615778518643</v>
      </c>
      <c r="AZ50" s="19">
        <v>2.9472191165258498E-3</v>
      </c>
      <c r="BA50" s="20">
        <v>99.969306034673593</v>
      </c>
      <c r="BB50" s="19">
        <v>-6.0229877946749199E-4</v>
      </c>
      <c r="BC50" s="20">
        <v>100.033800575241</v>
      </c>
      <c r="BD50" s="19">
        <v>1.0269897331654E-3</v>
      </c>
      <c r="BE50" s="20">
        <v>100.000308784016</v>
      </c>
      <c r="BF50" s="19">
        <v>3.1662544380526301E-3</v>
      </c>
      <c r="BG50" s="20"/>
      <c r="BH50" s="19"/>
    </row>
    <row r="51" spans="1:60" x14ac:dyDescent="0.15">
      <c r="A51" s="17">
        <v>2019</v>
      </c>
      <c r="B51" s="17"/>
      <c r="C51" s="20">
        <v>100.766464430702</v>
      </c>
      <c r="D51" s="19">
        <v>-9.0096422190555402E-4</v>
      </c>
      <c r="E51" s="20">
        <v>100.828336406226</v>
      </c>
      <c r="F51" s="19">
        <v>-5.1364934707831501E-4</v>
      </c>
      <c r="G51" s="20">
        <v>94.105178062870607</v>
      </c>
      <c r="H51" s="19">
        <v>5.7245560741476097E-2</v>
      </c>
      <c r="I51" s="20">
        <v>100.79820125749301</v>
      </c>
      <c r="J51" s="19">
        <v>1.1187750348779399E-2</v>
      </c>
      <c r="K51" s="20">
        <v>100.405508567955</v>
      </c>
      <c r="L51" s="19">
        <v>-5.0331581501796797E-3</v>
      </c>
      <c r="M51" s="20">
        <v>104.647063679399</v>
      </c>
      <c r="N51" s="19">
        <v>-4.5190712204288601E-2</v>
      </c>
      <c r="O51" s="20">
        <v>97.920047632920202</v>
      </c>
      <c r="P51" s="19">
        <v>1.8094059846236198E-2</v>
      </c>
      <c r="Q51" s="20">
        <v>91.756671476172599</v>
      </c>
      <c r="R51" s="19">
        <v>4.6512018322075702E-2</v>
      </c>
      <c r="S51" s="20">
        <v>106.170172375891</v>
      </c>
      <c r="T51" s="19">
        <v>-0.23397330118936799</v>
      </c>
      <c r="U51" s="20">
        <v>97.325157763371294</v>
      </c>
      <c r="V51" s="19">
        <v>2.2040572756938399E-3</v>
      </c>
      <c r="W51" s="20">
        <v>104.691728530204</v>
      </c>
      <c r="X51" s="19">
        <v>-1.48713260120702E-2</v>
      </c>
      <c r="Y51" s="20">
        <v>100.349893548427</v>
      </c>
      <c r="Z51" s="19">
        <v>1.4456200048123E-3</v>
      </c>
      <c r="AA51" s="20">
        <v>97.555986301949304</v>
      </c>
      <c r="AB51" s="19">
        <v>-6.3872147475295699E-3</v>
      </c>
      <c r="AC51" s="20">
        <v>97.432701395332899</v>
      </c>
      <c r="AD51" s="19">
        <v>8.51305564183291E-3</v>
      </c>
      <c r="AE51" s="20">
        <v>99.794226745034294</v>
      </c>
      <c r="AF51" s="19">
        <v>7.8875905641362393E-3</v>
      </c>
      <c r="AG51" s="20">
        <v>108.780932632144</v>
      </c>
      <c r="AH51" s="19">
        <v>-1.81710021355075E-2</v>
      </c>
      <c r="AI51" s="20">
        <v>112.500173342474</v>
      </c>
      <c r="AJ51" s="19">
        <v>-2.65715456924387E-3</v>
      </c>
      <c r="AK51" s="20">
        <v>109.157833148569</v>
      </c>
      <c r="AL51" s="19">
        <v>-5.4853155942400998E-2</v>
      </c>
      <c r="AM51" s="20">
        <v>98.983706576491002</v>
      </c>
      <c r="AN51" s="19">
        <v>1.2115500019316701E-2</v>
      </c>
      <c r="AO51" s="20">
        <v>99.893178262539493</v>
      </c>
      <c r="AP51" s="19">
        <v>7.1556951813112101E-3</v>
      </c>
      <c r="AQ51" s="20">
        <v>99.295921081127901</v>
      </c>
      <c r="AR51" s="19">
        <v>1.8822218759573899E-2</v>
      </c>
      <c r="AS51" s="20">
        <v>99.459624574541294</v>
      </c>
      <c r="AT51" s="19">
        <v>2.48616542854707E-3</v>
      </c>
      <c r="AU51" s="20">
        <v>95.270387491921795</v>
      </c>
      <c r="AV51" s="19">
        <v>3.7237629835290803E-2</v>
      </c>
      <c r="AW51" s="20">
        <v>97.628244610647599</v>
      </c>
      <c r="AX51" s="19">
        <v>1.0829549090412E-2</v>
      </c>
      <c r="AY51" s="20">
        <v>97.847881211857199</v>
      </c>
      <c r="AZ51" s="19">
        <v>2.9345913247491601E-3</v>
      </c>
      <c r="BA51" s="20">
        <v>98.518247159450596</v>
      </c>
      <c r="BB51" s="19">
        <v>-1.45150439948007E-2</v>
      </c>
      <c r="BC51" s="20">
        <v>99.520029009222199</v>
      </c>
      <c r="BD51" s="19">
        <v>-5.1359796695144002E-3</v>
      </c>
      <c r="BE51" s="20">
        <v>100.684668173134</v>
      </c>
      <c r="BF51" s="19">
        <v>6.8435727593247897E-3</v>
      </c>
      <c r="BG51" s="20"/>
      <c r="BH51" s="19"/>
    </row>
    <row r="52" spans="1:60" x14ac:dyDescent="0.15">
      <c r="A52" s="17">
        <v>2020</v>
      </c>
      <c r="B52" s="17"/>
      <c r="C52" s="20">
        <v>99.999991111620105</v>
      </c>
      <c r="D52" s="19">
        <v>-7.60643259056992E-3</v>
      </c>
      <c r="E52" s="20">
        <v>99.999991601699307</v>
      </c>
      <c r="F52" s="19">
        <v>-8.2153969216467396E-3</v>
      </c>
      <c r="G52" s="20">
        <v>100.000175431003</v>
      </c>
      <c r="H52" s="19">
        <v>6.2642646127233803E-2</v>
      </c>
      <c r="I52" s="20">
        <v>99.9993400284486</v>
      </c>
      <c r="J52" s="19">
        <v>-7.9253520308706395E-3</v>
      </c>
      <c r="K52" s="20">
        <v>100</v>
      </c>
      <c r="L52" s="19">
        <v>-4.0387083710737796E-3</v>
      </c>
      <c r="M52" s="20">
        <v>99.999094996238497</v>
      </c>
      <c r="N52" s="19">
        <v>-4.4415662702210201E-2</v>
      </c>
      <c r="O52" s="20">
        <v>100.001652174147</v>
      </c>
      <c r="P52" s="19">
        <v>2.12582059705477E-2</v>
      </c>
      <c r="Q52" s="20">
        <v>100</v>
      </c>
      <c r="R52" s="19">
        <v>8.9839009972893596E-2</v>
      </c>
      <c r="S52" s="20">
        <v>100</v>
      </c>
      <c r="T52" s="19">
        <v>-5.8115874146325401E-2</v>
      </c>
      <c r="U52" s="20">
        <v>100</v>
      </c>
      <c r="V52" s="19">
        <v>2.74835643537528E-2</v>
      </c>
      <c r="W52" s="20">
        <v>100</v>
      </c>
      <c r="X52" s="19">
        <v>-4.4814701181007402E-2</v>
      </c>
      <c r="Y52" s="20">
        <v>99.999984447835601</v>
      </c>
      <c r="Z52" s="19">
        <v>-3.4868906006618699E-3</v>
      </c>
      <c r="AA52" s="20">
        <v>99.998760154670805</v>
      </c>
      <c r="AB52" s="19">
        <v>2.50397125314363E-2</v>
      </c>
      <c r="AC52" s="20">
        <v>99.999553474817205</v>
      </c>
      <c r="AD52" s="19">
        <v>2.6344872334692598E-2</v>
      </c>
      <c r="AE52" s="20">
        <v>100</v>
      </c>
      <c r="AF52" s="19">
        <v>2.0619755438502402E-3</v>
      </c>
      <c r="AG52" s="20">
        <v>100</v>
      </c>
      <c r="AH52" s="19">
        <v>-8.0721247921616196E-2</v>
      </c>
      <c r="AI52" s="20">
        <v>100.00068957924699</v>
      </c>
      <c r="AJ52" s="19">
        <v>-0.11110635114468199</v>
      </c>
      <c r="AK52" s="20">
        <v>100</v>
      </c>
      <c r="AL52" s="19">
        <v>-8.3895336545429106E-2</v>
      </c>
      <c r="AM52" s="20">
        <v>100</v>
      </c>
      <c r="AN52" s="19">
        <v>1.02672799257484E-2</v>
      </c>
      <c r="AO52" s="20">
        <v>100</v>
      </c>
      <c r="AP52" s="19">
        <v>1.0693596831987701E-3</v>
      </c>
      <c r="AQ52" s="20">
        <v>100</v>
      </c>
      <c r="AR52" s="19">
        <v>7.09071340701706E-3</v>
      </c>
      <c r="AS52" s="20">
        <v>99.999952946062905</v>
      </c>
      <c r="AT52" s="19">
        <v>5.4326403687223702E-3</v>
      </c>
      <c r="AU52" s="20">
        <v>100.01597611830501</v>
      </c>
      <c r="AV52" s="19">
        <v>4.9811790959558101E-2</v>
      </c>
      <c r="AW52" s="20">
        <v>99.996560551696902</v>
      </c>
      <c r="AX52" s="19">
        <v>2.4258511975652399E-2</v>
      </c>
      <c r="AY52" s="20">
        <v>100.032442338878</v>
      </c>
      <c r="AZ52" s="19">
        <v>2.2326095363174502E-2</v>
      </c>
      <c r="BA52" s="20">
        <v>100</v>
      </c>
      <c r="BB52" s="19">
        <v>1.50403898087144E-2</v>
      </c>
      <c r="BC52" s="20">
        <v>99.9950508952776</v>
      </c>
      <c r="BD52" s="19">
        <v>4.7731284926717504E-3</v>
      </c>
      <c r="BE52" s="20">
        <v>100</v>
      </c>
      <c r="BF52" s="19">
        <v>-6.8001234503420899E-3</v>
      </c>
      <c r="BG52" s="20"/>
      <c r="BH52" s="19"/>
    </row>
    <row r="53" spans="1:60" x14ac:dyDescent="0.15">
      <c r="A53" s="17">
        <v>2021</v>
      </c>
      <c r="B53" s="17"/>
      <c r="C53" s="20">
        <v>101.921961200333</v>
      </c>
      <c r="D53" s="19">
        <v>1.92197025954477E-2</v>
      </c>
      <c r="E53" s="20">
        <v>101.830297659698</v>
      </c>
      <c r="F53" s="19">
        <v>1.83030621171303E-2</v>
      </c>
      <c r="G53" s="20">
        <v>101.697465132902</v>
      </c>
      <c r="H53" s="19">
        <v>1.6972867243316501E-2</v>
      </c>
      <c r="I53" s="20">
        <v>100.354067798069</v>
      </c>
      <c r="J53" s="19">
        <v>3.5473011073778901E-3</v>
      </c>
      <c r="K53" s="20">
        <v>96.632012279834299</v>
      </c>
      <c r="L53" s="19">
        <v>-3.36798772016575E-2</v>
      </c>
      <c r="M53" s="20">
        <v>95.230052619632403</v>
      </c>
      <c r="N53" s="19">
        <v>-4.7690855370095701E-2</v>
      </c>
      <c r="O53" s="20">
        <v>97.563316125841695</v>
      </c>
      <c r="P53" s="19">
        <v>-2.4382957634127098E-2</v>
      </c>
      <c r="Q53" s="20">
        <v>88.9183057518445</v>
      </c>
      <c r="R53" s="19">
        <v>-0.11081694248155501</v>
      </c>
      <c r="S53" s="20">
        <v>115.33912974981</v>
      </c>
      <c r="T53" s="19">
        <v>0.15339129749809999</v>
      </c>
      <c r="U53" s="20">
        <v>101.39075818754</v>
      </c>
      <c r="V53" s="19">
        <v>1.3907581875399099E-2</v>
      </c>
      <c r="W53" s="20">
        <v>120.231861616554</v>
      </c>
      <c r="X53" s="19">
        <v>0.20231861616554001</v>
      </c>
      <c r="Y53" s="20">
        <v>99.960946284581496</v>
      </c>
      <c r="Z53" s="19">
        <v>-3.90381693253672E-4</v>
      </c>
      <c r="AA53" s="20">
        <v>101.395811741028</v>
      </c>
      <c r="AB53" s="19">
        <v>1.3970689078503001E-2</v>
      </c>
      <c r="AC53" s="20">
        <v>100.53142277480499</v>
      </c>
      <c r="AD53" s="19">
        <v>5.31871674928541E-3</v>
      </c>
      <c r="AE53" s="20">
        <v>99.093233544900997</v>
      </c>
      <c r="AF53" s="19">
        <v>-9.0676645509900605E-3</v>
      </c>
      <c r="AG53" s="20">
        <v>95.981458772856598</v>
      </c>
      <c r="AH53" s="19">
        <v>-4.0185412271433997E-2</v>
      </c>
      <c r="AI53" s="20">
        <v>92.065690291125406</v>
      </c>
      <c r="AJ53" s="19">
        <v>-7.9349445703909199E-2</v>
      </c>
      <c r="AK53" s="20">
        <v>100.945576836553</v>
      </c>
      <c r="AL53" s="19">
        <v>9.45576836553008E-3</v>
      </c>
      <c r="AM53" s="20">
        <v>100.86437479977199</v>
      </c>
      <c r="AN53" s="19">
        <v>8.6437479977206095E-3</v>
      </c>
      <c r="AO53" s="20">
        <v>102.02407368084501</v>
      </c>
      <c r="AP53" s="19">
        <v>2.0240736808449001E-2</v>
      </c>
      <c r="AQ53" s="20">
        <v>102.92912222263099</v>
      </c>
      <c r="AR53" s="19">
        <v>2.92912222263104E-2</v>
      </c>
      <c r="AS53" s="20">
        <v>98.963757228847697</v>
      </c>
      <c r="AT53" s="19">
        <v>-1.03619620478634E-2</v>
      </c>
      <c r="AU53" s="20">
        <v>95.5471088437058</v>
      </c>
      <c r="AV53" s="19">
        <v>-4.4681534371204902E-2</v>
      </c>
      <c r="AW53" s="20">
        <v>98.916799772837294</v>
      </c>
      <c r="AX53" s="19">
        <v>-1.0797979179507301E-2</v>
      </c>
      <c r="AY53" s="20">
        <v>101.07682449539401</v>
      </c>
      <c r="AZ53" s="19">
        <v>1.04404344440447E-2</v>
      </c>
      <c r="BA53" s="20">
        <v>105.282215677968</v>
      </c>
      <c r="BB53" s="19">
        <v>5.28221567796818E-2</v>
      </c>
      <c r="BC53" s="20">
        <v>102.905352735546</v>
      </c>
      <c r="BD53" s="19">
        <v>2.9104458812834199E-2</v>
      </c>
      <c r="BE53" s="20">
        <v>100.069018455289</v>
      </c>
      <c r="BF53" s="19">
        <v>6.9018455288771797E-4</v>
      </c>
      <c r="BG53" s="20"/>
      <c r="BH53" s="19"/>
    </row>
    <row r="54" spans="1:60" x14ac:dyDescent="0.15">
      <c r="A54" s="17">
        <v>2022</v>
      </c>
      <c r="B54" s="17"/>
      <c r="C54" s="20">
        <v>105.032791226871</v>
      </c>
      <c r="D54" s="19">
        <v>3.05216853159231E-2</v>
      </c>
      <c r="E54" s="20">
        <v>105.063535822429</v>
      </c>
      <c r="F54" s="19">
        <v>3.1751239435005699E-2</v>
      </c>
      <c r="G54" s="20">
        <v>95.057787156037307</v>
      </c>
      <c r="H54" s="19">
        <v>-6.5288529740517895E-2</v>
      </c>
      <c r="I54" s="20">
        <v>101.196634482086</v>
      </c>
      <c r="J54" s="19">
        <v>8.39593952197926E-3</v>
      </c>
      <c r="K54" s="20">
        <v>93.531522473165595</v>
      </c>
      <c r="L54" s="19">
        <v>-3.2085534943534499E-2</v>
      </c>
      <c r="M54" s="20">
        <v>89.047567837339599</v>
      </c>
      <c r="N54" s="19">
        <v>-6.4921572678184394E-2</v>
      </c>
      <c r="O54" s="20">
        <v>96.503299889014698</v>
      </c>
      <c r="P54" s="19">
        <v>-1.08649057752377E-2</v>
      </c>
      <c r="Q54" s="20">
        <v>92.4838251723979</v>
      </c>
      <c r="R54" s="19">
        <v>4.00988231883792E-2</v>
      </c>
      <c r="S54" s="20">
        <v>110.87587422006401</v>
      </c>
      <c r="T54" s="19">
        <v>-3.8696802545915197E-2</v>
      </c>
      <c r="U54" s="20">
        <v>108.97056597621901</v>
      </c>
      <c r="V54" s="19">
        <v>7.4758369738777697E-2</v>
      </c>
      <c r="W54" s="20">
        <v>142.507434631454</v>
      </c>
      <c r="X54" s="19">
        <v>0.18527179663858201</v>
      </c>
      <c r="Y54" s="20">
        <v>101.848304878457</v>
      </c>
      <c r="Z54" s="19">
        <v>1.8880959655004401E-2</v>
      </c>
      <c r="AA54" s="20">
        <v>105.336577846804</v>
      </c>
      <c r="AB54" s="19">
        <v>3.8865176362921298E-2</v>
      </c>
      <c r="AC54" s="20">
        <v>100.097359252028</v>
      </c>
      <c r="AD54" s="19">
        <v>-4.3176900395532902E-3</v>
      </c>
      <c r="AE54" s="20">
        <v>98.220184564367898</v>
      </c>
      <c r="AF54" s="19">
        <v>-8.8103793700249292E-3</v>
      </c>
      <c r="AG54" s="20">
        <v>100.63919997023</v>
      </c>
      <c r="AH54" s="19">
        <v>4.8527509968313301E-2</v>
      </c>
      <c r="AI54" s="20">
        <v>101.203416322762</v>
      </c>
      <c r="AJ54" s="19">
        <v>9.9252240468099606E-2</v>
      </c>
      <c r="AK54" s="20">
        <v>101.33628930357401</v>
      </c>
      <c r="AL54" s="19">
        <v>3.8705258740918702E-3</v>
      </c>
      <c r="AM54" s="20">
        <v>102.705136755173</v>
      </c>
      <c r="AN54" s="19">
        <v>1.8249872257228E-2</v>
      </c>
      <c r="AO54" s="20">
        <v>104.460519640803</v>
      </c>
      <c r="AP54" s="19">
        <v>2.3881088767145699E-2</v>
      </c>
      <c r="AQ54" s="20">
        <v>104.198189724313</v>
      </c>
      <c r="AR54" s="19">
        <v>1.2329528070171399E-2</v>
      </c>
      <c r="AS54" s="20">
        <v>98.773750604164206</v>
      </c>
      <c r="AT54" s="19">
        <v>-1.91996171127629E-3</v>
      </c>
      <c r="AU54" s="20">
        <v>92.245165342028798</v>
      </c>
      <c r="AV54" s="19">
        <v>-3.4558277499303999E-2</v>
      </c>
      <c r="AW54" s="20">
        <v>97.786830236118305</v>
      </c>
      <c r="AX54" s="19">
        <v>-1.14234340305593E-2</v>
      </c>
      <c r="AY54" s="20">
        <v>101.878645769264</v>
      </c>
      <c r="AZ54" s="19">
        <v>7.9327905073423004E-3</v>
      </c>
      <c r="BA54" s="20">
        <v>103.91268027230799</v>
      </c>
      <c r="BB54" s="19">
        <v>-1.3008231227284501E-2</v>
      </c>
      <c r="BC54" s="20">
        <v>102.42714291417199</v>
      </c>
      <c r="BD54" s="19">
        <v>-4.64708403073233E-3</v>
      </c>
      <c r="BE54" s="20">
        <v>100.668561052511</v>
      </c>
      <c r="BF54" s="19">
        <v>5.99129087580996E-3</v>
      </c>
      <c r="BG54" s="20"/>
      <c r="BH54" s="19"/>
    </row>
    <row r="55" spans="1:60" x14ac:dyDescent="0.15">
      <c r="A55" s="17">
        <v>2023</v>
      </c>
      <c r="B55" s="17"/>
      <c r="C55" s="20">
        <v>106.205945094857</v>
      </c>
      <c r="D55" s="19">
        <v>1.11694058044345E-2</v>
      </c>
      <c r="E55" s="20">
        <v>106.336547624524</v>
      </c>
      <c r="F55" s="19">
        <v>1.2116590138818301E-2</v>
      </c>
      <c r="G55" s="20">
        <v>98.048635504819501</v>
      </c>
      <c r="H55" s="19">
        <v>3.1463475410727901E-2</v>
      </c>
      <c r="I55" s="20">
        <v>104.726275472515</v>
      </c>
      <c r="J55" s="19">
        <v>3.4879035340392502E-2</v>
      </c>
      <c r="K55" s="20">
        <v>94.178509459114295</v>
      </c>
      <c r="L55" s="19">
        <v>6.9173148136703099E-3</v>
      </c>
      <c r="M55" s="20">
        <v>82.164013790637298</v>
      </c>
      <c r="N55" s="19">
        <v>-7.7301988295472301E-2</v>
      </c>
      <c r="O55" s="20">
        <v>102.453880065072</v>
      </c>
      <c r="P55" s="19">
        <v>6.1661934699646502E-2</v>
      </c>
      <c r="Q55" s="20">
        <v>136.115938945913</v>
      </c>
      <c r="R55" s="19">
        <v>0.47178102432702101</v>
      </c>
      <c r="S55" s="20">
        <v>99.130557903812104</v>
      </c>
      <c r="T55" s="19">
        <v>-0.105932119127557</v>
      </c>
      <c r="U55" s="20">
        <v>114.67287331566</v>
      </c>
      <c r="V55" s="19">
        <v>5.2328876961926098E-2</v>
      </c>
      <c r="W55" s="20">
        <v>133.49991309075901</v>
      </c>
      <c r="X55" s="19">
        <v>-6.3207379769274694E-2</v>
      </c>
      <c r="Y55" s="20">
        <v>104.95525361594299</v>
      </c>
      <c r="Z55" s="19">
        <v>3.0505649958479299E-2</v>
      </c>
      <c r="AA55" s="20">
        <v>104.270436039673</v>
      </c>
      <c r="AB55" s="19">
        <v>-1.01212876754165E-2</v>
      </c>
      <c r="AC55" s="20">
        <v>104.612817604188</v>
      </c>
      <c r="AD55" s="19">
        <v>4.5110664116430103E-2</v>
      </c>
      <c r="AE55" s="20">
        <v>97.948853004560505</v>
      </c>
      <c r="AF55" s="19">
        <v>-2.7624826914232101E-3</v>
      </c>
      <c r="AG55" s="20">
        <v>108.21401933444299</v>
      </c>
      <c r="AH55" s="19">
        <v>7.5267086447962497E-2</v>
      </c>
      <c r="AI55" s="20">
        <v>117.412609082627</v>
      </c>
      <c r="AJ55" s="19">
        <v>0.160164482078055</v>
      </c>
      <c r="AK55" s="20">
        <v>103.298832996014</v>
      </c>
      <c r="AL55" s="19">
        <v>1.9366642551522401E-2</v>
      </c>
      <c r="AM55" s="20">
        <v>104.617985653345</v>
      </c>
      <c r="AN55" s="19">
        <v>1.8624666288423099E-2</v>
      </c>
      <c r="AO55" s="20">
        <v>107.740165609489</v>
      </c>
      <c r="AP55" s="19">
        <v>3.1396033448457997E-2</v>
      </c>
      <c r="AQ55" s="20">
        <v>108.026538842012</v>
      </c>
      <c r="AR55" s="19">
        <v>3.6741032908805801E-2</v>
      </c>
      <c r="AS55" s="20">
        <v>99.374208992524203</v>
      </c>
      <c r="AT55" s="19">
        <v>6.0791291682982303E-3</v>
      </c>
      <c r="AU55" s="20">
        <v>89.538152824290407</v>
      </c>
      <c r="AV55" s="19">
        <v>-2.9345847098883101E-2</v>
      </c>
      <c r="AW55" s="20">
        <v>100.641100115471</v>
      </c>
      <c r="AX55" s="19">
        <v>2.9188694146861299E-2</v>
      </c>
      <c r="AY55" s="20">
        <v>103.12046706101999</v>
      </c>
      <c r="AZ55" s="19">
        <v>1.21892206397054E-2</v>
      </c>
      <c r="BA55" s="20">
        <v>101.339411318681</v>
      </c>
      <c r="BB55" s="19">
        <v>-2.4763762679237699E-2</v>
      </c>
      <c r="BC55" s="20">
        <v>101.804251616448</v>
      </c>
      <c r="BD55" s="19">
        <v>-6.08131087134056E-3</v>
      </c>
      <c r="BE55" s="20">
        <v>102.29794227332</v>
      </c>
      <c r="BF55" s="19">
        <v>1.6185601579808799E-2</v>
      </c>
      <c r="BG55" s="20"/>
      <c r="BH55" s="19"/>
    </row>
    <row r="56" spans="1:60" x14ac:dyDescent="0.15">
      <c r="A56" s="17">
        <v>2024</v>
      </c>
      <c r="B56" s="17"/>
      <c r="C56" s="20">
        <v>107.592959872912</v>
      </c>
      <c r="D56" s="19">
        <v>1.30596717238072E-2</v>
      </c>
      <c r="E56" s="20">
        <v>107.591845114468</v>
      </c>
      <c r="F56" s="19">
        <v>1.1804948702835801E-2</v>
      </c>
      <c r="G56" s="20">
        <v>103.405564674332</v>
      </c>
      <c r="H56" s="19">
        <v>5.4635428039679003E-2</v>
      </c>
      <c r="I56" s="20">
        <v>105.938971118773</v>
      </c>
      <c r="J56" s="19">
        <v>1.1579669388473501E-2</v>
      </c>
      <c r="K56" s="20">
        <v>94.181690027998599</v>
      </c>
      <c r="L56" s="19">
        <v>3.37717054832432E-5</v>
      </c>
      <c r="M56" s="20">
        <v>79.9735012903582</v>
      </c>
      <c r="N56" s="19">
        <v>-2.6660242108676999E-2</v>
      </c>
      <c r="O56" s="20">
        <v>104.241667923419</v>
      </c>
      <c r="P56" s="19">
        <v>1.7449684259998498E-2</v>
      </c>
      <c r="Q56" s="20">
        <v>158.558262372461</v>
      </c>
      <c r="R56" s="19">
        <v>0.16487652805646599</v>
      </c>
      <c r="S56" s="20">
        <v>96.403552324444405</v>
      </c>
      <c r="T56" s="19">
        <v>-2.75092326426104E-2</v>
      </c>
      <c r="U56" s="20">
        <v>116.98398130268799</v>
      </c>
      <c r="V56" s="19">
        <v>2.01539206283439E-2</v>
      </c>
      <c r="W56" s="20">
        <v>132.880861323012</v>
      </c>
      <c r="X56" s="19">
        <v>-4.6370949120129196E-3</v>
      </c>
      <c r="Y56" s="20">
        <v>103.014729864283</v>
      </c>
      <c r="Z56" s="19">
        <v>-1.8489057810877198E-2</v>
      </c>
      <c r="AA56" s="20">
        <v>105.32048948270401</v>
      </c>
      <c r="AB56" s="19">
        <v>1.00704809811261E-2</v>
      </c>
      <c r="AC56" s="20">
        <v>108.251594039842</v>
      </c>
      <c r="AD56" s="19">
        <v>3.4783275309741499E-2</v>
      </c>
      <c r="AE56" s="20">
        <v>98.096547384141999</v>
      </c>
      <c r="AF56" s="19">
        <v>1.5078724768182699E-3</v>
      </c>
      <c r="AG56" s="20">
        <v>109.207350523353</v>
      </c>
      <c r="AH56" s="19">
        <v>9.1793207111199298E-3</v>
      </c>
      <c r="AI56" s="20">
        <v>118.33603573203</v>
      </c>
      <c r="AJ56" s="19">
        <v>7.8647996720102604E-3</v>
      </c>
      <c r="AK56" s="20">
        <v>104.37652164808399</v>
      </c>
      <c r="AL56" s="19">
        <v>1.0432728239161601E-2</v>
      </c>
      <c r="AM56" s="20">
        <v>106.67235000898501</v>
      </c>
      <c r="AN56" s="19">
        <v>1.9636818113160801E-2</v>
      </c>
      <c r="AO56" s="20">
        <v>109.813874310226</v>
      </c>
      <c r="AP56" s="19">
        <v>1.9247313098192501E-2</v>
      </c>
      <c r="AQ56" s="20">
        <v>112.30161300256999</v>
      </c>
      <c r="AR56" s="19">
        <v>3.9574295412817297E-2</v>
      </c>
      <c r="AS56" s="20">
        <v>99.497077704994496</v>
      </c>
      <c r="AT56" s="19">
        <v>1.2364245584033399E-3</v>
      </c>
      <c r="AU56" s="20">
        <v>91.419162939987999</v>
      </c>
      <c r="AV56" s="19">
        <v>2.1007917366677099E-2</v>
      </c>
      <c r="AW56" s="20">
        <v>102.858600348685</v>
      </c>
      <c r="AX56" s="19">
        <v>2.20337439740717E-2</v>
      </c>
      <c r="AY56" s="20">
        <v>104.81552935774</v>
      </c>
      <c r="AZ56" s="19">
        <v>1.6437690257134201E-2</v>
      </c>
      <c r="BA56" s="20">
        <v>107.853118894107</v>
      </c>
      <c r="BB56" s="19">
        <v>6.4276153676700906E-2</v>
      </c>
      <c r="BC56" s="20">
        <v>105.671391832558</v>
      </c>
      <c r="BD56" s="19">
        <v>3.7986038448369001E-2</v>
      </c>
      <c r="BE56" s="20">
        <v>103.265603550493</v>
      </c>
      <c r="BF56" s="19">
        <v>9.4592447870356401E-3</v>
      </c>
      <c r="BG56" s="20"/>
      <c r="BH56" s="19"/>
    </row>
    <row r="57" spans="1:60" x14ac:dyDescent="0.15">
      <c r="A57" s="17">
        <v>2025</v>
      </c>
      <c r="B57" s="17"/>
      <c r="C57" s="20">
        <v>108.42860423799</v>
      </c>
      <c r="D57" s="19">
        <v>7.7667197376607398E-3</v>
      </c>
      <c r="E57" s="20">
        <v>108.41706403844999</v>
      </c>
      <c r="F57" s="19">
        <v>7.6699021482913299E-3</v>
      </c>
      <c r="G57" s="20">
        <v>105.220404215996</v>
      </c>
      <c r="H57" s="19">
        <v>1.7550695142764201E-2</v>
      </c>
      <c r="I57" s="20">
        <v>106.458550647371</v>
      </c>
      <c r="J57" s="19">
        <v>4.9045174132911198E-3</v>
      </c>
      <c r="K57" s="20">
        <v>94.640595642808705</v>
      </c>
      <c r="L57" s="19">
        <v>4.8725565943192901E-3</v>
      </c>
      <c r="M57" s="20">
        <v>78.709113754248705</v>
      </c>
      <c r="N57" s="19">
        <v>-1.5810081035703898E-2</v>
      </c>
      <c r="O57" s="20">
        <v>106.22290341778</v>
      </c>
      <c r="P57" s="19">
        <v>1.90061760697895E-2</v>
      </c>
      <c r="Q57" s="20">
        <v>152.573600790277</v>
      </c>
      <c r="R57" s="19">
        <v>-3.77442429844859E-2</v>
      </c>
      <c r="S57" s="20">
        <v>95.753632350901796</v>
      </c>
      <c r="T57" s="19">
        <v>-6.7416600101544199E-3</v>
      </c>
      <c r="U57" s="20">
        <v>119.169365462573</v>
      </c>
      <c r="V57" s="19">
        <v>1.8681054752534201E-2</v>
      </c>
      <c r="W57" s="20">
        <v>130.49637652674301</v>
      </c>
      <c r="X57" s="19">
        <v>-1.7944531458688899E-2</v>
      </c>
      <c r="Y57" s="20">
        <v>101.634530943652</v>
      </c>
      <c r="Z57" s="19">
        <v>-1.33980734837539E-2</v>
      </c>
      <c r="AA57" s="20">
        <v>107.788322208333</v>
      </c>
      <c r="AB57" s="19">
        <v>2.3431648843923899E-2</v>
      </c>
      <c r="AC57" s="20">
        <v>110.744515022052</v>
      </c>
      <c r="AD57" s="19">
        <v>2.3028954024386601E-2</v>
      </c>
      <c r="AE57" s="20">
        <v>99.972906261798599</v>
      </c>
      <c r="AF57" s="19">
        <v>1.9127675006836799E-2</v>
      </c>
      <c r="AG57" s="20">
        <v>109.469929294351</v>
      </c>
      <c r="AH57" s="19">
        <v>2.4044056534613398E-3</v>
      </c>
      <c r="AI57" s="20">
        <v>114.91584516307201</v>
      </c>
      <c r="AJ57" s="19">
        <v>-2.8902358844456699E-2</v>
      </c>
      <c r="AK57" s="20">
        <v>107.774675303001</v>
      </c>
      <c r="AL57" s="19">
        <v>3.2556686132675101E-2</v>
      </c>
      <c r="AM57" s="20">
        <v>108.81945571349</v>
      </c>
      <c r="AN57" s="19">
        <v>2.01280435307198E-2</v>
      </c>
      <c r="AO57" s="20">
        <v>112.436962451954</v>
      </c>
      <c r="AP57" s="19">
        <v>2.3886673320693101E-2</v>
      </c>
      <c r="AQ57" s="20">
        <v>114.591788691023</v>
      </c>
      <c r="AR57" s="19">
        <v>2.0393079201815E-2</v>
      </c>
      <c r="AS57" s="20">
        <v>99.709806770602995</v>
      </c>
      <c r="AT57" s="19">
        <v>2.1380433527833399E-3</v>
      </c>
      <c r="AU57" s="20">
        <v>95.275484628843401</v>
      </c>
      <c r="AV57" s="19">
        <v>4.2182859313499001E-2</v>
      </c>
      <c r="AW57" s="20">
        <v>104.61127227913001</v>
      </c>
      <c r="AX57" s="19">
        <v>1.7039624537992699E-2</v>
      </c>
      <c r="AY57" s="20">
        <v>106.857345925705</v>
      </c>
      <c r="AZ57" s="19">
        <v>1.9480095940712001E-2</v>
      </c>
      <c r="BA57" s="20">
        <v>109.107497310098</v>
      </c>
      <c r="BB57" s="19">
        <v>1.16304324701249E-2</v>
      </c>
      <c r="BC57" s="20">
        <v>106.262648863802</v>
      </c>
      <c r="BD57" s="19">
        <v>5.5952422031251298E-3</v>
      </c>
      <c r="BE57" s="20">
        <v>103.161328683143</v>
      </c>
      <c r="BF57" s="19">
        <v>-1.00977347505282E-3</v>
      </c>
      <c r="BG57" s="20"/>
      <c r="BH57" s="19"/>
    </row>
    <row r="58" spans="1:60" x14ac:dyDescent="0.15">
      <c r="A58" s="17"/>
      <c r="B58" s="17"/>
      <c r="C58" s="20"/>
      <c r="D58" s="19"/>
      <c r="E58" s="20"/>
      <c r="F58" s="19"/>
      <c r="G58" s="20"/>
      <c r="H58" s="19"/>
      <c r="I58" s="20"/>
      <c r="J58" s="19"/>
      <c r="K58" s="20"/>
      <c r="L58" s="19"/>
      <c r="M58" s="20"/>
      <c r="N58" s="19"/>
      <c r="O58" s="20"/>
      <c r="P58" s="19"/>
      <c r="Q58" s="20"/>
      <c r="R58" s="19"/>
      <c r="S58" s="20"/>
      <c r="T58" s="19"/>
      <c r="U58" s="20"/>
      <c r="V58" s="19"/>
      <c r="W58" s="20"/>
      <c r="X58" s="19"/>
      <c r="Y58" s="20"/>
      <c r="Z58" s="19"/>
      <c r="AA58" s="20"/>
      <c r="AB58" s="19"/>
      <c r="AC58" s="20"/>
      <c r="AD58" s="19"/>
      <c r="AE58" s="20"/>
      <c r="AF58" s="19"/>
      <c r="AG58" s="20"/>
      <c r="AH58" s="19"/>
      <c r="AI58" s="20"/>
      <c r="AJ58" s="19"/>
      <c r="AK58" s="20"/>
      <c r="AL58" s="19"/>
      <c r="AM58" s="20"/>
      <c r="AN58" s="19"/>
      <c r="AO58" s="20"/>
      <c r="AP58" s="19"/>
      <c r="AQ58" s="20"/>
      <c r="AR58" s="19"/>
      <c r="AS58" s="20"/>
      <c r="AT58" s="19"/>
      <c r="AU58" s="20"/>
      <c r="AV58" s="19"/>
      <c r="AW58" s="20"/>
      <c r="AX58" s="19"/>
      <c r="AY58" s="20"/>
      <c r="AZ58" s="19"/>
      <c r="BA58" s="20"/>
      <c r="BB58" s="19"/>
      <c r="BC58" s="20"/>
      <c r="BD58" s="19"/>
      <c r="BE58" s="20"/>
      <c r="BF58" s="19"/>
      <c r="BG58" s="20"/>
      <c r="BH58" s="19"/>
    </row>
  </sheetData>
  <sheetProtection password="DD0B" sheet="1"/>
  <mergeCells count="66">
    <mergeCell ref="AC6:AD10"/>
    <mergeCell ref="AC11:AD11"/>
    <mergeCell ref="C5:D10"/>
    <mergeCell ref="E6:F10"/>
    <mergeCell ref="C11:D11"/>
    <mergeCell ref="E11:F11"/>
    <mergeCell ref="M8:N10"/>
    <mergeCell ref="Y8:Z10"/>
    <mergeCell ref="AA6:AB10"/>
    <mergeCell ref="G11:H11"/>
    <mergeCell ref="I11:J11"/>
    <mergeCell ref="K11:L11"/>
    <mergeCell ref="M11:N11"/>
    <mergeCell ref="C4:BF4"/>
    <mergeCell ref="E5:AZ5"/>
    <mergeCell ref="BA5:BF5"/>
    <mergeCell ref="G6:H10"/>
    <mergeCell ref="I6:J10"/>
    <mergeCell ref="K6:L10"/>
    <mergeCell ref="M6:N7"/>
    <mergeCell ref="Q6:R10"/>
    <mergeCell ref="S6:T10"/>
    <mergeCell ref="U6:V10"/>
    <mergeCell ref="W6:X10"/>
    <mergeCell ref="Y6:Z7"/>
    <mergeCell ref="AY6:AZ10"/>
    <mergeCell ref="BA6:BB10"/>
    <mergeCell ref="BC6:BD10"/>
    <mergeCell ref="BE6:BF10"/>
    <mergeCell ref="AO6:AP10"/>
    <mergeCell ref="AQ6:AR10"/>
    <mergeCell ref="AS6:AT10"/>
    <mergeCell ref="AU6:AV10"/>
    <mergeCell ref="AW6:AX10"/>
    <mergeCell ref="AG6:AH10"/>
    <mergeCell ref="AM6:AN10"/>
    <mergeCell ref="O6:P6"/>
    <mergeCell ref="U11:V11"/>
    <mergeCell ref="W11:X11"/>
    <mergeCell ref="Y11:Z11"/>
    <mergeCell ref="AA11:AB11"/>
    <mergeCell ref="Q11:R11"/>
    <mergeCell ref="O11:P11"/>
    <mergeCell ref="O7:P7"/>
    <mergeCell ref="O8:P10"/>
    <mergeCell ref="AG11:AH11"/>
    <mergeCell ref="AI11:AJ11"/>
    <mergeCell ref="S11:T11"/>
    <mergeCell ref="AE11:AF11"/>
    <mergeCell ref="AE6:AF10"/>
    <mergeCell ref="BC11:BD11"/>
    <mergeCell ref="BE11:BF11"/>
    <mergeCell ref="AM11:AN11"/>
    <mergeCell ref="AO11:AP11"/>
    <mergeCell ref="AQ11:AR11"/>
    <mergeCell ref="AS11:AT11"/>
    <mergeCell ref="AU11:AV11"/>
    <mergeCell ref="AW11:AX11"/>
    <mergeCell ref="AY11:AZ11"/>
    <mergeCell ref="AK6:AL6"/>
    <mergeCell ref="AK7:AL7"/>
    <mergeCell ref="AK11:AL11"/>
    <mergeCell ref="AI6:AJ6"/>
    <mergeCell ref="AI7:AJ7"/>
    <mergeCell ref="AI8:AJ10"/>
    <mergeCell ref="AK8:AL10"/>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le10"/>
  <dimension ref="A1:BH58"/>
  <sheetViews>
    <sheetView showGridLines="0" zoomScaleNormal="100" workbookViewId="0">
      <pane xSplit="2" ySplit="11" topLeftCell="C12" activePane="bottomRight" state="frozen"/>
      <selection activeCell="AG1" sqref="AG1:AH1048576"/>
      <selection pane="topRight" activeCell="AG1" sqref="AG1:AH1048576"/>
      <selection pane="bottomLeft" activeCell="AG1" sqref="AG1:AH1048576"/>
      <selection pane="bottomRight" activeCell="AG1" sqref="AG1:AH1048576"/>
    </sheetView>
  </sheetViews>
  <sheetFormatPr baseColWidth="10" defaultRowHeight="11" x14ac:dyDescent="0.15"/>
  <cols>
    <col min="1" max="1" width="9.75" customWidth="1"/>
    <col min="2" max="2" width="2.75" customWidth="1"/>
    <col min="3" max="60" width="9.75" customWidth="1"/>
  </cols>
  <sheetData>
    <row r="1" spans="1:60" ht="11.25" customHeight="1" x14ac:dyDescent="0.15">
      <c r="A1" s="6" t="str">
        <f ca="1">INDIRECT("beschriftung!"&amp;ADDRESS(beschriftung!$C$1*12+ROW(beschriftung!$A1)-1,COLUMN(beschriftung!A$1)))</f>
        <v xml:space="preserve">ESA 2010, Quarterly aggregates of Gross Domestic Product, production approach, seasonally, calendar and sport event adjusted data. Background information on sport event adjustment can be found in the publication “Konjunkturtendenzen” (“Economic Trends”) from autumn 2022 and in the technical note from 5 September 2022 on the website www.seco.admin.ch. </v>
      </c>
      <c r="C1" s="13"/>
      <c r="E1" s="13"/>
    </row>
    <row r="2" spans="1:60" ht="11.25" customHeight="1" x14ac:dyDescent="0.15">
      <c r="A2" s="7" t="str">
        <f ca="1">INDIRECT("beschriftung!"&amp;ADDRESS(beschriftung!$C$1*12+ROW(beschriftung!$A5)-1,COLUMN(beschriftung!B$1)))</f>
        <v>Contributions to real GDP-growth</v>
      </c>
      <c r="C2" s="13"/>
      <c r="E2" s="13"/>
    </row>
    <row r="3" spans="1:60" ht="11.25" customHeight="1" x14ac:dyDescent="0.15">
      <c r="C3" s="13"/>
      <c r="E3" s="13"/>
    </row>
    <row r="4" spans="1:60" ht="11.25" customHeight="1" x14ac:dyDescent="0.15">
      <c r="A4" s="5"/>
      <c r="C4" s="46" t="str">
        <f ca="1">INDIRECT("beschriftung!"&amp;ADDRESS(beschriftung!$C$1*12+ROW(beschriftung!$A5)-1,COLUMN(beschriftung!C$1)))</f>
        <v>Gross domestic product</v>
      </c>
      <c r="D4" s="47" t="e">
        <f ca="1">IF(INDIRECT("beschriftung.!"&amp;ADDRESS(#REF!*12+ROW($A5)-1,COLUMN(D$1)))="","",INDIRECT("beschriftung.!"&amp;ADDRESS(#REF!*12+ROW($A5)-1,COLUMN(D$1))))</f>
        <v>#REF!</v>
      </c>
      <c r="E4" s="47" t="e">
        <f ca="1">IF(INDIRECT("beschriftung.!"&amp;ADDRESS(#REF!*12+ROW($A5)-1,COLUMN(E$1)))="","",INDIRECT("beschriftung.!"&amp;ADDRESS(#REF!*12+ROW($A5)-1,COLUMN(E$1))))</f>
        <v>#REF!</v>
      </c>
      <c r="F4" s="47" t="e">
        <f ca="1">IF(INDIRECT("beschriftung.!"&amp;ADDRESS(#REF!*12+ROW($A5)-1,COLUMN(F$1)))="","",INDIRECT("beschriftung.!"&amp;ADDRESS(#REF!*12+ROW($A5)-1,COLUMN(F$1))))</f>
        <v>#REF!</v>
      </c>
      <c r="G4" s="47" t="e">
        <f ca="1">IF(INDIRECT("beschriftung.!"&amp;ADDRESS(#REF!*12+ROW($A5)-1,COLUMN(G$1)))="","",INDIRECT("beschriftung.!"&amp;ADDRESS(#REF!*12+ROW($A5)-1,COLUMN(G$1))))</f>
        <v>#REF!</v>
      </c>
      <c r="H4" s="47" t="e">
        <f ca="1">IF(INDIRECT("beschriftung.!"&amp;ADDRESS(#REF!*12+ROW($A5)-1,COLUMN(H$1)))="","",INDIRECT("beschriftung.!"&amp;ADDRESS(#REF!*12+ROW($A5)-1,COLUMN(H$1))))</f>
        <v>#REF!</v>
      </c>
      <c r="I4" s="47" t="e">
        <f ca="1">IF(INDIRECT("beschriftung.!"&amp;ADDRESS(#REF!*12+ROW($A5)-1,COLUMN(I$1)))="","",INDIRECT("beschriftung.!"&amp;ADDRESS(#REF!*12+ROW($A5)-1,COLUMN(I$1))))</f>
        <v>#REF!</v>
      </c>
      <c r="J4" s="47" t="e">
        <f ca="1">IF(INDIRECT("beschriftung.!"&amp;ADDRESS(#REF!*12+ROW($A5)-1,COLUMN(J$1)))="","",INDIRECT("beschriftung.!"&amp;ADDRESS(#REF!*12+ROW($A5)-1,COLUMN(J$1))))</f>
        <v>#REF!</v>
      </c>
      <c r="K4" s="47" t="e">
        <f ca="1">IF(INDIRECT("beschriftung.!"&amp;ADDRESS(#REF!*12+ROW($A5)-1,COLUMN(K$1)))="","",INDIRECT("beschriftung.!"&amp;ADDRESS(#REF!*12+ROW($A5)-1,COLUMN(K$1))))</f>
        <v>#REF!</v>
      </c>
      <c r="L4" s="47" t="e">
        <f ca="1">IF(INDIRECT("beschriftung.!"&amp;ADDRESS(#REF!*12+ROW($A5)-1,COLUMN(L$1)))="","",INDIRECT("beschriftung.!"&amp;ADDRESS(#REF!*12+ROW($A5)-1,COLUMN(L$1))))</f>
        <v>#REF!</v>
      </c>
      <c r="M4" s="47"/>
      <c r="N4" s="47"/>
      <c r="O4" s="47"/>
      <c r="P4" s="47"/>
      <c r="Q4" s="47" t="e">
        <f ca="1">IF(INDIRECT("beschriftung.!"&amp;ADDRESS(#REF!*12+ROW($A5)-1,COLUMN(Q$1)))="","",INDIRECT("beschriftung.!"&amp;ADDRESS(#REF!*12+ROW($A5)-1,COLUMN(Q$1))))</f>
        <v>#REF!</v>
      </c>
      <c r="R4" s="47" t="e">
        <f ca="1">IF(INDIRECT("beschriftung.!"&amp;ADDRESS(#REF!*12+ROW($A5)-1,COLUMN(R$1)))="","",INDIRECT("beschriftung.!"&amp;ADDRESS(#REF!*12+ROW($A5)-1,COLUMN(R$1))))</f>
        <v>#REF!</v>
      </c>
      <c r="S4" s="47"/>
      <c r="T4" s="47"/>
      <c r="U4" s="47" t="e">
        <f ca="1">IF(INDIRECT("beschriftung.!"&amp;ADDRESS(#REF!*12+ROW($A5)-1,COLUMN(U$1)))="","",INDIRECT("beschriftung.!"&amp;ADDRESS(#REF!*12+ROW($A5)-1,COLUMN(U$1))))</f>
        <v>#REF!</v>
      </c>
      <c r="V4" s="47" t="e">
        <f ca="1">IF(INDIRECT("beschriftung.!"&amp;ADDRESS(#REF!*12+ROW($A5)-1,COLUMN(V$1)))="","",INDIRECT("beschriftung.!"&amp;ADDRESS(#REF!*12+ROW($A5)-1,COLUMN(V$1))))</f>
        <v>#REF!</v>
      </c>
      <c r="W4" s="47" t="e">
        <f ca="1">IF(INDIRECT("beschriftung.!"&amp;ADDRESS(#REF!*12+ROW($A5)-1,COLUMN(W$1)))="","",INDIRECT("beschriftung.!"&amp;ADDRESS(#REF!*12+ROW($A5)-1,COLUMN(W$1))))</f>
        <v>#REF!</v>
      </c>
      <c r="X4" s="47" t="e">
        <f ca="1">IF(INDIRECT("beschriftung.!"&amp;ADDRESS(#REF!*12+ROW($A5)-1,COLUMN(X$1)))="","",INDIRECT("beschriftung.!"&amp;ADDRESS(#REF!*12+ROW($A5)-1,COLUMN(X$1))))</f>
        <v>#REF!</v>
      </c>
      <c r="Y4" s="47"/>
      <c r="Z4" s="47"/>
      <c r="AA4" s="47" t="e">
        <f ca="1">IF(INDIRECT("beschriftung.!"&amp;ADDRESS(#REF!*12+ROW($A5)-1,COLUMN(AA$1)))="","",INDIRECT("beschriftung.!"&amp;ADDRESS(#REF!*12+ROW($A5)-1,COLUMN(AA$1))))</f>
        <v>#REF!</v>
      </c>
      <c r="AB4" s="47" t="e">
        <f ca="1">IF(INDIRECT("beschriftung.!"&amp;ADDRESS(#REF!*12+ROW($A5)-1,COLUMN(AB$1)))="","",INDIRECT("beschriftung.!"&amp;ADDRESS(#REF!*12+ROW($A5)-1,COLUMN(AB$1))))</f>
        <v>#REF!</v>
      </c>
      <c r="AC4" s="47"/>
      <c r="AD4" s="47"/>
      <c r="AE4" s="47"/>
      <c r="AF4" s="47"/>
      <c r="AG4" s="47" t="e">
        <f ca="1">IF(INDIRECT("beschriftung.!"&amp;ADDRESS(#REF!*12+ROW($A5)-1,COLUMN(AG$1)))="","",INDIRECT("beschriftung.!"&amp;ADDRESS(#REF!*12+ROW($A5)-1,COLUMN(AG$1))))</f>
        <v>#REF!</v>
      </c>
      <c r="AH4" s="47" t="e">
        <f ca="1">IF(INDIRECT("beschriftung.!"&amp;ADDRESS(#REF!*12+ROW($A5)-1,COLUMN(AH$1)))="","",INDIRECT("beschriftung.!"&amp;ADDRESS(#REF!*12+ROW($A5)-1,COLUMN(AH$1))))</f>
        <v>#REF!</v>
      </c>
      <c r="AI4" s="47" t="e">
        <f ca="1">IF(INDIRECT("beschriftung.!"&amp;ADDRESS(#REF!*12+ROW($A5)-1,COLUMN(AI$1)))="","",INDIRECT("beschriftung.!"&amp;ADDRESS(#REF!*12+ROW($A5)-1,COLUMN(AI$1))))</f>
        <v>#REF!</v>
      </c>
      <c r="AJ4" s="47" t="e">
        <f ca="1">IF(INDIRECT("beschriftung.!"&amp;ADDRESS(#REF!*12+ROW($A5)-1,COLUMN(AJ$1)))="","",INDIRECT("beschriftung.!"&amp;ADDRESS(#REF!*12+ROW($A5)-1,COLUMN(AJ$1))))</f>
        <v>#REF!</v>
      </c>
      <c r="AK4" s="47"/>
      <c r="AL4" s="47"/>
      <c r="AM4" s="47" t="e">
        <f ca="1">IF(INDIRECT("beschriftung.!"&amp;ADDRESS(#REF!*12+ROW($A5)-1,COLUMN(AM$1)))="","",INDIRECT("beschriftung.!"&amp;ADDRESS(#REF!*12+ROW($A5)-1,COLUMN(AM$1))))</f>
        <v>#REF!</v>
      </c>
      <c r="AN4" s="47" t="e">
        <f ca="1">IF(INDIRECT("beschriftung.!"&amp;ADDRESS(#REF!*12+ROW($A5)-1,COLUMN(AN$1)))="","",INDIRECT("beschriftung.!"&amp;ADDRESS(#REF!*12+ROW($A5)-1,COLUMN(AN$1))))</f>
        <v>#REF!</v>
      </c>
      <c r="AO4" s="47" t="e">
        <f ca="1">IF(INDIRECT("beschriftung.!"&amp;ADDRESS(#REF!*12+ROW($A5)-1,COLUMN(AO$1)))="","",INDIRECT("beschriftung.!"&amp;ADDRESS(#REF!*12+ROW($A5)-1,COLUMN(AO$1))))</f>
        <v>#REF!</v>
      </c>
      <c r="AP4" s="47" t="e">
        <f ca="1">IF(INDIRECT("beschriftung.!"&amp;ADDRESS(#REF!*12+ROW($A5)-1,COLUMN(AP$1)))="","",INDIRECT("beschriftung.!"&amp;ADDRESS(#REF!*12+ROW($A5)-1,COLUMN(AP$1))))</f>
        <v>#REF!</v>
      </c>
      <c r="AQ4" s="47" t="e">
        <f ca="1">IF(INDIRECT("beschriftung.!"&amp;ADDRESS(#REF!*12+ROW($A5)-1,COLUMN(AQ$1)))="","",INDIRECT("beschriftung.!"&amp;ADDRESS(#REF!*12+ROW($A5)-1,COLUMN(AQ$1))))</f>
        <v>#REF!</v>
      </c>
      <c r="AR4" s="47" t="e">
        <f ca="1">IF(INDIRECT("beschriftung.!"&amp;ADDRESS(#REF!*12+ROW($A5)-1,COLUMN(AR$1)))="","",INDIRECT("beschriftung.!"&amp;ADDRESS(#REF!*12+ROW($A5)-1,COLUMN(AR$1))))</f>
        <v>#REF!</v>
      </c>
      <c r="AS4" s="47" t="e">
        <f ca="1">IF(INDIRECT("beschriftung.!"&amp;ADDRESS(#REF!*12+ROW($A5)-1,COLUMN(AS$1)))="","",INDIRECT("beschriftung.!"&amp;ADDRESS(#REF!*12+ROW($A5)-1,COLUMN(AS$1))))</f>
        <v>#REF!</v>
      </c>
      <c r="AT4" s="47" t="e">
        <f ca="1">IF(INDIRECT("beschriftung.!"&amp;ADDRESS(#REF!*12+ROW($A5)-1,COLUMN(AT$1)))="","",INDIRECT("beschriftung.!"&amp;ADDRESS(#REF!*12+ROW($A5)-1,COLUMN(AT$1))))</f>
        <v>#REF!</v>
      </c>
      <c r="AU4" s="47" t="e">
        <f ca="1">IF(INDIRECT("beschriftung.!"&amp;ADDRESS(#REF!*12+ROW($A5)-1,COLUMN(AU$1)))="","",INDIRECT("beschriftung.!"&amp;ADDRESS(#REF!*12+ROW($A5)-1,COLUMN(AU$1))))</f>
        <v>#REF!</v>
      </c>
      <c r="AV4" s="47" t="e">
        <f ca="1">IF(INDIRECT("beschriftung.!"&amp;ADDRESS(#REF!*12+ROW($A5)-1,COLUMN(AV$1)))="","",INDIRECT("beschriftung.!"&amp;ADDRESS(#REF!*12+ROW($A5)-1,COLUMN(AV$1))))</f>
        <v>#REF!</v>
      </c>
      <c r="AW4" s="47"/>
      <c r="AX4" s="47"/>
      <c r="AY4" s="47" t="e">
        <f ca="1">IF(INDIRECT("beschriftung.!"&amp;ADDRESS(#REF!*12+ROW($A5)-1,COLUMN(AY$1)))="","",INDIRECT("beschriftung.!"&amp;ADDRESS(#REF!*12+ROW($A5)-1,COLUMN(AY$1))))</f>
        <v>#REF!</v>
      </c>
      <c r="AZ4" s="47" t="e">
        <f ca="1">IF(INDIRECT("beschriftung.!"&amp;ADDRESS(#REF!*12+ROW($A5)-1,COLUMN(AZ$1)))="","",INDIRECT("beschriftung.!"&amp;ADDRESS(#REF!*12+ROW($A5)-1,COLUMN(AZ$1))))</f>
        <v>#REF!</v>
      </c>
      <c r="BA4" s="47" t="e">
        <f ca="1">IF(INDIRECT("beschriftung.!"&amp;ADDRESS(#REF!*12+ROW($A5)-1,COLUMN(BA$1)))="","",INDIRECT("beschriftung.!"&amp;ADDRESS(#REF!*12+ROW($A5)-1,COLUMN(BA$1))))</f>
        <v>#REF!</v>
      </c>
      <c r="BB4" s="47" t="e">
        <f ca="1">IF(INDIRECT("beschriftung.!"&amp;ADDRESS(#REF!*12+ROW($A5)-1,COLUMN(BB$1)))="","",INDIRECT("beschriftung.!"&amp;ADDRESS(#REF!*12+ROW($A5)-1,COLUMN(BB$1))))</f>
        <v>#REF!</v>
      </c>
      <c r="BC4" s="47" t="e">
        <f ca="1">IF(INDIRECT("beschriftung.!"&amp;ADDRESS(#REF!*12+ROW($A5)-1,COLUMN(BC$1)))="","",INDIRECT("beschriftung.!"&amp;ADDRESS(#REF!*12+ROW($A5)-1,COLUMN(BC$1))))</f>
        <v>#REF!</v>
      </c>
      <c r="BD4" s="47" t="e">
        <f ca="1">IF(INDIRECT("beschriftung.!"&amp;ADDRESS(#REF!*12+ROW($A5)-1,COLUMN(BD$1)))="","",INDIRECT("beschriftung.!"&amp;ADDRESS(#REF!*12+ROW($A5)-1,COLUMN(BD$1))))</f>
        <v>#REF!</v>
      </c>
      <c r="BE4" s="47" t="e">
        <f ca="1">IF(INDIRECT("beschriftung.!"&amp;ADDRESS(#REF!*12+ROW($A5)-1,COLUMN(BE$1)))="","",INDIRECT("beschriftung.!"&amp;ADDRESS(#REF!*12+ROW($A5)-1,COLUMN(BE$1))))</f>
        <v>#REF!</v>
      </c>
      <c r="BF4" s="48" t="e">
        <f ca="1">IF(INDIRECT("beschriftung.!"&amp;ADDRESS(#REF!*12+ROW($A5)-1,COLUMN(BF$1)))="","",INDIRECT("beschriftung.!"&amp;ADDRESS(#REF!*12+ROW($A5)-1,COLUMN(BF$1))))</f>
        <v>#REF!</v>
      </c>
    </row>
    <row r="5" spans="1:60" ht="11.25" customHeight="1" x14ac:dyDescent="0.15">
      <c r="A5" s="5"/>
      <c r="C5" s="65"/>
      <c r="D5" s="66"/>
      <c r="E5" s="49" t="str">
        <f ca="1">INDIRECT("beschriftung!"&amp;ADDRESS(beschriftung!$C$1*12+ROW(beschriftung!$A6)-1,COLUMN(beschriftung!D$1)))</f>
        <v>Gross value added before adjustments</v>
      </c>
      <c r="F5" s="47" t="e">
        <f ca="1">IF(INDIRECT("beschriftung.!"&amp;ADDRESS(#REF!*12+ROW($A6)-1,COLUMN(F$1)))="","",INDIRECT("beschriftung.!"&amp;ADDRESS(#REF!*12+ROW($A6)-1,COLUMN(F$1))))</f>
        <v>#REF!</v>
      </c>
      <c r="G5" s="47" t="e">
        <f ca="1">IF(INDIRECT("beschriftung.!"&amp;ADDRESS(#REF!*12+ROW($A6)-1,COLUMN(G$1)))="","",INDIRECT("beschriftung.!"&amp;ADDRESS(#REF!*12+ROW($A6)-1,COLUMN(G$1))))</f>
        <v>#REF!</v>
      </c>
      <c r="H5" s="47" t="e">
        <f ca="1">IF(INDIRECT("beschriftung.!"&amp;ADDRESS(#REF!*12+ROW($A6)-1,COLUMN(H$1)))="","",INDIRECT("beschriftung.!"&amp;ADDRESS(#REF!*12+ROW($A6)-1,COLUMN(H$1))))</f>
        <v>#REF!</v>
      </c>
      <c r="I5" s="47" t="e">
        <f ca="1">IF(INDIRECT("beschriftung.!"&amp;ADDRESS(#REF!*12+ROW($A6)-1,COLUMN(I$1)))="","",INDIRECT("beschriftung.!"&amp;ADDRESS(#REF!*12+ROW($A6)-1,COLUMN(I$1))))</f>
        <v>#REF!</v>
      </c>
      <c r="J5" s="47" t="e">
        <f ca="1">IF(INDIRECT("beschriftung.!"&amp;ADDRESS(#REF!*12+ROW($A6)-1,COLUMN(J$1)))="","",INDIRECT("beschriftung.!"&amp;ADDRESS(#REF!*12+ROW($A6)-1,COLUMN(J$1))))</f>
        <v>#REF!</v>
      </c>
      <c r="K5" s="47" t="e">
        <f ca="1">IF(INDIRECT("beschriftung.!"&amp;ADDRESS(#REF!*12+ROW($A6)-1,COLUMN(K$1)))="","",INDIRECT("beschriftung.!"&amp;ADDRESS(#REF!*12+ROW($A6)-1,COLUMN(K$1))))</f>
        <v>#REF!</v>
      </c>
      <c r="L5" s="47" t="e">
        <f ca="1">IF(INDIRECT("beschriftung.!"&amp;ADDRESS(#REF!*12+ROW($A6)-1,COLUMN(L$1)))="","",INDIRECT("beschriftung.!"&amp;ADDRESS(#REF!*12+ROW($A6)-1,COLUMN(L$1))))</f>
        <v>#REF!</v>
      </c>
      <c r="M5" s="47"/>
      <c r="N5" s="47"/>
      <c r="O5" s="47"/>
      <c r="P5" s="47"/>
      <c r="Q5" s="47" t="e">
        <f ca="1">IF(INDIRECT("beschriftung.!"&amp;ADDRESS(#REF!*12+ROW($A6)-1,COLUMN(Q$1)))="","",INDIRECT("beschriftung.!"&amp;ADDRESS(#REF!*12+ROW($A6)-1,COLUMN(Q$1))))</f>
        <v>#REF!</v>
      </c>
      <c r="R5" s="47" t="e">
        <f ca="1">IF(INDIRECT("beschriftung.!"&amp;ADDRESS(#REF!*12+ROW($A6)-1,COLUMN(R$1)))="","",INDIRECT("beschriftung.!"&amp;ADDRESS(#REF!*12+ROW($A6)-1,COLUMN(R$1))))</f>
        <v>#REF!</v>
      </c>
      <c r="S5" s="47"/>
      <c r="T5" s="47"/>
      <c r="U5" s="47" t="e">
        <f ca="1">IF(INDIRECT("beschriftung.!"&amp;ADDRESS(#REF!*12+ROW($A6)-1,COLUMN(U$1)))="","",INDIRECT("beschriftung.!"&amp;ADDRESS(#REF!*12+ROW($A6)-1,COLUMN(U$1))))</f>
        <v>#REF!</v>
      </c>
      <c r="V5" s="47" t="e">
        <f ca="1">IF(INDIRECT("beschriftung.!"&amp;ADDRESS(#REF!*12+ROW($A6)-1,COLUMN(V$1)))="","",INDIRECT("beschriftung.!"&amp;ADDRESS(#REF!*12+ROW($A6)-1,COLUMN(V$1))))</f>
        <v>#REF!</v>
      </c>
      <c r="W5" s="47" t="e">
        <f ca="1">IF(INDIRECT("beschriftung.!"&amp;ADDRESS(#REF!*12+ROW($A6)-1,COLUMN(W$1)))="","",INDIRECT("beschriftung.!"&amp;ADDRESS(#REF!*12+ROW($A6)-1,COLUMN(W$1))))</f>
        <v>#REF!</v>
      </c>
      <c r="X5" s="47" t="e">
        <f ca="1">IF(INDIRECT("beschriftung.!"&amp;ADDRESS(#REF!*12+ROW($A6)-1,COLUMN(X$1)))="","",INDIRECT("beschriftung.!"&amp;ADDRESS(#REF!*12+ROW($A6)-1,COLUMN(X$1))))</f>
        <v>#REF!</v>
      </c>
      <c r="Y5" s="47"/>
      <c r="Z5" s="47"/>
      <c r="AA5" s="47" t="e">
        <f ca="1">IF(INDIRECT("beschriftung.!"&amp;ADDRESS(#REF!*12+ROW($A6)-1,COLUMN(AA$1)))="","",INDIRECT("beschriftung.!"&amp;ADDRESS(#REF!*12+ROW($A6)-1,COLUMN(AA$1))))</f>
        <v>#REF!</v>
      </c>
      <c r="AB5" s="47" t="e">
        <f ca="1">IF(INDIRECT("beschriftung.!"&amp;ADDRESS(#REF!*12+ROW($A6)-1,COLUMN(AB$1)))="","",INDIRECT("beschriftung.!"&amp;ADDRESS(#REF!*12+ROW($A6)-1,COLUMN(AB$1))))</f>
        <v>#REF!</v>
      </c>
      <c r="AC5" s="47"/>
      <c r="AD5" s="47"/>
      <c r="AE5" s="47"/>
      <c r="AF5" s="47"/>
      <c r="AG5" s="47" t="e">
        <f ca="1">IF(INDIRECT("beschriftung.!"&amp;ADDRESS(#REF!*12+ROW($A6)-1,COLUMN(AG$1)))="","",INDIRECT("beschriftung.!"&amp;ADDRESS(#REF!*12+ROW($A6)-1,COLUMN(AG$1))))</f>
        <v>#REF!</v>
      </c>
      <c r="AH5" s="47" t="e">
        <f ca="1">IF(INDIRECT("beschriftung.!"&amp;ADDRESS(#REF!*12+ROW($A6)-1,COLUMN(AH$1)))="","",INDIRECT("beschriftung.!"&amp;ADDRESS(#REF!*12+ROW($A6)-1,COLUMN(AH$1))))</f>
        <v>#REF!</v>
      </c>
      <c r="AI5" s="47" t="e">
        <f ca="1">IF(INDIRECT("beschriftung.!"&amp;ADDRESS(#REF!*12+ROW($A6)-1,COLUMN(AI$1)))="","",INDIRECT("beschriftung.!"&amp;ADDRESS(#REF!*12+ROW($A6)-1,COLUMN(AI$1))))</f>
        <v>#REF!</v>
      </c>
      <c r="AJ5" s="47" t="e">
        <f ca="1">IF(INDIRECT("beschriftung.!"&amp;ADDRESS(#REF!*12+ROW($A6)-1,COLUMN(AJ$1)))="","",INDIRECT("beschriftung.!"&amp;ADDRESS(#REF!*12+ROW($A6)-1,COLUMN(AJ$1))))</f>
        <v>#REF!</v>
      </c>
      <c r="AK5" s="47"/>
      <c r="AL5" s="47"/>
      <c r="AM5" s="47" t="e">
        <f ca="1">IF(INDIRECT("beschriftung.!"&amp;ADDRESS(#REF!*12+ROW($A6)-1,COLUMN(AM$1)))="","",INDIRECT("beschriftung.!"&amp;ADDRESS(#REF!*12+ROW($A6)-1,COLUMN(AM$1))))</f>
        <v>#REF!</v>
      </c>
      <c r="AN5" s="47" t="e">
        <f ca="1">IF(INDIRECT("beschriftung.!"&amp;ADDRESS(#REF!*12+ROW($A6)-1,COLUMN(AN$1)))="","",INDIRECT("beschriftung.!"&amp;ADDRESS(#REF!*12+ROW($A6)-1,COLUMN(AN$1))))</f>
        <v>#REF!</v>
      </c>
      <c r="AO5" s="47" t="e">
        <f ca="1">IF(INDIRECT("beschriftung.!"&amp;ADDRESS(#REF!*12+ROW($A6)-1,COLUMN(AO$1)))="","",INDIRECT("beschriftung.!"&amp;ADDRESS(#REF!*12+ROW($A6)-1,COLUMN(AO$1))))</f>
        <v>#REF!</v>
      </c>
      <c r="AP5" s="47" t="e">
        <f ca="1">IF(INDIRECT("beschriftung.!"&amp;ADDRESS(#REF!*12+ROW($A6)-1,COLUMN(AP$1)))="","",INDIRECT("beschriftung.!"&amp;ADDRESS(#REF!*12+ROW($A6)-1,COLUMN(AP$1))))</f>
        <v>#REF!</v>
      </c>
      <c r="AQ5" s="47" t="e">
        <f ca="1">IF(INDIRECT("beschriftung.!"&amp;ADDRESS(#REF!*12+ROW($A6)-1,COLUMN(AQ$1)))="","",INDIRECT("beschriftung.!"&amp;ADDRESS(#REF!*12+ROW($A6)-1,COLUMN(AQ$1))))</f>
        <v>#REF!</v>
      </c>
      <c r="AR5" s="47" t="e">
        <f ca="1">IF(INDIRECT("beschriftung.!"&amp;ADDRESS(#REF!*12+ROW($A6)-1,COLUMN(AR$1)))="","",INDIRECT("beschriftung.!"&amp;ADDRESS(#REF!*12+ROW($A6)-1,COLUMN(AR$1))))</f>
        <v>#REF!</v>
      </c>
      <c r="AS5" s="47" t="e">
        <f ca="1">IF(INDIRECT("beschriftung.!"&amp;ADDRESS(#REF!*12+ROW($A6)-1,COLUMN(AS$1)))="","",INDIRECT("beschriftung.!"&amp;ADDRESS(#REF!*12+ROW($A6)-1,COLUMN(AS$1))))</f>
        <v>#REF!</v>
      </c>
      <c r="AT5" s="47" t="e">
        <f ca="1">IF(INDIRECT("beschriftung.!"&amp;ADDRESS(#REF!*12+ROW($A6)-1,COLUMN(AT$1)))="","",INDIRECT("beschriftung.!"&amp;ADDRESS(#REF!*12+ROW($A6)-1,COLUMN(AT$1))))</f>
        <v>#REF!</v>
      </c>
      <c r="AU5" s="47" t="e">
        <f ca="1">IF(INDIRECT("beschriftung.!"&amp;ADDRESS(#REF!*12+ROW($A6)-1,COLUMN(AU$1)))="","",INDIRECT("beschriftung.!"&amp;ADDRESS(#REF!*12+ROW($A6)-1,COLUMN(AU$1))))</f>
        <v>#REF!</v>
      </c>
      <c r="AV5" s="47" t="e">
        <f ca="1">IF(INDIRECT("beschriftung.!"&amp;ADDRESS(#REF!*12+ROW($A6)-1,COLUMN(AV$1)))="","",INDIRECT("beschriftung.!"&amp;ADDRESS(#REF!*12+ROW($A6)-1,COLUMN(AV$1))))</f>
        <v>#REF!</v>
      </c>
      <c r="AW5" s="47"/>
      <c r="AX5" s="47"/>
      <c r="AY5" s="47" t="e">
        <f ca="1">IF(INDIRECT("beschriftung.!"&amp;ADDRESS(#REF!*12+ROW($A6)-1,COLUMN(AY$1)))="","",INDIRECT("beschriftung.!"&amp;ADDRESS(#REF!*12+ROW($A6)-1,COLUMN(AY$1))))</f>
        <v>#REF!</v>
      </c>
      <c r="AZ5" s="50" t="e">
        <f ca="1">IF(INDIRECT("beschriftung.!"&amp;ADDRESS(#REF!*12+ROW($A6)-1,COLUMN(AZ$1)))="","",INDIRECT("beschriftung.!"&amp;ADDRESS(#REF!*12+ROW($A6)-1,COLUMN(AZ$1))))</f>
        <v>#REF!</v>
      </c>
      <c r="BA5" s="49" t="str">
        <f ca="1">INDIRECT("beschriftung!"&amp;ADDRESS(beschriftung!$C$1*12+ROW(beschriftung!$A6)-1,COLUMN(beschriftung!AS$1)))</f>
        <v>Adjustments</v>
      </c>
      <c r="BB5" s="47" t="e">
        <f ca="1">IF(INDIRECT("beschriftung.!"&amp;ADDRESS(#REF!*12+ROW($A6)-1,COLUMN(BB$1)))="","",INDIRECT("beschriftung.!"&amp;ADDRESS(#REF!*12+ROW($A6)-1,COLUMN(BB$1))))</f>
        <v>#REF!</v>
      </c>
      <c r="BC5" s="47" t="e">
        <f ca="1">IF(INDIRECT("beschriftung.!"&amp;ADDRESS(#REF!*12+ROW($A6)-1,COLUMN(BC$1)))="","",INDIRECT("beschriftung.!"&amp;ADDRESS(#REF!*12+ROW($A6)-1,COLUMN(BC$1))))</f>
        <v>#REF!</v>
      </c>
      <c r="BD5" s="47" t="e">
        <f ca="1">IF(INDIRECT("beschriftung.!"&amp;ADDRESS(#REF!*12+ROW($A6)-1,COLUMN(BD$1)))="","",INDIRECT("beschriftung.!"&amp;ADDRESS(#REF!*12+ROW($A6)-1,COLUMN(BD$1))))</f>
        <v>#REF!</v>
      </c>
      <c r="BE5" s="47" t="e">
        <f ca="1">IF(INDIRECT("beschriftung.!"&amp;ADDRESS(#REF!*12+ROW($A6)-1,COLUMN(BE$1)))="","",INDIRECT("beschriftung.!"&amp;ADDRESS(#REF!*12+ROW($A6)-1,COLUMN(BE$1))))</f>
        <v>#REF!</v>
      </c>
      <c r="BF5" s="50" t="e">
        <f ca="1">IF(INDIRECT("beschriftung.!"&amp;ADDRESS(#REF!*12+ROW($A6)-1,COLUMN(BF$1)))="","",INDIRECT("beschriftung.!"&amp;ADDRESS(#REF!*12+ROW($A6)-1,COLUMN(BF$1))))</f>
        <v>#REF!</v>
      </c>
    </row>
    <row r="6" spans="1:60" ht="11.25" customHeight="1" x14ac:dyDescent="0.15">
      <c r="A6" s="5"/>
      <c r="C6" s="67"/>
      <c r="D6" s="55"/>
      <c r="E6" s="60" t="s">
        <v>3</v>
      </c>
      <c r="F6" s="29"/>
      <c r="G6" s="36" t="str">
        <f ca="1">INDIRECT("beschriftung!"&amp;ADDRESS(beschriftung!$C$1*12+ROW(beschriftung!$A7)-1,COLUMN(beschriftung!E$1)))</f>
        <v xml:space="preserve">Agriculture, forestry and fishing </v>
      </c>
      <c r="H6" s="36"/>
      <c r="I6" s="36" t="str">
        <f ca="1">INDIRECT("beschriftung!"&amp;ADDRESS(beschriftung!$C$1*12+ROW(beschriftung!$A7)-1,COLUMN(beschriftung!G$1)))</f>
        <v>Mining and quarrying</v>
      </c>
      <c r="J6" s="36"/>
      <c r="K6" s="36" t="str">
        <f ca="1">INDIRECT("beschriftung!"&amp;ADDRESS(beschriftung!$C$1*12+ROW(beschriftung!$A7)-1,COLUMN(beschriftung!I$1)))</f>
        <v>Manufacturing</v>
      </c>
      <c r="L6" s="37"/>
      <c r="M6" s="42"/>
      <c r="N6" s="42"/>
      <c r="O6" s="42"/>
      <c r="P6" s="43"/>
      <c r="Q6" s="41" t="str">
        <f ca="1">INDIRECT("beschriftung!"&amp;ADDRESS(beschriftung!$C$1*12+ROW(beschriftung!$A7)-1,COLUMN(beschriftung!M$1)))</f>
        <v>Electricity, gas, steam and air conditioning supply</v>
      </c>
      <c r="R6" s="36"/>
      <c r="S6" s="36" t="str">
        <f ca="1">INDIRECT("beschriftung!"&amp;ADDRESS(beschriftung!$C$1*12+ROW(beschriftung!$A7)-1,COLUMN(beschriftung!O$1)))</f>
        <v>Water supply, sewerage, waste management and remediation activities</v>
      </c>
      <c r="T6" s="36"/>
      <c r="U6" s="36" t="str">
        <f ca="1">INDIRECT("beschriftung!"&amp;ADDRESS(beschriftung!$C$1*12+ROW(beschriftung!$A7)-1,COLUMN(beschriftung!Q$1)))</f>
        <v>Construction</v>
      </c>
      <c r="V6" s="36"/>
      <c r="W6" s="36" t="str">
        <f ca="1">INDIRECT("beschriftung!"&amp;ADDRESS(beschriftung!$C$1*12+ROW(beschriftung!$A7)-1,COLUMN(beschriftung!S$1)))</f>
        <v>Trade, repair of motor vehicles and motorcycles</v>
      </c>
      <c r="X6" s="37"/>
      <c r="Y6" s="51"/>
      <c r="Z6" s="52"/>
      <c r="AA6" s="36" t="str">
        <f ca="1">INDIRECT("beschriftung!"&amp;ADDRESS(beschriftung!$C$1*12+ROW(beschriftung!$A7)-1,COLUMN(beschriftung!W$1)))</f>
        <v>Transportation and storage</v>
      </c>
      <c r="AB6" s="36"/>
      <c r="AC6" s="36" t="str">
        <f ca="1">INDIRECT("beschriftung!"&amp;ADDRESS(beschriftung!$C$1*12+ROW(beschriftung!$A7)-1,COLUMN(beschriftung!Y$1)))</f>
        <v>Accommodation and food service activities</v>
      </c>
      <c r="AD6" s="36"/>
      <c r="AE6" s="37" t="str">
        <f ca="1">INDIRECT("beschriftung!"&amp;ADDRESS(beschriftung!$C$1*12+ROW(beschriftung!$A7)-1,COLUMN(beschriftung!X$1)))</f>
        <v>Information and communication</v>
      </c>
      <c r="AF6" s="41"/>
      <c r="AG6" s="36" t="str">
        <f ca="1">INDIRECT("beschriftung!"&amp;ADDRESS(beschriftung!$C$1*12+ROW(beschriftung!$A7)-1,COLUMN(beschriftung!AA$1)))</f>
        <v>Financial and insurance activities</v>
      </c>
      <c r="AH6" s="37"/>
      <c r="AI6" s="22"/>
      <c r="AJ6" s="22"/>
      <c r="AK6" s="22"/>
      <c r="AL6" s="23"/>
      <c r="AM6" s="41" t="str">
        <f ca="1">INDIRECT("beschriftung!"&amp;ADDRESS(beschriftung!$C$1*12+ROW(beschriftung!$A7)-1,COLUMN(beschriftung!AE$1)))</f>
        <v>Real estate, professional, scientific, technical activities and administrative services</v>
      </c>
      <c r="AN6" s="36"/>
      <c r="AO6" s="36" t="str">
        <f ca="1">INDIRECT("beschriftung!"&amp;ADDRESS(beschriftung!$C$1*12+ROW(beschriftung!$A7)-1,COLUMN(beschriftung!AG$1)))</f>
        <v>Public administration</v>
      </c>
      <c r="AP6" s="36"/>
      <c r="AQ6" s="36" t="str">
        <f ca="1">INDIRECT("beschriftung!"&amp;ADDRESS(beschriftung!$C$1*12+ROW(beschriftung!$A7)-1,COLUMN(beschriftung!AI$1)))</f>
        <v>Education</v>
      </c>
      <c r="AR6" s="36"/>
      <c r="AS6" s="36" t="str">
        <f ca="1">INDIRECT("beschriftung!"&amp;ADDRESS(beschriftung!$C$1*12+ROW(beschriftung!$A7)-1,COLUMN(beschriftung!AK$1)))</f>
        <v>Human health and social work activities</v>
      </c>
      <c r="AT6" s="36"/>
      <c r="AU6" s="36" t="str">
        <f ca="1">INDIRECT("beschriftung!"&amp;ADDRESS(beschriftung!$C$1*12+ROW(beschriftung!$A7)-1,COLUMN(beschriftung!AM$1)))</f>
        <v xml:space="preserve">Arts, entertainment and recreation </v>
      </c>
      <c r="AV6" s="36"/>
      <c r="AW6" s="36" t="str">
        <f ca="1">INDIRECT("beschriftung!"&amp;ADDRESS(beschriftung!$C$1*12+ROW(beschriftung!$A7)-1,COLUMN(beschriftung!AO$1)))</f>
        <v>Other service activities</v>
      </c>
      <c r="AX6" s="36"/>
      <c r="AY6" s="36" t="str">
        <f ca="1">INDIRECT("beschriftung!"&amp;ADDRESS(beschriftung!$C$1*12+ROW(beschriftung!$A7)-1,COLUMN(beschriftung!AQ$1)))</f>
        <v>Activities of housholds as employers and producers for own use</v>
      </c>
      <c r="AZ6" s="36"/>
      <c r="BA6" s="55"/>
      <c r="BB6" s="55"/>
      <c r="BC6" s="36" t="str">
        <f ca="1">INDIRECT("beschriftung!"&amp;ADDRESS(beschriftung!$C$1*12+ROW(beschriftung!$A7)-1,COLUMN(beschriftung!AU$1)))</f>
        <v>Taxes on products</v>
      </c>
      <c r="BD6" s="36"/>
      <c r="BE6" s="36" t="str">
        <f ca="1">INDIRECT("beschriftung!"&amp;ADDRESS(beschriftung!$C$1*12+ROW(beschriftung!$A7)-1,COLUMN(beschriftung!AW$1)))</f>
        <v>Subsidies on products</v>
      </c>
      <c r="BF6" s="36"/>
    </row>
    <row r="7" spans="1:60" ht="11.25" customHeight="1" x14ac:dyDescent="0.15">
      <c r="A7" s="8"/>
      <c r="B7" s="8"/>
      <c r="C7" s="67"/>
      <c r="D7" s="55"/>
      <c r="E7" s="60"/>
      <c r="F7" s="29"/>
      <c r="G7" s="38"/>
      <c r="H7" s="38"/>
      <c r="I7" s="38"/>
      <c r="J7" s="38"/>
      <c r="K7" s="38"/>
      <c r="L7" s="28"/>
      <c r="M7" s="44"/>
      <c r="N7" s="44"/>
      <c r="O7" s="44"/>
      <c r="P7" s="45"/>
      <c r="Q7" s="29"/>
      <c r="R7" s="38"/>
      <c r="S7" s="38"/>
      <c r="T7" s="38"/>
      <c r="U7" s="38"/>
      <c r="V7" s="38"/>
      <c r="W7" s="38"/>
      <c r="X7" s="28"/>
      <c r="Y7" s="53"/>
      <c r="Z7" s="54"/>
      <c r="AA7" s="38"/>
      <c r="AB7" s="38"/>
      <c r="AC7" s="38"/>
      <c r="AD7" s="38"/>
      <c r="AE7" s="28"/>
      <c r="AF7" s="29"/>
      <c r="AG7" s="38"/>
      <c r="AH7" s="28"/>
      <c r="AI7" s="24"/>
      <c r="AJ7" s="24"/>
      <c r="AK7" s="24"/>
      <c r="AL7" s="25"/>
      <c r="AM7" s="29"/>
      <c r="AN7" s="38"/>
      <c r="AO7" s="38"/>
      <c r="AP7" s="38"/>
      <c r="AQ7" s="38"/>
      <c r="AR7" s="38"/>
      <c r="AS7" s="38"/>
      <c r="AT7" s="38"/>
      <c r="AU7" s="38"/>
      <c r="AV7" s="38"/>
      <c r="AW7" s="38"/>
      <c r="AX7" s="38"/>
      <c r="AY7" s="38"/>
      <c r="AZ7" s="38"/>
      <c r="BA7" s="55"/>
      <c r="BB7" s="55"/>
      <c r="BC7" s="38"/>
      <c r="BD7" s="38"/>
      <c r="BE7" s="38"/>
      <c r="BF7" s="38"/>
    </row>
    <row r="8" spans="1:60" ht="11.25" customHeight="1" x14ac:dyDescent="0.15">
      <c r="A8" s="2"/>
      <c r="B8" s="2"/>
      <c r="C8" s="67"/>
      <c r="D8" s="55"/>
      <c r="E8" s="61"/>
      <c r="F8" s="62"/>
      <c r="G8" s="39"/>
      <c r="H8" s="39"/>
      <c r="I8" s="39"/>
      <c r="J8" s="39"/>
      <c r="K8" s="39"/>
      <c r="L8" s="39"/>
      <c r="M8" s="28" t="str">
        <f ca="1">INDIRECT("beschriftung!"&amp;ADDRESS(beschriftung!$C$1*12+ROW(beschriftung!$A7),COLUMN(beschriftung!J$1)))</f>
        <v>thereof chemicals and pharmaceuticals</v>
      </c>
      <c r="N8" s="29"/>
      <c r="O8" s="28" t="str">
        <f ca="1">INDIRECT("beschriftung!"&amp;ADDRESS(beschriftung!$C$1*12+ROW(beschriftung!$A7),COLUMN(beschriftung!K$1)))</f>
        <v xml:space="preserve">thereof other manufacturing </v>
      </c>
      <c r="P8" s="29"/>
      <c r="Q8" s="39"/>
      <c r="R8" s="39"/>
      <c r="S8" s="39"/>
      <c r="T8" s="39"/>
      <c r="U8" s="39"/>
      <c r="V8" s="39"/>
      <c r="W8" s="39"/>
      <c r="X8" s="39"/>
      <c r="Y8" s="28" t="str">
        <f ca="1">INDIRECT("beschriftung!"&amp;ADDRESS(beschriftung!$C$1*12+ROW(beschriftung!$A7),COLUMN(beschriftung!U$1)))</f>
        <v>thereof retail trade</v>
      </c>
      <c r="Z8" s="29"/>
      <c r="AA8" s="39"/>
      <c r="AB8" s="39"/>
      <c r="AC8" s="39"/>
      <c r="AD8" s="39"/>
      <c r="AE8" s="28"/>
      <c r="AF8" s="29"/>
      <c r="AG8" s="39"/>
      <c r="AH8" s="39"/>
      <c r="AI8" s="28" t="str">
        <f ca="1">INDIRECT("beschriftung!"&amp;ADDRESS(beschriftung!$C$1*12+ROW(beschriftung!$A7),COLUMN(beschriftung!AB$1)))</f>
        <v>thereof financial activities</v>
      </c>
      <c r="AJ8" s="29"/>
      <c r="AK8" s="28" t="str">
        <f ca="1">INDIRECT("beschriftung!"&amp;ADDRESS(beschriftung!$C$1*12+ROW(beschriftung!$A7),COLUMN(beschriftung!AC$1)))</f>
        <v>thereof insurance activities</v>
      </c>
      <c r="AL8" s="29"/>
      <c r="AM8" s="39"/>
      <c r="AN8" s="39"/>
      <c r="AO8" s="39"/>
      <c r="AP8" s="39"/>
      <c r="AQ8" s="39"/>
      <c r="AR8" s="39"/>
      <c r="AS8" s="39"/>
      <c r="AT8" s="39"/>
      <c r="AU8" s="39"/>
      <c r="AV8" s="39"/>
      <c r="AW8" s="39"/>
      <c r="AX8" s="39"/>
      <c r="AY8" s="39"/>
      <c r="AZ8" s="39"/>
      <c r="BA8" s="55"/>
      <c r="BB8" s="55"/>
      <c r="BC8" s="39"/>
      <c r="BD8" s="39"/>
      <c r="BE8" s="39"/>
      <c r="BF8" s="39"/>
    </row>
    <row r="9" spans="1:60" ht="11.25" customHeight="1" x14ac:dyDescent="0.15">
      <c r="A9" s="2"/>
      <c r="B9" s="2"/>
      <c r="C9" s="67"/>
      <c r="D9" s="55"/>
      <c r="E9" s="61"/>
      <c r="F9" s="62"/>
      <c r="G9" s="39"/>
      <c r="H9" s="39"/>
      <c r="I9" s="39"/>
      <c r="J9" s="39"/>
      <c r="K9" s="39"/>
      <c r="L9" s="39"/>
      <c r="M9" s="28"/>
      <c r="N9" s="29"/>
      <c r="O9" s="28"/>
      <c r="P9" s="29"/>
      <c r="Q9" s="39"/>
      <c r="R9" s="39"/>
      <c r="S9" s="39"/>
      <c r="T9" s="39"/>
      <c r="U9" s="39"/>
      <c r="V9" s="39"/>
      <c r="W9" s="39"/>
      <c r="X9" s="39"/>
      <c r="Y9" s="28"/>
      <c r="Z9" s="29"/>
      <c r="AA9" s="39"/>
      <c r="AB9" s="39"/>
      <c r="AC9" s="39"/>
      <c r="AD9" s="39"/>
      <c r="AE9" s="28"/>
      <c r="AF9" s="29"/>
      <c r="AG9" s="39"/>
      <c r="AH9" s="39"/>
      <c r="AI9" s="28"/>
      <c r="AJ9" s="29"/>
      <c r="AK9" s="28"/>
      <c r="AL9" s="29"/>
      <c r="AM9" s="39"/>
      <c r="AN9" s="39"/>
      <c r="AO9" s="39"/>
      <c r="AP9" s="39"/>
      <c r="AQ9" s="39"/>
      <c r="AR9" s="39"/>
      <c r="AS9" s="39"/>
      <c r="AT9" s="39"/>
      <c r="AU9" s="39"/>
      <c r="AV9" s="39"/>
      <c r="AW9" s="39"/>
      <c r="AX9" s="39"/>
      <c r="AY9" s="39"/>
      <c r="AZ9" s="39"/>
      <c r="BA9" s="55"/>
      <c r="BB9" s="55"/>
      <c r="BC9" s="39"/>
      <c r="BD9" s="39"/>
      <c r="BE9" s="39"/>
      <c r="BF9" s="39"/>
    </row>
    <row r="10" spans="1:60" ht="11.25" customHeight="1" x14ac:dyDescent="0.15">
      <c r="A10" s="2"/>
      <c r="B10" s="8"/>
      <c r="C10" s="68"/>
      <c r="D10" s="69"/>
      <c r="E10" s="63"/>
      <c r="F10" s="64"/>
      <c r="G10" s="40"/>
      <c r="H10" s="40"/>
      <c r="I10" s="40"/>
      <c r="J10" s="40"/>
      <c r="K10" s="40"/>
      <c r="L10" s="40"/>
      <c r="M10" s="30"/>
      <c r="N10" s="31"/>
      <c r="O10" s="30"/>
      <c r="P10" s="31"/>
      <c r="Q10" s="40"/>
      <c r="R10" s="40"/>
      <c r="S10" s="40"/>
      <c r="T10" s="40"/>
      <c r="U10" s="40"/>
      <c r="V10" s="40"/>
      <c r="W10" s="40"/>
      <c r="X10" s="40"/>
      <c r="Y10" s="30"/>
      <c r="Z10" s="31"/>
      <c r="AA10" s="40"/>
      <c r="AB10" s="40"/>
      <c r="AC10" s="40"/>
      <c r="AD10" s="40"/>
      <c r="AE10" s="30"/>
      <c r="AF10" s="31"/>
      <c r="AG10" s="40"/>
      <c r="AH10" s="40"/>
      <c r="AI10" s="30"/>
      <c r="AJ10" s="31"/>
      <c r="AK10" s="30"/>
      <c r="AL10" s="31"/>
      <c r="AM10" s="40"/>
      <c r="AN10" s="40"/>
      <c r="AO10" s="40"/>
      <c r="AP10" s="40"/>
      <c r="AQ10" s="40"/>
      <c r="AR10" s="40"/>
      <c r="AS10" s="40"/>
      <c r="AT10" s="40"/>
      <c r="AU10" s="40"/>
      <c r="AV10" s="40"/>
      <c r="AW10" s="40"/>
      <c r="AX10" s="40"/>
      <c r="AY10" s="40"/>
      <c r="AZ10" s="40"/>
      <c r="BA10" s="55"/>
      <c r="BB10" s="55"/>
      <c r="BC10" s="40"/>
      <c r="BD10" s="40"/>
      <c r="BE10" s="40"/>
      <c r="BF10" s="40"/>
    </row>
    <row r="11" spans="1:60" ht="11.25" customHeight="1" x14ac:dyDescent="0.15">
      <c r="A11" s="2"/>
      <c r="B11" s="8"/>
      <c r="C11" s="58" t="s">
        <v>201</v>
      </c>
      <c r="D11" s="59"/>
      <c r="E11" s="56" t="s">
        <v>202</v>
      </c>
      <c r="F11" s="57"/>
      <c r="G11" s="34" t="s">
        <v>113</v>
      </c>
      <c r="H11" s="35"/>
      <c r="I11" s="34" t="s">
        <v>114</v>
      </c>
      <c r="J11" s="35"/>
      <c r="K11" s="34" t="s">
        <v>115</v>
      </c>
      <c r="L11" s="35"/>
      <c r="M11" s="34" t="s">
        <v>116</v>
      </c>
      <c r="N11" s="35"/>
      <c r="O11" s="26" t="s">
        <v>195</v>
      </c>
      <c r="P11" s="27"/>
      <c r="Q11" s="34" t="s">
        <v>117</v>
      </c>
      <c r="R11" s="35"/>
      <c r="S11" s="34" t="s">
        <v>118</v>
      </c>
      <c r="T11" s="35"/>
      <c r="U11" s="34" t="s">
        <v>119</v>
      </c>
      <c r="V11" s="35"/>
      <c r="W11" s="34" t="s">
        <v>120</v>
      </c>
      <c r="X11" s="35"/>
      <c r="Y11" s="34" t="s">
        <v>121</v>
      </c>
      <c r="Z11" s="35"/>
      <c r="AA11" s="34" t="s">
        <v>196</v>
      </c>
      <c r="AB11" s="35"/>
      <c r="AC11" s="34" t="s">
        <v>122</v>
      </c>
      <c r="AD11" s="35"/>
      <c r="AE11" s="26" t="s">
        <v>197</v>
      </c>
      <c r="AF11" s="27"/>
      <c r="AG11" s="34" t="s">
        <v>198</v>
      </c>
      <c r="AH11" s="35"/>
      <c r="AI11" s="34" t="s">
        <v>123</v>
      </c>
      <c r="AJ11" s="35"/>
      <c r="AK11" s="26" t="s">
        <v>124</v>
      </c>
      <c r="AL11" s="27"/>
      <c r="AM11" s="34" t="s">
        <v>125</v>
      </c>
      <c r="AN11" s="35"/>
      <c r="AO11" s="34" t="s">
        <v>126</v>
      </c>
      <c r="AP11" s="35"/>
      <c r="AQ11" s="34" t="s">
        <v>127</v>
      </c>
      <c r="AR11" s="35"/>
      <c r="AS11" s="34" t="s">
        <v>128</v>
      </c>
      <c r="AT11" s="34"/>
      <c r="AU11" s="34" t="s">
        <v>96</v>
      </c>
      <c r="AV11" s="35"/>
      <c r="AW11" s="34" t="s">
        <v>129</v>
      </c>
      <c r="AX11" s="35"/>
      <c r="AY11" s="34" t="s">
        <v>130</v>
      </c>
      <c r="AZ11" s="35"/>
      <c r="BA11" s="10"/>
      <c r="BB11" s="11"/>
      <c r="BC11" s="32" t="s">
        <v>199</v>
      </c>
      <c r="BD11" s="33"/>
      <c r="BE11" s="32" t="s">
        <v>200</v>
      </c>
      <c r="BF11" s="33"/>
    </row>
    <row r="12" spans="1:60" x14ac:dyDescent="0.15">
      <c r="A12" s="17">
        <v>1980</v>
      </c>
      <c r="B12" s="17"/>
      <c r="C12" s="21"/>
      <c r="D12" s="19"/>
      <c r="E12" s="21"/>
      <c r="F12" s="19"/>
      <c r="G12" s="21"/>
      <c r="H12" s="19"/>
      <c r="I12" s="21"/>
      <c r="J12" s="19"/>
      <c r="K12" s="21"/>
      <c r="L12" s="19"/>
      <c r="M12" s="21"/>
      <c r="N12" s="19"/>
      <c r="O12" s="21"/>
      <c r="P12" s="19"/>
      <c r="Q12" s="21"/>
      <c r="R12" s="19"/>
      <c r="S12" s="21"/>
      <c r="T12" s="19"/>
      <c r="U12" s="21"/>
      <c r="V12" s="19"/>
      <c r="W12" s="21"/>
      <c r="X12" s="19"/>
      <c r="Y12" s="21"/>
      <c r="Z12" s="19"/>
      <c r="AA12" s="21"/>
      <c r="AB12" s="19"/>
      <c r="AC12" s="21"/>
      <c r="AD12" s="19"/>
      <c r="AE12" s="21"/>
      <c r="AF12" s="19"/>
      <c r="AG12" s="21"/>
      <c r="AH12" s="19"/>
      <c r="AI12" s="21"/>
      <c r="AJ12" s="19"/>
      <c r="AK12" s="21"/>
      <c r="AL12" s="19"/>
      <c r="AM12" s="21"/>
      <c r="AN12" s="19"/>
      <c r="AO12" s="21"/>
      <c r="AP12" s="19"/>
      <c r="AQ12" s="21"/>
      <c r="AR12" s="19"/>
      <c r="AS12" s="21"/>
      <c r="AT12" s="19"/>
      <c r="AU12" s="21"/>
      <c r="AV12" s="19"/>
      <c r="AW12" s="21"/>
      <c r="AX12" s="19"/>
      <c r="AY12" s="21"/>
      <c r="AZ12" s="19"/>
      <c r="BA12" s="21"/>
      <c r="BB12" s="19"/>
      <c r="BC12" s="21"/>
      <c r="BD12" s="19"/>
      <c r="BE12" s="21"/>
      <c r="BF12" s="19"/>
      <c r="BG12" s="21"/>
      <c r="BH12" s="19"/>
    </row>
    <row r="13" spans="1:60" x14ac:dyDescent="0.15">
      <c r="A13" s="17">
        <v>1981</v>
      </c>
      <c r="B13" s="17"/>
      <c r="C13" s="21"/>
      <c r="D13" s="19"/>
      <c r="E13" s="21"/>
      <c r="F13" s="19"/>
      <c r="G13" s="21"/>
      <c r="H13" s="19"/>
      <c r="I13" s="21"/>
      <c r="J13" s="19"/>
      <c r="K13" s="21"/>
      <c r="L13" s="19"/>
      <c r="M13" s="21"/>
      <c r="N13" s="19"/>
      <c r="O13" s="21"/>
      <c r="P13" s="19"/>
      <c r="Q13" s="21"/>
      <c r="R13" s="19"/>
      <c r="S13" s="21"/>
      <c r="T13" s="19"/>
      <c r="U13" s="21"/>
      <c r="V13" s="19"/>
      <c r="W13" s="21"/>
      <c r="X13" s="19"/>
      <c r="Y13" s="21"/>
      <c r="Z13" s="19"/>
      <c r="AA13" s="21"/>
      <c r="AB13" s="19"/>
      <c r="AC13" s="21"/>
      <c r="AD13" s="19"/>
      <c r="AE13" s="21"/>
      <c r="AF13" s="19"/>
      <c r="AG13" s="21"/>
      <c r="AH13" s="19"/>
      <c r="AI13" s="21"/>
      <c r="AJ13" s="19"/>
      <c r="AK13" s="21"/>
      <c r="AL13" s="19"/>
      <c r="AM13" s="21"/>
      <c r="AN13" s="19"/>
      <c r="AO13" s="21"/>
      <c r="AP13" s="19"/>
      <c r="AQ13" s="21"/>
      <c r="AR13" s="19"/>
      <c r="AS13" s="21"/>
      <c r="AT13" s="19"/>
      <c r="AU13" s="21"/>
      <c r="AV13" s="19"/>
      <c r="AW13" s="21"/>
      <c r="AX13" s="19"/>
      <c r="AY13" s="21"/>
      <c r="AZ13" s="19"/>
      <c r="BA13" s="21"/>
      <c r="BB13" s="19"/>
      <c r="BC13" s="21"/>
      <c r="BD13" s="19"/>
      <c r="BE13" s="21"/>
      <c r="BF13" s="19"/>
      <c r="BG13" s="21"/>
      <c r="BH13" s="19"/>
    </row>
    <row r="14" spans="1:60" x14ac:dyDescent="0.15">
      <c r="A14" s="17">
        <v>1982</v>
      </c>
      <c r="B14" s="17"/>
      <c r="C14" s="21"/>
      <c r="D14" s="19"/>
      <c r="E14" s="21"/>
      <c r="F14" s="19"/>
      <c r="G14" s="21"/>
      <c r="H14" s="19"/>
      <c r="I14" s="21"/>
      <c r="J14" s="19"/>
      <c r="K14" s="21"/>
      <c r="L14" s="19"/>
      <c r="M14" s="21"/>
      <c r="N14" s="19"/>
      <c r="O14" s="21"/>
      <c r="P14" s="19"/>
      <c r="Q14" s="21"/>
      <c r="R14" s="19"/>
      <c r="S14" s="21"/>
      <c r="T14" s="19"/>
      <c r="U14" s="21"/>
      <c r="V14" s="19"/>
      <c r="W14" s="21"/>
      <c r="X14" s="19"/>
      <c r="Y14" s="21"/>
      <c r="Z14" s="19"/>
      <c r="AA14" s="21"/>
      <c r="AB14" s="19"/>
      <c r="AC14" s="21"/>
      <c r="AD14" s="19"/>
      <c r="AE14" s="21"/>
      <c r="AF14" s="19"/>
      <c r="AG14" s="21"/>
      <c r="AH14" s="19"/>
      <c r="AI14" s="21"/>
      <c r="AJ14" s="19"/>
      <c r="AK14" s="21"/>
      <c r="AL14" s="19"/>
      <c r="AM14" s="21"/>
      <c r="AN14" s="19"/>
      <c r="AO14" s="21"/>
      <c r="AP14" s="19"/>
      <c r="AQ14" s="21"/>
      <c r="AR14" s="19"/>
      <c r="AS14" s="21"/>
      <c r="AT14" s="19"/>
      <c r="AU14" s="21"/>
      <c r="AV14" s="19"/>
      <c r="AW14" s="21"/>
      <c r="AX14" s="19"/>
      <c r="AY14" s="21"/>
      <c r="AZ14" s="19"/>
      <c r="BA14" s="21"/>
      <c r="BB14" s="19"/>
      <c r="BC14" s="21"/>
      <c r="BD14" s="19"/>
      <c r="BE14" s="21"/>
      <c r="BF14" s="19"/>
      <c r="BG14" s="21"/>
      <c r="BH14" s="19"/>
    </row>
    <row r="15" spans="1:60" x14ac:dyDescent="0.15">
      <c r="A15" s="17">
        <v>1983</v>
      </c>
      <c r="B15" s="17"/>
      <c r="C15" s="21"/>
      <c r="D15" s="19"/>
      <c r="E15" s="21"/>
      <c r="F15" s="19"/>
      <c r="G15" s="21"/>
      <c r="H15" s="19"/>
      <c r="I15" s="21"/>
      <c r="J15" s="19"/>
      <c r="K15" s="21"/>
      <c r="L15" s="19"/>
      <c r="M15" s="21"/>
      <c r="N15" s="19"/>
      <c r="O15" s="21"/>
      <c r="P15" s="19"/>
      <c r="Q15" s="21"/>
      <c r="R15" s="19"/>
      <c r="S15" s="21"/>
      <c r="T15" s="19"/>
      <c r="U15" s="21"/>
      <c r="V15" s="19"/>
      <c r="W15" s="21"/>
      <c r="X15" s="19"/>
      <c r="Y15" s="21"/>
      <c r="Z15" s="19"/>
      <c r="AA15" s="21"/>
      <c r="AB15" s="19"/>
      <c r="AC15" s="21"/>
      <c r="AD15" s="19"/>
      <c r="AE15" s="21"/>
      <c r="AF15" s="19"/>
      <c r="AG15" s="21"/>
      <c r="AH15" s="19"/>
      <c r="AI15" s="21"/>
      <c r="AJ15" s="19"/>
      <c r="AK15" s="21"/>
      <c r="AL15" s="19"/>
      <c r="AM15" s="21"/>
      <c r="AN15" s="19"/>
      <c r="AO15" s="21"/>
      <c r="AP15" s="19"/>
      <c r="AQ15" s="21"/>
      <c r="AR15" s="19"/>
      <c r="AS15" s="21"/>
      <c r="AT15" s="19"/>
      <c r="AU15" s="21"/>
      <c r="AV15" s="19"/>
      <c r="AW15" s="21"/>
      <c r="AX15" s="19"/>
      <c r="AY15" s="21"/>
      <c r="AZ15" s="19"/>
      <c r="BA15" s="21"/>
      <c r="BB15" s="19"/>
      <c r="BC15" s="21"/>
      <c r="BD15" s="19"/>
      <c r="BE15" s="21"/>
      <c r="BF15" s="19"/>
      <c r="BG15" s="21"/>
      <c r="BH15" s="19"/>
    </row>
    <row r="16" spans="1:60" x14ac:dyDescent="0.15">
      <c r="A16" s="17">
        <v>1984</v>
      </c>
      <c r="B16" s="17"/>
      <c r="C16" s="21"/>
      <c r="D16" s="19"/>
      <c r="E16" s="21"/>
      <c r="F16" s="19"/>
      <c r="G16" s="21"/>
      <c r="H16" s="19"/>
      <c r="I16" s="21"/>
      <c r="J16" s="19"/>
      <c r="K16" s="21"/>
      <c r="L16" s="19"/>
      <c r="M16" s="21"/>
      <c r="N16" s="19"/>
      <c r="O16" s="21"/>
      <c r="P16" s="19"/>
      <c r="Q16" s="21"/>
      <c r="R16" s="19"/>
      <c r="S16" s="21"/>
      <c r="T16" s="19"/>
      <c r="U16" s="21"/>
      <c r="V16" s="19"/>
      <c r="W16" s="21"/>
      <c r="X16" s="19"/>
      <c r="Y16" s="21"/>
      <c r="Z16" s="19"/>
      <c r="AA16" s="21"/>
      <c r="AB16" s="19"/>
      <c r="AC16" s="21"/>
      <c r="AD16" s="19"/>
      <c r="AE16" s="21"/>
      <c r="AF16" s="19"/>
      <c r="AG16" s="21"/>
      <c r="AH16" s="19"/>
      <c r="AI16" s="21"/>
      <c r="AJ16" s="19"/>
      <c r="AK16" s="21"/>
      <c r="AL16" s="19"/>
      <c r="AM16" s="21"/>
      <c r="AN16" s="19"/>
      <c r="AO16" s="21"/>
      <c r="AP16" s="19"/>
      <c r="AQ16" s="21"/>
      <c r="AR16" s="19"/>
      <c r="AS16" s="21"/>
      <c r="AT16" s="19"/>
      <c r="AU16" s="21"/>
      <c r="AV16" s="19"/>
      <c r="AW16" s="21"/>
      <c r="AX16" s="19"/>
      <c r="AY16" s="21"/>
      <c r="AZ16" s="19"/>
      <c r="BA16" s="21"/>
      <c r="BB16" s="19"/>
      <c r="BC16" s="21"/>
      <c r="BD16" s="19"/>
      <c r="BE16" s="21"/>
      <c r="BF16" s="19"/>
      <c r="BG16" s="21"/>
      <c r="BH16" s="19"/>
    </row>
    <row r="17" spans="1:60" x14ac:dyDescent="0.15">
      <c r="A17" s="17">
        <v>1985</v>
      </c>
      <c r="B17" s="17"/>
      <c r="C17" s="21"/>
      <c r="D17" s="19"/>
      <c r="E17" s="21"/>
      <c r="F17" s="19"/>
      <c r="G17" s="21"/>
      <c r="H17" s="19"/>
      <c r="I17" s="21"/>
      <c r="J17" s="19"/>
      <c r="K17" s="21"/>
      <c r="L17" s="19"/>
      <c r="M17" s="21"/>
      <c r="N17" s="19"/>
      <c r="O17" s="21"/>
      <c r="P17" s="19"/>
      <c r="Q17" s="21"/>
      <c r="R17" s="19"/>
      <c r="S17" s="21"/>
      <c r="T17" s="19"/>
      <c r="U17" s="21"/>
      <c r="V17" s="19"/>
      <c r="W17" s="21"/>
      <c r="X17" s="19"/>
      <c r="Y17" s="21"/>
      <c r="Z17" s="19"/>
      <c r="AA17" s="21"/>
      <c r="AB17" s="19"/>
      <c r="AC17" s="21"/>
      <c r="AD17" s="19"/>
      <c r="AE17" s="21"/>
      <c r="AF17" s="19"/>
      <c r="AG17" s="21"/>
      <c r="AH17" s="19"/>
      <c r="AI17" s="21"/>
      <c r="AJ17" s="19"/>
      <c r="AK17" s="21"/>
      <c r="AL17" s="19"/>
      <c r="AM17" s="21"/>
      <c r="AN17" s="19"/>
      <c r="AO17" s="21"/>
      <c r="AP17" s="19"/>
      <c r="AQ17" s="21"/>
      <c r="AR17" s="19"/>
      <c r="AS17" s="21"/>
      <c r="AT17" s="19"/>
      <c r="AU17" s="21"/>
      <c r="AV17" s="19"/>
      <c r="AW17" s="21"/>
      <c r="AX17" s="19"/>
      <c r="AY17" s="21"/>
      <c r="AZ17" s="19"/>
      <c r="BA17" s="21"/>
      <c r="BB17" s="19"/>
      <c r="BC17" s="21"/>
      <c r="BD17" s="19"/>
      <c r="BE17" s="21"/>
      <c r="BF17" s="19"/>
      <c r="BG17" s="21"/>
      <c r="BH17" s="19"/>
    </row>
    <row r="18" spans="1:60" x14ac:dyDescent="0.15">
      <c r="A18" s="17">
        <v>1986</v>
      </c>
      <c r="B18" s="17"/>
      <c r="C18" s="21"/>
      <c r="D18" s="19"/>
      <c r="E18" s="21"/>
      <c r="F18" s="19"/>
      <c r="G18" s="21"/>
      <c r="H18" s="19"/>
      <c r="I18" s="21"/>
      <c r="J18" s="19"/>
      <c r="K18" s="21"/>
      <c r="L18" s="19"/>
      <c r="M18" s="21"/>
      <c r="N18" s="19"/>
      <c r="O18" s="21"/>
      <c r="P18" s="19"/>
      <c r="Q18" s="21"/>
      <c r="R18" s="19"/>
      <c r="S18" s="21"/>
      <c r="T18" s="19"/>
      <c r="U18" s="21"/>
      <c r="V18" s="19"/>
      <c r="W18" s="21"/>
      <c r="X18" s="19"/>
      <c r="Y18" s="21"/>
      <c r="Z18" s="19"/>
      <c r="AA18" s="21"/>
      <c r="AB18" s="19"/>
      <c r="AC18" s="21"/>
      <c r="AD18" s="19"/>
      <c r="AE18" s="21"/>
      <c r="AF18" s="19"/>
      <c r="AG18" s="21"/>
      <c r="AH18" s="19"/>
      <c r="AI18" s="21"/>
      <c r="AJ18" s="19"/>
      <c r="AK18" s="21"/>
      <c r="AL18" s="19"/>
      <c r="AM18" s="21"/>
      <c r="AN18" s="19"/>
      <c r="AO18" s="21"/>
      <c r="AP18" s="19"/>
      <c r="AQ18" s="21"/>
      <c r="AR18" s="19"/>
      <c r="AS18" s="21"/>
      <c r="AT18" s="19"/>
      <c r="AU18" s="21"/>
      <c r="AV18" s="19"/>
      <c r="AW18" s="21"/>
      <c r="AX18" s="19"/>
      <c r="AY18" s="21"/>
      <c r="AZ18" s="19"/>
      <c r="BA18" s="21"/>
      <c r="BB18" s="19"/>
      <c r="BC18" s="21"/>
      <c r="BD18" s="19"/>
      <c r="BE18" s="21"/>
      <c r="BF18" s="19"/>
      <c r="BG18" s="21"/>
      <c r="BH18" s="19"/>
    </row>
    <row r="19" spans="1:60" x14ac:dyDescent="0.15">
      <c r="A19" s="17">
        <v>1987</v>
      </c>
      <c r="B19" s="17"/>
      <c r="C19" s="21"/>
      <c r="D19" s="19"/>
      <c r="E19" s="21"/>
      <c r="F19" s="19"/>
      <c r="G19" s="21"/>
      <c r="H19" s="19"/>
      <c r="I19" s="21"/>
      <c r="J19" s="19"/>
      <c r="K19" s="21"/>
      <c r="L19" s="19"/>
      <c r="M19" s="21"/>
      <c r="N19" s="19"/>
      <c r="O19" s="21"/>
      <c r="P19" s="19"/>
      <c r="Q19" s="21"/>
      <c r="R19" s="19"/>
      <c r="S19" s="21"/>
      <c r="T19" s="19"/>
      <c r="U19" s="21"/>
      <c r="V19" s="19"/>
      <c r="W19" s="21"/>
      <c r="X19" s="19"/>
      <c r="Y19" s="21"/>
      <c r="Z19" s="19"/>
      <c r="AA19" s="21"/>
      <c r="AB19" s="19"/>
      <c r="AC19" s="21"/>
      <c r="AD19" s="19"/>
      <c r="AE19" s="21"/>
      <c r="AF19" s="19"/>
      <c r="AG19" s="21"/>
      <c r="AH19" s="19"/>
      <c r="AI19" s="21"/>
      <c r="AJ19" s="19"/>
      <c r="AK19" s="21"/>
      <c r="AL19" s="19"/>
      <c r="AM19" s="21"/>
      <c r="AN19" s="19"/>
      <c r="AO19" s="21"/>
      <c r="AP19" s="19"/>
      <c r="AQ19" s="21"/>
      <c r="AR19" s="19"/>
      <c r="AS19" s="21"/>
      <c r="AT19" s="19"/>
      <c r="AU19" s="21"/>
      <c r="AV19" s="19"/>
      <c r="AW19" s="21"/>
      <c r="AX19" s="19"/>
      <c r="AY19" s="21"/>
      <c r="AZ19" s="19"/>
      <c r="BA19" s="21"/>
      <c r="BB19" s="19"/>
      <c r="BC19" s="21"/>
      <c r="BD19" s="19"/>
      <c r="BE19" s="21"/>
      <c r="BF19" s="19"/>
      <c r="BG19" s="21"/>
      <c r="BH19" s="19"/>
    </row>
    <row r="20" spans="1:60" x14ac:dyDescent="0.15">
      <c r="A20" s="17">
        <v>1988</v>
      </c>
      <c r="B20" s="17"/>
      <c r="C20" s="21"/>
      <c r="D20" s="19"/>
      <c r="E20" s="21"/>
      <c r="F20" s="19"/>
      <c r="G20" s="21"/>
      <c r="H20" s="19"/>
      <c r="I20" s="21"/>
      <c r="J20" s="19"/>
      <c r="K20" s="21"/>
      <c r="L20" s="19"/>
      <c r="M20" s="21"/>
      <c r="N20" s="19"/>
      <c r="O20" s="21"/>
      <c r="P20" s="19"/>
      <c r="Q20" s="21"/>
      <c r="R20" s="19"/>
      <c r="S20" s="21"/>
      <c r="T20" s="19"/>
      <c r="U20" s="21"/>
      <c r="V20" s="19"/>
      <c r="W20" s="21"/>
      <c r="X20" s="19"/>
      <c r="Y20" s="21"/>
      <c r="Z20" s="19"/>
      <c r="AA20" s="21"/>
      <c r="AB20" s="19"/>
      <c r="AC20" s="21"/>
      <c r="AD20" s="19"/>
      <c r="AE20" s="21"/>
      <c r="AF20" s="19"/>
      <c r="AG20" s="21"/>
      <c r="AH20" s="19"/>
      <c r="AI20" s="21"/>
      <c r="AJ20" s="19"/>
      <c r="AK20" s="21"/>
      <c r="AL20" s="19"/>
      <c r="AM20" s="21"/>
      <c r="AN20" s="19"/>
      <c r="AO20" s="21"/>
      <c r="AP20" s="19"/>
      <c r="AQ20" s="21"/>
      <c r="AR20" s="19"/>
      <c r="AS20" s="21"/>
      <c r="AT20" s="19"/>
      <c r="AU20" s="21"/>
      <c r="AV20" s="19"/>
      <c r="AW20" s="21"/>
      <c r="AX20" s="19"/>
      <c r="AY20" s="21"/>
      <c r="AZ20" s="19"/>
      <c r="BA20" s="21"/>
      <c r="BB20" s="19"/>
      <c r="BC20" s="21"/>
      <c r="BD20" s="19"/>
      <c r="BE20" s="21"/>
      <c r="BF20" s="19"/>
      <c r="BG20" s="21"/>
      <c r="BH20" s="19"/>
    </row>
    <row r="21" spans="1:60" x14ac:dyDescent="0.15">
      <c r="A21" s="17">
        <v>1989</v>
      </c>
      <c r="B21" s="17"/>
      <c r="C21" s="21"/>
      <c r="D21" s="19"/>
      <c r="E21" s="21"/>
      <c r="F21" s="19"/>
      <c r="G21" s="21"/>
      <c r="H21" s="19"/>
      <c r="I21" s="21"/>
      <c r="J21" s="19"/>
      <c r="K21" s="21"/>
      <c r="L21" s="19"/>
      <c r="M21" s="21"/>
      <c r="N21" s="19"/>
      <c r="O21" s="21"/>
      <c r="P21" s="19"/>
      <c r="Q21" s="21"/>
      <c r="R21" s="19"/>
      <c r="S21" s="21"/>
      <c r="T21" s="19"/>
      <c r="U21" s="21"/>
      <c r="V21" s="19"/>
      <c r="W21" s="21"/>
      <c r="X21" s="19"/>
      <c r="Y21" s="21"/>
      <c r="Z21" s="19"/>
      <c r="AA21" s="21"/>
      <c r="AB21" s="19"/>
      <c r="AC21" s="21"/>
      <c r="AD21" s="19"/>
      <c r="AE21" s="21"/>
      <c r="AF21" s="19"/>
      <c r="AG21" s="21"/>
      <c r="AH21" s="19"/>
      <c r="AI21" s="21"/>
      <c r="AJ21" s="19"/>
      <c r="AK21" s="21"/>
      <c r="AL21" s="19"/>
      <c r="AM21" s="21"/>
      <c r="AN21" s="19"/>
      <c r="AO21" s="21"/>
      <c r="AP21" s="19"/>
      <c r="AQ21" s="21"/>
      <c r="AR21" s="19"/>
      <c r="AS21" s="21"/>
      <c r="AT21" s="19"/>
      <c r="AU21" s="21"/>
      <c r="AV21" s="19"/>
      <c r="AW21" s="21"/>
      <c r="AX21" s="19"/>
      <c r="AY21" s="21"/>
      <c r="AZ21" s="19"/>
      <c r="BA21" s="21"/>
      <c r="BB21" s="19"/>
      <c r="BC21" s="21"/>
      <c r="BD21" s="19"/>
      <c r="BE21" s="21"/>
      <c r="BF21" s="19"/>
      <c r="BG21" s="21"/>
      <c r="BH21" s="19"/>
    </row>
    <row r="22" spans="1:60" x14ac:dyDescent="0.15">
      <c r="A22" s="17">
        <v>1990</v>
      </c>
      <c r="B22" s="17"/>
      <c r="C22" s="21"/>
      <c r="D22" s="19"/>
      <c r="E22" s="21">
        <v>3.5698865389583098E-2</v>
      </c>
      <c r="F22" s="19"/>
      <c r="G22" s="21">
        <v>-1.0405881674312801E-3</v>
      </c>
      <c r="H22" s="19"/>
      <c r="I22" s="21">
        <v>-7.3757734924175395E-5</v>
      </c>
      <c r="J22" s="19"/>
      <c r="K22" s="21">
        <v>1.0620500031949399E-2</v>
      </c>
      <c r="L22" s="19"/>
      <c r="M22" s="21">
        <v>1.9712900123549201E-3</v>
      </c>
      <c r="N22" s="19"/>
      <c r="O22" s="21">
        <v>8.6492100195945595E-3</v>
      </c>
      <c r="P22" s="19"/>
      <c r="Q22" s="21">
        <v>1.2983392548818499E-3</v>
      </c>
      <c r="R22" s="19"/>
      <c r="S22" s="21">
        <v>6.5580848797612795E-4</v>
      </c>
      <c r="T22" s="19"/>
      <c r="U22" s="21">
        <v>2.2076181215504899E-3</v>
      </c>
      <c r="V22" s="19"/>
      <c r="W22" s="21">
        <v>9.4388080149798402E-3</v>
      </c>
      <c r="X22" s="19"/>
      <c r="Y22" s="21">
        <v>1.29484263347574E-3</v>
      </c>
      <c r="Z22" s="19"/>
      <c r="AA22" s="21">
        <v>-2.64217650891585E-3</v>
      </c>
      <c r="AB22" s="19"/>
      <c r="AC22" s="21">
        <v>1.6811224240636401E-3</v>
      </c>
      <c r="AD22" s="19"/>
      <c r="AE22" s="21">
        <v>6.0579875532912298E-4</v>
      </c>
      <c r="AF22" s="19"/>
      <c r="AG22" s="21">
        <v>5.4920526053309205E-4</v>
      </c>
      <c r="AH22" s="19"/>
      <c r="AI22" s="21">
        <v>-1.69867274771122E-3</v>
      </c>
      <c r="AJ22" s="19"/>
      <c r="AK22" s="21">
        <v>2.4016545023728998E-3</v>
      </c>
      <c r="AL22" s="19"/>
      <c r="AM22" s="21">
        <v>3.7960141693473299E-3</v>
      </c>
      <c r="AN22" s="19"/>
      <c r="AO22" s="21">
        <v>3.7990085995608801E-3</v>
      </c>
      <c r="AP22" s="19"/>
      <c r="AQ22" s="21">
        <v>3.59759476577853E-3</v>
      </c>
      <c r="AR22" s="19"/>
      <c r="AS22" s="21">
        <v>6.9073339250089996E-4</v>
      </c>
      <c r="AT22" s="19"/>
      <c r="AU22" s="21">
        <v>-2.2920176702770801E-5</v>
      </c>
      <c r="AV22" s="19"/>
      <c r="AW22" s="21">
        <v>3.0331836451981501E-4</v>
      </c>
      <c r="AX22" s="19"/>
      <c r="AY22" s="21">
        <v>2.3443833458976701E-4</v>
      </c>
      <c r="AZ22" s="19"/>
      <c r="BA22" s="21">
        <v>1.21490204401565E-3</v>
      </c>
      <c r="BB22" s="19"/>
      <c r="BC22" s="21">
        <v>1.6518009018968299E-3</v>
      </c>
      <c r="BD22" s="19"/>
      <c r="BE22" s="21">
        <v>-4.3689885788118402E-4</v>
      </c>
      <c r="BF22" s="19"/>
      <c r="BG22" s="21"/>
      <c r="BH22" s="19"/>
    </row>
    <row r="23" spans="1:60" x14ac:dyDescent="0.15">
      <c r="A23" s="17">
        <v>1991</v>
      </c>
      <c r="B23" s="17"/>
      <c r="C23" s="21"/>
      <c r="D23" s="19"/>
      <c r="E23" s="21">
        <v>-6.6052784155731297E-3</v>
      </c>
      <c r="F23" s="19"/>
      <c r="G23" s="21">
        <v>-1.17422802634335E-4</v>
      </c>
      <c r="H23" s="19"/>
      <c r="I23" s="21">
        <v>-1.91769579259964E-5</v>
      </c>
      <c r="J23" s="19"/>
      <c r="K23" s="21">
        <v>1.2330151467718001E-3</v>
      </c>
      <c r="L23" s="19"/>
      <c r="M23" s="21">
        <v>1.7273689688342699E-3</v>
      </c>
      <c r="N23" s="19"/>
      <c r="O23" s="21">
        <v>-4.9435382206244405E-4</v>
      </c>
      <c r="P23" s="19"/>
      <c r="Q23" s="21">
        <v>5.1429353526671504E-4</v>
      </c>
      <c r="R23" s="19"/>
      <c r="S23" s="21">
        <v>9.9974538045816195E-4</v>
      </c>
      <c r="T23" s="19"/>
      <c r="U23" s="21">
        <v>-2.3447007156764E-3</v>
      </c>
      <c r="V23" s="19"/>
      <c r="W23" s="21">
        <v>-1.40941015107329E-2</v>
      </c>
      <c r="X23" s="19"/>
      <c r="Y23" s="21">
        <v>-2.6460261855796099E-3</v>
      </c>
      <c r="Z23" s="19"/>
      <c r="AA23" s="21">
        <v>4.2414966647516903E-3</v>
      </c>
      <c r="AB23" s="19"/>
      <c r="AC23" s="21">
        <v>2.2109355124016301E-4</v>
      </c>
      <c r="AD23" s="19"/>
      <c r="AE23" s="21">
        <v>8.4561995598109803E-4</v>
      </c>
      <c r="AF23" s="19"/>
      <c r="AG23" s="21">
        <v>3.0710931699243298E-3</v>
      </c>
      <c r="AH23" s="19"/>
      <c r="AI23" s="21">
        <v>1.0258646384010001E-3</v>
      </c>
      <c r="AJ23" s="19"/>
      <c r="AK23" s="21">
        <v>1.92104234926487E-3</v>
      </c>
      <c r="AL23" s="19"/>
      <c r="AM23" s="21">
        <v>-1.0507613157544501E-4</v>
      </c>
      <c r="AN23" s="19"/>
      <c r="AO23" s="21">
        <v>9.4565204781613197E-4</v>
      </c>
      <c r="AP23" s="19"/>
      <c r="AQ23" s="21">
        <v>-7.3367797551051402E-4</v>
      </c>
      <c r="AR23" s="19"/>
      <c r="AS23" s="21">
        <v>3.9438975263740702E-4</v>
      </c>
      <c r="AT23" s="19"/>
      <c r="AU23" s="21">
        <v>2.4404360873544201E-4</v>
      </c>
      <c r="AV23" s="19"/>
      <c r="AW23" s="21">
        <v>-1.89908649722913E-3</v>
      </c>
      <c r="AX23" s="19"/>
      <c r="AY23" s="21">
        <v>-2.4786378857098801E-6</v>
      </c>
      <c r="AZ23" s="19"/>
      <c r="BA23" s="21">
        <v>-2.4586952571680099E-3</v>
      </c>
      <c r="BB23" s="19"/>
      <c r="BC23" s="21">
        <v>-9.0580634096790798E-4</v>
      </c>
      <c r="BD23" s="19"/>
      <c r="BE23" s="21">
        <v>-1.55288891620011E-3</v>
      </c>
      <c r="BF23" s="19"/>
      <c r="BG23" s="21"/>
      <c r="BH23" s="19"/>
    </row>
    <row r="24" spans="1:60" x14ac:dyDescent="0.15">
      <c r="A24" s="17">
        <v>1992</v>
      </c>
      <c r="B24" s="17"/>
      <c r="C24" s="21"/>
      <c r="D24" s="19"/>
      <c r="E24" s="21">
        <v>-4.8279272909759101E-4</v>
      </c>
      <c r="F24" s="19"/>
      <c r="G24" s="21">
        <v>5.6222090119385998E-4</v>
      </c>
      <c r="H24" s="19"/>
      <c r="I24" s="21">
        <v>-2.2835313249683101E-4</v>
      </c>
      <c r="J24" s="19"/>
      <c r="K24" s="21">
        <v>1.4266362681337899E-4</v>
      </c>
      <c r="L24" s="19"/>
      <c r="M24" s="21">
        <v>2.0065487694399201E-3</v>
      </c>
      <c r="N24" s="19"/>
      <c r="O24" s="21">
        <v>-1.8638851426265701E-3</v>
      </c>
      <c r="P24" s="19"/>
      <c r="Q24" s="21">
        <v>6.1570889994380803E-4</v>
      </c>
      <c r="R24" s="19"/>
      <c r="S24" s="21">
        <v>7.7519670774235997E-4</v>
      </c>
      <c r="T24" s="19"/>
      <c r="U24" s="21">
        <v>-2.2370021862367102E-3</v>
      </c>
      <c r="V24" s="19"/>
      <c r="W24" s="21">
        <v>-1.8161065388609999E-4</v>
      </c>
      <c r="X24" s="19"/>
      <c r="Y24" s="21">
        <v>-3.4297457971241703E-4</v>
      </c>
      <c r="Z24" s="19"/>
      <c r="AA24" s="21">
        <v>8.2732848362734998E-4</v>
      </c>
      <c r="AB24" s="19"/>
      <c r="AC24" s="21">
        <v>-7.5543692009249401E-4</v>
      </c>
      <c r="AD24" s="19"/>
      <c r="AE24" s="21">
        <v>-1.2818931489678199E-3</v>
      </c>
      <c r="AF24" s="19"/>
      <c r="AG24" s="21">
        <v>3.4323820216051099E-3</v>
      </c>
      <c r="AH24" s="19"/>
      <c r="AI24" s="21">
        <v>1.32868706948473E-4</v>
      </c>
      <c r="AJ24" s="19"/>
      <c r="AK24" s="21">
        <v>3.3871747088658598E-3</v>
      </c>
      <c r="AL24" s="19"/>
      <c r="AM24" s="21">
        <v>-6.9402403322261499E-4</v>
      </c>
      <c r="AN24" s="19"/>
      <c r="AO24" s="21">
        <v>-2.75552245604106E-5</v>
      </c>
      <c r="AP24" s="19"/>
      <c r="AQ24" s="21">
        <v>-1.6609219551403499E-5</v>
      </c>
      <c r="AR24" s="19"/>
      <c r="AS24" s="21">
        <v>9.30943077876198E-5</v>
      </c>
      <c r="AT24" s="19"/>
      <c r="AU24" s="21">
        <v>-4.5835891401425802E-4</v>
      </c>
      <c r="AV24" s="19"/>
      <c r="AW24" s="21">
        <v>-1.0347857050150601E-3</v>
      </c>
      <c r="AX24" s="19"/>
      <c r="AY24" s="21">
        <v>-1.57585398125747E-5</v>
      </c>
      <c r="AZ24" s="19"/>
      <c r="BA24" s="21">
        <v>-8.8773009485143301E-4</v>
      </c>
      <c r="BB24" s="19"/>
      <c r="BC24" s="21">
        <v>-1.2067816099813099E-3</v>
      </c>
      <c r="BD24" s="19"/>
      <c r="BE24" s="21">
        <v>3.19051515129875E-4</v>
      </c>
      <c r="BF24" s="19"/>
      <c r="BG24" s="21"/>
      <c r="BH24" s="19"/>
    </row>
    <row r="25" spans="1:60" x14ac:dyDescent="0.15">
      <c r="A25" s="17">
        <v>1993</v>
      </c>
      <c r="B25" s="17"/>
      <c r="C25" s="21"/>
      <c r="D25" s="19"/>
      <c r="E25" s="21">
        <v>-1.7091879854267101E-3</v>
      </c>
      <c r="F25" s="19"/>
      <c r="G25" s="21">
        <v>-7.3440987229379296E-4</v>
      </c>
      <c r="H25" s="19"/>
      <c r="I25" s="21">
        <v>-2.39496910931888E-5</v>
      </c>
      <c r="J25" s="19"/>
      <c r="K25" s="21">
        <v>-7.7433318585053997E-5</v>
      </c>
      <c r="L25" s="19"/>
      <c r="M25" s="21">
        <v>1.9914578973136299E-3</v>
      </c>
      <c r="N25" s="19"/>
      <c r="O25" s="21">
        <v>-2.0688912158987102E-3</v>
      </c>
      <c r="P25" s="19"/>
      <c r="Q25" s="21">
        <v>1.1032938185843799E-3</v>
      </c>
      <c r="R25" s="19"/>
      <c r="S25" s="21">
        <v>1.48873126329361E-4</v>
      </c>
      <c r="T25" s="19"/>
      <c r="U25" s="21">
        <v>-1.8357453867739299E-3</v>
      </c>
      <c r="V25" s="19"/>
      <c r="W25" s="21">
        <v>-5.3966069449739602E-3</v>
      </c>
      <c r="X25" s="19"/>
      <c r="Y25" s="21">
        <v>-1.3587725965671499E-3</v>
      </c>
      <c r="Z25" s="19"/>
      <c r="AA25" s="21">
        <v>-1.1193928566492299E-3</v>
      </c>
      <c r="AB25" s="19"/>
      <c r="AC25" s="21">
        <v>-8.5397114085177797E-4</v>
      </c>
      <c r="AD25" s="19"/>
      <c r="AE25" s="21">
        <v>-2.1779275125795301E-3</v>
      </c>
      <c r="AF25" s="19"/>
      <c r="AG25" s="21">
        <v>7.04900293658912E-3</v>
      </c>
      <c r="AH25" s="19"/>
      <c r="AI25" s="21">
        <v>5.6294089563869096E-3</v>
      </c>
      <c r="AJ25" s="19"/>
      <c r="AK25" s="21">
        <v>1.2595267772716899E-3</v>
      </c>
      <c r="AL25" s="19"/>
      <c r="AM25" s="21">
        <v>1.5346199213422001E-3</v>
      </c>
      <c r="AN25" s="19"/>
      <c r="AO25" s="21">
        <v>3.9503029427474399E-4</v>
      </c>
      <c r="AP25" s="19"/>
      <c r="AQ25" s="21">
        <v>6.5405845760846903E-4</v>
      </c>
      <c r="AR25" s="19"/>
      <c r="AS25" s="21">
        <v>4.65514636605673E-4</v>
      </c>
      <c r="AT25" s="19"/>
      <c r="AU25" s="21">
        <v>-2.4423194444979601E-4</v>
      </c>
      <c r="AV25" s="19"/>
      <c r="AW25" s="21">
        <v>-6.3244562262489297E-4</v>
      </c>
      <c r="AX25" s="19"/>
      <c r="AY25" s="21">
        <v>3.65331139565827E-5</v>
      </c>
      <c r="AZ25" s="19"/>
      <c r="BA25" s="21">
        <v>8.7510371258052097E-4</v>
      </c>
      <c r="BB25" s="19"/>
      <c r="BC25" s="21">
        <v>1.8774293386093401E-5</v>
      </c>
      <c r="BD25" s="19"/>
      <c r="BE25" s="21">
        <v>8.5632941919441797E-4</v>
      </c>
      <c r="BF25" s="19"/>
      <c r="BG25" s="21"/>
      <c r="BH25" s="19"/>
    </row>
    <row r="26" spans="1:60" x14ac:dyDescent="0.15">
      <c r="A26" s="17">
        <v>1994</v>
      </c>
      <c r="B26" s="17"/>
      <c r="C26" s="21"/>
      <c r="D26" s="19"/>
      <c r="E26" s="21">
        <v>1.0383193353511099E-2</v>
      </c>
      <c r="F26" s="19"/>
      <c r="G26" s="21">
        <v>-9.4993291327017098E-4</v>
      </c>
      <c r="H26" s="19"/>
      <c r="I26" s="21">
        <v>-6.8810469743083597E-5</v>
      </c>
      <c r="J26" s="19"/>
      <c r="K26" s="21">
        <v>6.9599990548085897E-3</v>
      </c>
      <c r="L26" s="19"/>
      <c r="M26" s="21">
        <v>3.9005662903365099E-3</v>
      </c>
      <c r="N26" s="19"/>
      <c r="O26" s="21">
        <v>3.0594327644720299E-3</v>
      </c>
      <c r="P26" s="19"/>
      <c r="Q26" s="21">
        <v>3.3509103585349399E-3</v>
      </c>
      <c r="R26" s="19"/>
      <c r="S26" s="21">
        <v>-8.2374899933184702E-5</v>
      </c>
      <c r="T26" s="19"/>
      <c r="U26" s="21">
        <v>8.9715492348341804E-4</v>
      </c>
      <c r="V26" s="19"/>
      <c r="W26" s="21">
        <v>-6.6263535229949802E-4</v>
      </c>
      <c r="X26" s="19"/>
      <c r="Y26" s="21">
        <v>-9.43355416704791E-4</v>
      </c>
      <c r="Z26" s="19"/>
      <c r="AA26" s="21">
        <v>-7.5271727796626705E-4</v>
      </c>
      <c r="AB26" s="19"/>
      <c r="AC26" s="21">
        <v>-1.24221196738568E-3</v>
      </c>
      <c r="AD26" s="19"/>
      <c r="AE26" s="21">
        <v>-8.3714823698374503E-4</v>
      </c>
      <c r="AF26" s="19"/>
      <c r="AG26" s="21">
        <v>1.56028489543606E-3</v>
      </c>
      <c r="AH26" s="19"/>
      <c r="AI26" s="21">
        <v>3.8990188586321E-4</v>
      </c>
      <c r="AJ26" s="19"/>
      <c r="AK26" s="21">
        <v>7.5614125039533196E-4</v>
      </c>
      <c r="AL26" s="19"/>
      <c r="AM26" s="21">
        <v>5.0488183837632504E-3</v>
      </c>
      <c r="AN26" s="19"/>
      <c r="AO26" s="21">
        <v>1.53797865563099E-3</v>
      </c>
      <c r="AP26" s="19"/>
      <c r="AQ26" s="21">
        <v>-4.5830796347481198E-3</v>
      </c>
      <c r="AR26" s="19"/>
      <c r="AS26" s="21">
        <v>1.9712411573589899E-3</v>
      </c>
      <c r="AT26" s="19"/>
      <c r="AU26" s="21">
        <v>-1.7062395670283599E-4</v>
      </c>
      <c r="AV26" s="19"/>
      <c r="AW26" s="21">
        <v>-1.71230231096725E-3</v>
      </c>
      <c r="AX26" s="19"/>
      <c r="AY26" s="21">
        <v>1.18642943730965E-4</v>
      </c>
      <c r="AZ26" s="19"/>
      <c r="BA26" s="21">
        <v>2.2585386594303398E-3</v>
      </c>
      <c r="BB26" s="19"/>
      <c r="BC26" s="21">
        <v>1.49867459940832E-3</v>
      </c>
      <c r="BD26" s="19"/>
      <c r="BE26" s="21">
        <v>7.5986406002202399E-4</v>
      </c>
      <c r="BF26" s="19"/>
      <c r="BG26" s="21"/>
      <c r="BH26" s="19"/>
    </row>
    <row r="27" spans="1:60" x14ac:dyDescent="0.15">
      <c r="A27" s="17">
        <v>1995</v>
      </c>
      <c r="B27" s="17"/>
      <c r="C27" s="21"/>
      <c r="D27" s="19"/>
      <c r="E27" s="21">
        <v>5.0064860433827697E-3</v>
      </c>
      <c r="F27" s="19"/>
      <c r="G27" s="21">
        <v>3.7295167520296797E-4</v>
      </c>
      <c r="H27" s="19"/>
      <c r="I27" s="21">
        <v>2.1130404221491201E-4</v>
      </c>
      <c r="J27" s="19"/>
      <c r="K27" s="21">
        <v>-1.23460915899478E-3</v>
      </c>
      <c r="L27" s="19"/>
      <c r="M27" s="21">
        <v>2.25066740463074E-3</v>
      </c>
      <c r="N27" s="19"/>
      <c r="O27" s="21">
        <v>-3.4852765636255601E-3</v>
      </c>
      <c r="P27" s="19"/>
      <c r="Q27" s="21">
        <v>1.3320745960571599E-3</v>
      </c>
      <c r="R27" s="19"/>
      <c r="S27" s="21">
        <v>7.2166853225814204E-4</v>
      </c>
      <c r="T27" s="19"/>
      <c r="U27" s="21">
        <v>-2.3523162880323598E-3</v>
      </c>
      <c r="V27" s="19"/>
      <c r="W27" s="21">
        <v>2.6527442896643102E-3</v>
      </c>
      <c r="X27" s="19"/>
      <c r="Y27" s="21">
        <v>-2.15814235747599E-4</v>
      </c>
      <c r="Z27" s="19"/>
      <c r="AA27" s="21">
        <v>-3.0185714116310198E-4</v>
      </c>
      <c r="AB27" s="19"/>
      <c r="AC27" s="21">
        <v>-1.11079222954531E-3</v>
      </c>
      <c r="AD27" s="19"/>
      <c r="AE27" s="21">
        <v>1.34566030234724E-3</v>
      </c>
      <c r="AF27" s="19"/>
      <c r="AG27" s="21">
        <v>-7.4357006345219297E-4</v>
      </c>
      <c r="AH27" s="19"/>
      <c r="AI27" s="21">
        <v>-3.2109269419252698E-3</v>
      </c>
      <c r="AJ27" s="19"/>
      <c r="AK27" s="21">
        <v>2.73934419681053E-3</v>
      </c>
      <c r="AL27" s="19"/>
      <c r="AM27" s="21">
        <v>2.04213006858941E-4</v>
      </c>
      <c r="AN27" s="19"/>
      <c r="AO27" s="21">
        <v>-5.0297502624874495E-4</v>
      </c>
      <c r="AP27" s="19"/>
      <c r="AQ27" s="21">
        <v>1.5407215076086E-3</v>
      </c>
      <c r="AR27" s="19"/>
      <c r="AS27" s="21">
        <v>2.2013215176529899E-3</v>
      </c>
      <c r="AT27" s="19"/>
      <c r="AU27" s="21">
        <v>9.2228977494038201E-4</v>
      </c>
      <c r="AV27" s="19"/>
      <c r="AW27" s="21">
        <v>-2.5872640417900502E-4</v>
      </c>
      <c r="AX27" s="19"/>
      <c r="AY27" s="21">
        <v>4.6321212668904298E-6</v>
      </c>
      <c r="AZ27" s="19"/>
      <c r="BA27" s="21">
        <v>4.0698395551619701E-4</v>
      </c>
      <c r="BB27" s="19"/>
      <c r="BC27" s="21">
        <v>3.5150708827694801E-4</v>
      </c>
      <c r="BD27" s="19"/>
      <c r="BE27" s="21">
        <v>5.5476867239244497E-5</v>
      </c>
      <c r="BF27" s="19"/>
      <c r="BG27" s="21"/>
      <c r="BH27" s="19"/>
    </row>
    <row r="28" spans="1:60" x14ac:dyDescent="0.15">
      <c r="A28" s="17">
        <v>1996</v>
      </c>
      <c r="B28" s="17"/>
      <c r="C28" s="21"/>
      <c r="D28" s="19"/>
      <c r="E28" s="21">
        <v>3.53513310600556E-3</v>
      </c>
      <c r="F28" s="19"/>
      <c r="G28" s="21">
        <v>-2.9687203867690401E-5</v>
      </c>
      <c r="H28" s="19"/>
      <c r="I28" s="21">
        <v>-1.29852641628088E-4</v>
      </c>
      <c r="J28" s="19"/>
      <c r="K28" s="21">
        <v>1.6458021909186999E-3</v>
      </c>
      <c r="L28" s="19"/>
      <c r="M28" s="21">
        <v>4.3034443913656098E-4</v>
      </c>
      <c r="N28" s="19"/>
      <c r="O28" s="21">
        <v>1.2154577517821501E-3</v>
      </c>
      <c r="P28" s="19"/>
      <c r="Q28" s="21">
        <v>-1.93066483340878E-3</v>
      </c>
      <c r="R28" s="19"/>
      <c r="S28" s="21">
        <v>-4.4904428369841801E-4</v>
      </c>
      <c r="T28" s="19"/>
      <c r="U28" s="21">
        <v>-3.8094251207313298E-3</v>
      </c>
      <c r="V28" s="19"/>
      <c r="W28" s="21">
        <v>-2.5819042629377201E-3</v>
      </c>
      <c r="X28" s="19"/>
      <c r="Y28" s="21">
        <v>-9.6727100732982903E-4</v>
      </c>
      <c r="Z28" s="19"/>
      <c r="AA28" s="21">
        <v>8.01469355033512E-4</v>
      </c>
      <c r="AB28" s="19"/>
      <c r="AC28" s="21">
        <v>5.3295585044091599E-5</v>
      </c>
      <c r="AD28" s="19"/>
      <c r="AE28" s="21">
        <v>1.4802159346560099E-4</v>
      </c>
      <c r="AF28" s="19"/>
      <c r="AG28" s="21">
        <v>6.4067283372649898E-3</v>
      </c>
      <c r="AH28" s="19"/>
      <c r="AI28" s="21">
        <v>5.7628052636397196E-3</v>
      </c>
      <c r="AJ28" s="19"/>
      <c r="AK28" s="21">
        <v>3.5371378486014499E-4</v>
      </c>
      <c r="AL28" s="19"/>
      <c r="AM28" s="21">
        <v>3.07081666763821E-3</v>
      </c>
      <c r="AN28" s="19"/>
      <c r="AO28" s="21">
        <v>-8.3065730383017906E-5</v>
      </c>
      <c r="AP28" s="19"/>
      <c r="AQ28" s="21">
        <v>9.17347395357034E-5</v>
      </c>
      <c r="AR28" s="19"/>
      <c r="AS28" s="21">
        <v>9.0118745957107501E-4</v>
      </c>
      <c r="AT28" s="19"/>
      <c r="AU28" s="21">
        <v>2.6582665848534499E-5</v>
      </c>
      <c r="AV28" s="19"/>
      <c r="AW28" s="21">
        <v>-4.8167299539871202E-4</v>
      </c>
      <c r="AX28" s="19"/>
      <c r="AY28" s="21">
        <v>-9.6674201104829895E-5</v>
      </c>
      <c r="AZ28" s="19"/>
      <c r="BA28" s="21">
        <v>1.25882016263714E-3</v>
      </c>
      <c r="BB28" s="19"/>
      <c r="BC28" s="21">
        <v>1.6058561441859201E-3</v>
      </c>
      <c r="BD28" s="19"/>
      <c r="BE28" s="21">
        <v>-3.47035981548774E-4</v>
      </c>
      <c r="BF28" s="19"/>
      <c r="BG28" s="21"/>
      <c r="BH28" s="19"/>
    </row>
    <row r="29" spans="1:60" x14ac:dyDescent="0.15">
      <c r="A29" s="17">
        <v>1997</v>
      </c>
      <c r="B29" s="17"/>
      <c r="C29" s="21"/>
      <c r="D29" s="19"/>
      <c r="E29" s="21">
        <v>1.9014686115376399E-2</v>
      </c>
      <c r="F29" s="19"/>
      <c r="G29" s="21">
        <v>1.01601680683577E-4</v>
      </c>
      <c r="H29" s="19"/>
      <c r="I29" s="21">
        <v>2.4324618659343501E-4</v>
      </c>
      <c r="J29" s="19"/>
      <c r="K29" s="21">
        <v>5.7522940259299203E-3</v>
      </c>
      <c r="L29" s="19"/>
      <c r="M29" s="21">
        <v>1.7466371571425901E-3</v>
      </c>
      <c r="N29" s="19"/>
      <c r="O29" s="21">
        <v>4.0056568687872798E-3</v>
      </c>
      <c r="P29" s="19"/>
      <c r="Q29" s="21">
        <v>-2.04184667262803E-4</v>
      </c>
      <c r="R29" s="19"/>
      <c r="S29" s="21">
        <v>-7.0080549848099296E-5</v>
      </c>
      <c r="T29" s="19"/>
      <c r="U29" s="21">
        <v>-4.1546924885344496E-3</v>
      </c>
      <c r="V29" s="19"/>
      <c r="W29" s="21">
        <v>2.3119447908716202E-3</v>
      </c>
      <c r="X29" s="19"/>
      <c r="Y29" s="21">
        <v>7.3533084141793302E-4</v>
      </c>
      <c r="Z29" s="19"/>
      <c r="AA29" s="21">
        <v>-1.24083891350718E-3</v>
      </c>
      <c r="AB29" s="19"/>
      <c r="AC29" s="21">
        <v>4.2319503627390497E-3</v>
      </c>
      <c r="AD29" s="19"/>
      <c r="AE29" s="21">
        <v>-6.7014367598764704E-4</v>
      </c>
      <c r="AF29" s="19"/>
      <c r="AG29" s="21">
        <v>1.1172343915510301E-2</v>
      </c>
      <c r="AH29" s="19"/>
      <c r="AI29" s="21">
        <v>7.2736476319576202E-3</v>
      </c>
      <c r="AJ29" s="19"/>
      <c r="AK29" s="21">
        <v>1.7960666026363499E-3</v>
      </c>
      <c r="AL29" s="19"/>
      <c r="AM29" s="21">
        <v>9.8991255988714697E-4</v>
      </c>
      <c r="AN29" s="19"/>
      <c r="AO29" s="21">
        <v>-1.3262544397955799E-4</v>
      </c>
      <c r="AP29" s="19"/>
      <c r="AQ29" s="21">
        <v>4.5601876220181998E-4</v>
      </c>
      <c r="AR29" s="19"/>
      <c r="AS29" s="21">
        <v>4.40936449198013E-4</v>
      </c>
      <c r="AT29" s="19"/>
      <c r="AU29" s="21">
        <v>1.31161417367699E-4</v>
      </c>
      <c r="AV29" s="19"/>
      <c r="AW29" s="21">
        <v>-3.4891675165443998E-4</v>
      </c>
      <c r="AX29" s="19"/>
      <c r="AY29" s="21">
        <v>-2.9941611589709301E-6</v>
      </c>
      <c r="AZ29" s="19"/>
      <c r="BA29" s="21">
        <v>3.2089530128739498E-3</v>
      </c>
      <c r="BB29" s="19"/>
      <c r="BC29" s="21">
        <v>2.8534262487980699E-3</v>
      </c>
      <c r="BD29" s="19"/>
      <c r="BE29" s="21">
        <v>3.5552676407587901E-4</v>
      </c>
      <c r="BF29" s="19"/>
      <c r="BG29" s="21"/>
      <c r="BH29" s="19"/>
    </row>
    <row r="30" spans="1:60" x14ac:dyDescent="0.15">
      <c r="A30" s="17">
        <v>1998</v>
      </c>
      <c r="B30" s="17"/>
      <c r="C30" s="21"/>
      <c r="D30" s="19"/>
      <c r="E30" s="21">
        <v>2.5813364652274101E-2</v>
      </c>
      <c r="F30" s="19"/>
      <c r="G30" s="21">
        <v>1.4871241263507599E-4</v>
      </c>
      <c r="H30" s="19"/>
      <c r="I30" s="21">
        <v>1.05557982580198E-4</v>
      </c>
      <c r="J30" s="19"/>
      <c r="K30" s="21">
        <v>4.2985879037800599E-3</v>
      </c>
      <c r="L30" s="19"/>
      <c r="M30" s="21">
        <v>3.12902545294987E-3</v>
      </c>
      <c r="N30" s="19"/>
      <c r="O30" s="21">
        <v>1.16956245083021E-3</v>
      </c>
      <c r="P30" s="19"/>
      <c r="Q30" s="21">
        <v>-7.5017188056095499E-4</v>
      </c>
      <c r="R30" s="19"/>
      <c r="S30" s="21">
        <v>-1.53417690896139E-4</v>
      </c>
      <c r="T30" s="19"/>
      <c r="U30" s="21">
        <v>4.1654624430287302E-4</v>
      </c>
      <c r="V30" s="19"/>
      <c r="W30" s="21">
        <v>2.2031315226169299E-3</v>
      </c>
      <c r="X30" s="19"/>
      <c r="Y30" s="21">
        <v>8.4995988385098205E-4</v>
      </c>
      <c r="Z30" s="19"/>
      <c r="AA30" s="21">
        <v>1.7772485627477401E-3</v>
      </c>
      <c r="AB30" s="19"/>
      <c r="AC30" s="21">
        <v>9.3154538046748996E-4</v>
      </c>
      <c r="AD30" s="19"/>
      <c r="AE30" s="21">
        <v>4.5595862418648502E-3</v>
      </c>
      <c r="AF30" s="19"/>
      <c r="AG30" s="21">
        <v>5.3230403181143103E-3</v>
      </c>
      <c r="AH30" s="19"/>
      <c r="AI30" s="21">
        <v>1.48972006683421E-3</v>
      </c>
      <c r="AJ30" s="19"/>
      <c r="AK30" s="21">
        <v>1.5397070725322499E-3</v>
      </c>
      <c r="AL30" s="19"/>
      <c r="AM30" s="21">
        <v>3.5528427592758801E-3</v>
      </c>
      <c r="AN30" s="19"/>
      <c r="AO30" s="21">
        <v>-2.5888531493948599E-4</v>
      </c>
      <c r="AP30" s="19"/>
      <c r="AQ30" s="21">
        <v>8.0795323428223796E-4</v>
      </c>
      <c r="AR30" s="19"/>
      <c r="AS30" s="21">
        <v>2.6348182302559698E-3</v>
      </c>
      <c r="AT30" s="19"/>
      <c r="AU30" s="21">
        <v>3.2713709434539599E-4</v>
      </c>
      <c r="AV30" s="19"/>
      <c r="AW30" s="21">
        <v>-1.34695963994481E-4</v>
      </c>
      <c r="AX30" s="19"/>
      <c r="AY30" s="21">
        <v>3.1439633572168899E-5</v>
      </c>
      <c r="AZ30" s="19"/>
      <c r="BA30" s="21">
        <v>1.2388005406111299E-4</v>
      </c>
      <c r="BB30" s="19"/>
      <c r="BC30" s="21">
        <v>2.3225828681045402E-3</v>
      </c>
      <c r="BD30" s="19"/>
      <c r="BE30" s="21">
        <v>-2.1987028140434202E-3</v>
      </c>
      <c r="BF30" s="19"/>
      <c r="BG30" s="21"/>
      <c r="BH30" s="19"/>
    </row>
    <row r="31" spans="1:60" x14ac:dyDescent="0.15">
      <c r="A31" s="17">
        <v>1999</v>
      </c>
      <c r="B31" s="17"/>
      <c r="C31" s="21"/>
      <c r="D31" s="19"/>
      <c r="E31" s="21">
        <v>1.2020724636915401E-2</v>
      </c>
      <c r="F31" s="19"/>
      <c r="G31" s="21">
        <v>3.1997337839328598E-4</v>
      </c>
      <c r="H31" s="19"/>
      <c r="I31" s="21">
        <v>-4.8900914166023699E-5</v>
      </c>
      <c r="J31" s="19"/>
      <c r="K31" s="21">
        <v>2.3654925271718902E-3</v>
      </c>
      <c r="L31" s="19"/>
      <c r="M31" s="21">
        <v>7.10608799181997E-4</v>
      </c>
      <c r="N31" s="19"/>
      <c r="O31" s="21">
        <v>1.6548837279898999E-3</v>
      </c>
      <c r="P31" s="19"/>
      <c r="Q31" s="21">
        <v>7.8232614939009704E-4</v>
      </c>
      <c r="R31" s="19"/>
      <c r="S31" s="21">
        <v>2.42489566124583E-5</v>
      </c>
      <c r="T31" s="19"/>
      <c r="U31" s="21">
        <v>-1.4833371296533401E-3</v>
      </c>
      <c r="V31" s="19"/>
      <c r="W31" s="21">
        <v>4.9225187250748403E-3</v>
      </c>
      <c r="X31" s="19"/>
      <c r="Y31" s="21">
        <v>6.9621482210225E-4</v>
      </c>
      <c r="Z31" s="19"/>
      <c r="AA31" s="21">
        <v>-5.3876678097390896E-3</v>
      </c>
      <c r="AB31" s="19"/>
      <c r="AC31" s="21">
        <v>-2.9503061855098203E-4</v>
      </c>
      <c r="AD31" s="19"/>
      <c r="AE31" s="21">
        <v>2.5481108148729301E-3</v>
      </c>
      <c r="AF31" s="19"/>
      <c r="AG31" s="21">
        <v>4.4301547973118801E-3</v>
      </c>
      <c r="AH31" s="19"/>
      <c r="AI31" s="21">
        <v>3.7806376232129902E-3</v>
      </c>
      <c r="AJ31" s="19"/>
      <c r="AK31" s="21">
        <v>5.1370961801403404E-4</v>
      </c>
      <c r="AL31" s="19"/>
      <c r="AM31" s="21">
        <v>2.0158892194793998E-3</v>
      </c>
      <c r="AN31" s="19"/>
      <c r="AO31" s="21">
        <v>4.9968691348755302E-4</v>
      </c>
      <c r="AP31" s="19"/>
      <c r="AQ31" s="21">
        <v>4.65223224307021E-4</v>
      </c>
      <c r="AR31" s="19"/>
      <c r="AS31" s="21">
        <v>1.12179768872589E-3</v>
      </c>
      <c r="AT31" s="19"/>
      <c r="AU31" s="21">
        <v>1.89111926584663E-4</v>
      </c>
      <c r="AV31" s="19"/>
      <c r="AW31" s="21">
        <v>-5.1526421097060403E-4</v>
      </c>
      <c r="AX31" s="19"/>
      <c r="AY31" s="21">
        <v>5.3921572938176199E-5</v>
      </c>
      <c r="AZ31" s="19"/>
      <c r="BA31" s="21">
        <v>5.7217295693428004E-3</v>
      </c>
      <c r="BB31" s="19"/>
      <c r="BC31" s="21">
        <v>2.0669744040917501E-3</v>
      </c>
      <c r="BD31" s="19"/>
      <c r="BE31" s="21">
        <v>3.6547551652510602E-3</v>
      </c>
      <c r="BF31" s="19"/>
      <c r="BG31" s="21"/>
      <c r="BH31" s="19"/>
    </row>
    <row r="32" spans="1:60" x14ac:dyDescent="0.15">
      <c r="A32" s="17">
        <v>2000</v>
      </c>
      <c r="B32" s="17"/>
      <c r="C32" s="21"/>
      <c r="D32" s="19"/>
      <c r="E32" s="21">
        <v>3.1362408655033799E-2</v>
      </c>
      <c r="F32" s="19"/>
      <c r="G32" s="21">
        <v>2.496143548477E-4</v>
      </c>
      <c r="H32" s="19"/>
      <c r="I32" s="21">
        <v>-4.1618895900311999E-5</v>
      </c>
      <c r="J32" s="19"/>
      <c r="K32" s="21">
        <v>3.7584798940422902E-3</v>
      </c>
      <c r="L32" s="19"/>
      <c r="M32" s="21">
        <v>3.0186596279077401E-3</v>
      </c>
      <c r="N32" s="19"/>
      <c r="O32" s="21">
        <v>7.3982026613457095E-4</v>
      </c>
      <c r="P32" s="19"/>
      <c r="Q32" s="21">
        <v>-6.9330442289863102E-5</v>
      </c>
      <c r="R32" s="19"/>
      <c r="S32" s="21">
        <v>-1.8902919582806401E-4</v>
      </c>
      <c r="T32" s="19"/>
      <c r="U32" s="21">
        <v>-4.3088491508714899E-4</v>
      </c>
      <c r="V32" s="19"/>
      <c r="W32" s="21">
        <v>6.1414840185080597E-3</v>
      </c>
      <c r="X32" s="19"/>
      <c r="Y32" s="21">
        <v>9.935918627337469E-4</v>
      </c>
      <c r="Z32" s="19"/>
      <c r="AA32" s="21">
        <v>1.81384127940821E-3</v>
      </c>
      <c r="AB32" s="19"/>
      <c r="AC32" s="21">
        <v>4.9481574972915301E-4</v>
      </c>
      <c r="AD32" s="19"/>
      <c r="AE32" s="21">
        <v>6.0599293812728296E-3</v>
      </c>
      <c r="AF32" s="19"/>
      <c r="AG32" s="21">
        <v>1.10955981379499E-2</v>
      </c>
      <c r="AH32" s="19"/>
      <c r="AI32" s="21">
        <v>7.0521316778988799E-3</v>
      </c>
      <c r="AJ32" s="19"/>
      <c r="AK32" s="21">
        <v>2.1695892961652199E-3</v>
      </c>
      <c r="AL32" s="19"/>
      <c r="AM32" s="21">
        <v>-5.5728793310677301E-4</v>
      </c>
      <c r="AN32" s="19"/>
      <c r="AO32" s="21">
        <v>1.28523033518125E-3</v>
      </c>
      <c r="AP32" s="19"/>
      <c r="AQ32" s="21">
        <v>-6.6869075328958305E-4</v>
      </c>
      <c r="AR32" s="19"/>
      <c r="AS32" s="21">
        <v>2.3231189388433901E-3</v>
      </c>
      <c r="AT32" s="19"/>
      <c r="AU32" s="21">
        <v>5.1059748397804802E-5</v>
      </c>
      <c r="AV32" s="19"/>
      <c r="AW32" s="21">
        <v>2.7744459586220999E-5</v>
      </c>
      <c r="AX32" s="19"/>
      <c r="AY32" s="21">
        <v>3.14993692053208E-5</v>
      </c>
      <c r="AZ32" s="19"/>
      <c r="BA32" s="21">
        <v>4.2388988532749703E-3</v>
      </c>
      <c r="BB32" s="19"/>
      <c r="BC32" s="21">
        <v>3.2332392439098599E-3</v>
      </c>
      <c r="BD32" s="19"/>
      <c r="BE32" s="21">
        <v>1.0056596093651099E-3</v>
      </c>
      <c r="BF32" s="19"/>
      <c r="BG32" s="21"/>
      <c r="BH32" s="19"/>
    </row>
    <row r="33" spans="1:60" x14ac:dyDescent="0.15">
      <c r="A33" s="17">
        <v>2001</v>
      </c>
      <c r="B33" s="17"/>
      <c r="C33" s="21"/>
      <c r="D33" s="19"/>
      <c r="E33" s="21">
        <v>1.9326095638201601E-2</v>
      </c>
      <c r="F33" s="19"/>
      <c r="G33" s="21">
        <v>-8.2476519497739695E-4</v>
      </c>
      <c r="H33" s="19"/>
      <c r="I33" s="21">
        <v>6.4120517101907302E-6</v>
      </c>
      <c r="J33" s="19"/>
      <c r="K33" s="21">
        <v>1.0515864174005801E-2</v>
      </c>
      <c r="L33" s="19"/>
      <c r="M33" s="21">
        <v>5.3300729323182503E-3</v>
      </c>
      <c r="N33" s="19"/>
      <c r="O33" s="21">
        <v>5.1857912416875297E-3</v>
      </c>
      <c r="P33" s="19"/>
      <c r="Q33" s="21">
        <v>3.6633273011856102E-4</v>
      </c>
      <c r="R33" s="19"/>
      <c r="S33" s="21">
        <v>7.4526709563144905E-5</v>
      </c>
      <c r="T33" s="19"/>
      <c r="U33" s="21">
        <v>-2.5230684173216102E-4</v>
      </c>
      <c r="V33" s="19"/>
      <c r="W33" s="21">
        <v>4.3708078437271203E-3</v>
      </c>
      <c r="X33" s="19"/>
      <c r="Y33" s="21">
        <v>2.4061113266316001E-3</v>
      </c>
      <c r="Z33" s="19"/>
      <c r="AA33" s="21">
        <v>2.1910161596930199E-5</v>
      </c>
      <c r="AB33" s="19"/>
      <c r="AC33" s="21">
        <v>5.0896773498473695E-4</v>
      </c>
      <c r="AD33" s="19"/>
      <c r="AE33" s="21">
        <v>2.4874761818956398E-3</v>
      </c>
      <c r="AF33" s="19"/>
      <c r="AG33" s="21">
        <v>-8.6176837131146204E-3</v>
      </c>
      <c r="AH33" s="19"/>
      <c r="AI33" s="21">
        <v>-9.3692789908236401E-3</v>
      </c>
      <c r="AJ33" s="19"/>
      <c r="AK33" s="21">
        <v>9.1344870800519698E-4</v>
      </c>
      <c r="AL33" s="19"/>
      <c r="AM33" s="21">
        <v>5.2897647461663004E-3</v>
      </c>
      <c r="AN33" s="19"/>
      <c r="AO33" s="21">
        <v>1.2330397249810899E-3</v>
      </c>
      <c r="AP33" s="19"/>
      <c r="AQ33" s="21">
        <v>2.24489286306026E-4</v>
      </c>
      <c r="AR33" s="19"/>
      <c r="AS33" s="21">
        <v>3.2286448172948201E-3</v>
      </c>
      <c r="AT33" s="19"/>
      <c r="AU33" s="21">
        <v>3.4993910312317798E-4</v>
      </c>
      <c r="AV33" s="19"/>
      <c r="AW33" s="21">
        <v>2.6521918014160597E-4</v>
      </c>
      <c r="AX33" s="19"/>
      <c r="AY33" s="21">
        <v>6.1349427724831598E-5</v>
      </c>
      <c r="AZ33" s="19"/>
      <c r="BA33" s="21">
        <v>-1.3654659251935799E-3</v>
      </c>
      <c r="BB33" s="19"/>
      <c r="BC33" s="21">
        <v>-4.1703846139439903E-5</v>
      </c>
      <c r="BD33" s="19"/>
      <c r="BE33" s="21">
        <v>-1.32376207905414E-3</v>
      </c>
      <c r="BF33" s="19"/>
      <c r="BG33" s="21"/>
      <c r="BH33" s="19"/>
    </row>
    <row r="34" spans="1:60" x14ac:dyDescent="0.15">
      <c r="A34" s="17">
        <v>2002</v>
      </c>
      <c r="B34" s="17"/>
      <c r="C34" s="21"/>
      <c r="D34" s="19"/>
      <c r="E34" s="21">
        <v>2.9443432899689801E-3</v>
      </c>
      <c r="F34" s="19"/>
      <c r="G34" s="21">
        <v>2.48909190374949E-4</v>
      </c>
      <c r="H34" s="19"/>
      <c r="I34" s="21">
        <v>-1.29393220196218E-5</v>
      </c>
      <c r="J34" s="19"/>
      <c r="K34" s="21">
        <v>4.6296834515824198E-3</v>
      </c>
      <c r="L34" s="19"/>
      <c r="M34" s="21">
        <v>5.7613942567226097E-3</v>
      </c>
      <c r="N34" s="19"/>
      <c r="O34" s="21">
        <v>-1.1317108051402301E-3</v>
      </c>
      <c r="P34" s="19"/>
      <c r="Q34" s="21">
        <v>-3.5300958970201201E-3</v>
      </c>
      <c r="R34" s="19"/>
      <c r="S34" s="21">
        <v>8.75949214137474E-5</v>
      </c>
      <c r="T34" s="19"/>
      <c r="U34" s="21">
        <v>2.1360810857018299E-3</v>
      </c>
      <c r="V34" s="19"/>
      <c r="W34" s="21">
        <v>4.3695427476116702E-3</v>
      </c>
      <c r="X34" s="19"/>
      <c r="Y34" s="21">
        <v>8.9972930922383896E-5</v>
      </c>
      <c r="Z34" s="19"/>
      <c r="AA34" s="21">
        <v>7.2265382354701397E-4</v>
      </c>
      <c r="AB34" s="19"/>
      <c r="AC34" s="21">
        <v>-1.2148355190641799E-3</v>
      </c>
      <c r="AD34" s="19"/>
      <c r="AE34" s="21">
        <v>8.4354362247901504E-4</v>
      </c>
      <c r="AF34" s="19"/>
      <c r="AG34" s="21">
        <v>-3.8313787703941299E-3</v>
      </c>
      <c r="AH34" s="19"/>
      <c r="AI34" s="21">
        <v>-2.9253532625411402E-3</v>
      </c>
      <c r="AJ34" s="19"/>
      <c r="AK34" s="21">
        <v>-9.3788350187831205E-4</v>
      </c>
      <c r="AL34" s="19"/>
      <c r="AM34" s="21">
        <v>-6.5526734293607104E-3</v>
      </c>
      <c r="AN34" s="19"/>
      <c r="AO34" s="21">
        <v>4.9100910267477703E-4</v>
      </c>
      <c r="AP34" s="19"/>
      <c r="AQ34" s="21">
        <v>1.63730538736586E-3</v>
      </c>
      <c r="AR34" s="19"/>
      <c r="AS34" s="21">
        <v>1.85194359354135E-3</v>
      </c>
      <c r="AT34" s="19"/>
      <c r="AU34" s="21">
        <v>4.7330741840385698E-4</v>
      </c>
      <c r="AV34" s="19"/>
      <c r="AW34" s="21">
        <v>5.9696815556786503E-4</v>
      </c>
      <c r="AX34" s="19"/>
      <c r="AY34" s="21">
        <v>1.5907435494450701E-5</v>
      </c>
      <c r="AZ34" s="19"/>
      <c r="BA34" s="21">
        <v>-1.17857794699685E-3</v>
      </c>
      <c r="BB34" s="19"/>
      <c r="BC34" s="21">
        <v>-7.1482785888592104E-6</v>
      </c>
      <c r="BD34" s="19"/>
      <c r="BE34" s="21">
        <v>-1.171429668408E-3</v>
      </c>
      <c r="BF34" s="19"/>
      <c r="BG34" s="21"/>
      <c r="BH34" s="19"/>
    </row>
    <row r="35" spans="1:60" x14ac:dyDescent="0.15">
      <c r="A35" s="17">
        <v>2003</v>
      </c>
      <c r="B35" s="17"/>
      <c r="C35" s="21"/>
      <c r="D35" s="19"/>
      <c r="E35" s="21">
        <v>-9.7011784204461898E-4</v>
      </c>
      <c r="F35" s="19"/>
      <c r="G35" s="21">
        <v>-1.38716117922512E-3</v>
      </c>
      <c r="H35" s="19"/>
      <c r="I35" s="21">
        <v>-6.2544451862313994E-5</v>
      </c>
      <c r="J35" s="19"/>
      <c r="K35" s="21">
        <v>-5.8212743913141395E-4</v>
      </c>
      <c r="L35" s="19"/>
      <c r="M35" s="21">
        <v>2.0288731257416398E-3</v>
      </c>
      <c r="N35" s="19"/>
      <c r="O35" s="21">
        <v>-2.6110005648730299E-3</v>
      </c>
      <c r="P35" s="19"/>
      <c r="Q35" s="21">
        <v>-1.42608786051497E-3</v>
      </c>
      <c r="R35" s="19"/>
      <c r="S35" s="21">
        <v>-1.7302827471841099E-5</v>
      </c>
      <c r="T35" s="19"/>
      <c r="U35" s="21">
        <v>8.96355150030245E-4</v>
      </c>
      <c r="V35" s="19"/>
      <c r="W35" s="21">
        <v>3.8618686628009201E-3</v>
      </c>
      <c r="X35" s="19"/>
      <c r="Y35" s="21">
        <v>8.9715689170709496E-4</v>
      </c>
      <c r="Z35" s="19"/>
      <c r="AA35" s="21">
        <v>4.2657361976119698E-4</v>
      </c>
      <c r="AB35" s="19"/>
      <c r="AC35" s="21">
        <v>-2.1342471327489799E-3</v>
      </c>
      <c r="AD35" s="19"/>
      <c r="AE35" s="21">
        <v>-2.2450637703175101E-3</v>
      </c>
      <c r="AF35" s="19"/>
      <c r="AG35" s="21">
        <v>4.3522027151977104E-3</v>
      </c>
      <c r="AH35" s="19"/>
      <c r="AI35" s="21">
        <v>1.9185701686839499E-3</v>
      </c>
      <c r="AJ35" s="19"/>
      <c r="AK35" s="21">
        <v>3.1790497643756199E-3</v>
      </c>
      <c r="AL35" s="19"/>
      <c r="AM35" s="21">
        <v>-5.0461157898809596E-3</v>
      </c>
      <c r="AN35" s="19"/>
      <c r="AO35" s="21">
        <v>9.0314979449565298E-4</v>
      </c>
      <c r="AP35" s="19"/>
      <c r="AQ35" s="21">
        <v>1.7422691172738701E-4</v>
      </c>
      <c r="AR35" s="19"/>
      <c r="AS35" s="21">
        <v>1.09648754731769E-3</v>
      </c>
      <c r="AT35" s="19"/>
      <c r="AU35" s="21">
        <v>3.5291528649312098E-4</v>
      </c>
      <c r="AV35" s="19"/>
      <c r="AW35" s="21">
        <v>-1.35925438946366E-4</v>
      </c>
      <c r="AX35" s="19"/>
      <c r="AY35" s="21">
        <v>-2.7581181419578701E-6</v>
      </c>
      <c r="AZ35" s="19"/>
      <c r="BA35" s="21">
        <v>3.1546229664244002E-5</v>
      </c>
      <c r="BB35" s="19"/>
      <c r="BC35" s="21">
        <v>6.67956192799233E-4</v>
      </c>
      <c r="BD35" s="19"/>
      <c r="BE35" s="21">
        <v>-6.3640996313498301E-4</v>
      </c>
      <c r="BF35" s="19"/>
      <c r="BG35" s="21"/>
      <c r="BH35" s="19"/>
    </row>
    <row r="36" spans="1:60" x14ac:dyDescent="0.15">
      <c r="A36" s="17">
        <v>2004</v>
      </c>
      <c r="B36" s="17"/>
      <c r="C36" s="21"/>
      <c r="D36" s="19"/>
      <c r="E36" s="21">
        <v>2.09504883854034E-2</v>
      </c>
      <c r="F36" s="19"/>
      <c r="G36" s="21">
        <v>1.48056494621054E-3</v>
      </c>
      <c r="H36" s="19"/>
      <c r="I36" s="21">
        <v>4.4709318325826698E-5</v>
      </c>
      <c r="J36" s="19"/>
      <c r="K36" s="21">
        <v>3.30161523795938E-3</v>
      </c>
      <c r="L36" s="19"/>
      <c r="M36" s="21">
        <v>3.3645615100842299E-3</v>
      </c>
      <c r="N36" s="19"/>
      <c r="O36" s="21">
        <v>-6.2946272124849106E-5</v>
      </c>
      <c r="P36" s="19"/>
      <c r="Q36" s="21">
        <v>-1.63167535905247E-3</v>
      </c>
      <c r="R36" s="19"/>
      <c r="S36" s="21">
        <v>2.9689744483176898E-4</v>
      </c>
      <c r="T36" s="19"/>
      <c r="U36" s="21">
        <v>-7.6704430698387E-4</v>
      </c>
      <c r="V36" s="19"/>
      <c r="W36" s="21">
        <v>7.2541495738158799E-3</v>
      </c>
      <c r="X36" s="19"/>
      <c r="Y36" s="21">
        <v>-2.1926742164358199E-4</v>
      </c>
      <c r="Z36" s="19"/>
      <c r="AA36" s="21">
        <v>9.8260400482796093E-4</v>
      </c>
      <c r="AB36" s="19"/>
      <c r="AC36" s="21">
        <v>-9.7332490949598701E-4</v>
      </c>
      <c r="AD36" s="19"/>
      <c r="AE36" s="21">
        <v>8.6931389954214295E-4</v>
      </c>
      <c r="AF36" s="19"/>
      <c r="AG36" s="21">
        <v>5.3860561480064302E-3</v>
      </c>
      <c r="AH36" s="19"/>
      <c r="AI36" s="21">
        <v>4.7546250040510496E-3</v>
      </c>
      <c r="AJ36" s="19"/>
      <c r="AK36" s="21">
        <v>-6.6353656223549702E-7</v>
      </c>
      <c r="AL36" s="19"/>
      <c r="AM36" s="21">
        <v>1.5802159832212E-3</v>
      </c>
      <c r="AN36" s="19"/>
      <c r="AO36" s="21">
        <v>7.8071665915660201E-4</v>
      </c>
      <c r="AP36" s="19"/>
      <c r="AQ36" s="21">
        <v>7.4398892105477304E-4</v>
      </c>
      <c r="AR36" s="19"/>
      <c r="AS36" s="21">
        <v>1.1821633487914299E-3</v>
      </c>
      <c r="AT36" s="19"/>
      <c r="AU36" s="21">
        <v>1.99749847175381E-4</v>
      </c>
      <c r="AV36" s="19"/>
      <c r="AW36" s="21">
        <v>1.9744355385672299E-4</v>
      </c>
      <c r="AX36" s="19"/>
      <c r="AY36" s="21">
        <v>3.9175584508161697E-5</v>
      </c>
      <c r="AZ36" s="19"/>
      <c r="BA36" s="21">
        <v>2.1875301307894899E-3</v>
      </c>
      <c r="BB36" s="19"/>
      <c r="BC36" s="21">
        <v>2.2734111001888901E-3</v>
      </c>
      <c r="BD36" s="19"/>
      <c r="BE36" s="21">
        <v>-8.5880969399408603E-5</v>
      </c>
      <c r="BF36" s="19"/>
      <c r="BG36" s="21"/>
      <c r="BH36" s="19"/>
    </row>
    <row r="37" spans="1:60" x14ac:dyDescent="0.15">
      <c r="A37" s="17">
        <v>2005</v>
      </c>
      <c r="B37" s="17"/>
      <c r="C37" s="21"/>
      <c r="D37" s="19"/>
      <c r="E37" s="21">
        <v>3.0323173777198099E-2</v>
      </c>
      <c r="F37" s="19"/>
      <c r="G37" s="21">
        <v>-3.3993186719410599E-4</v>
      </c>
      <c r="H37" s="19"/>
      <c r="I37" s="21">
        <v>3.8947932187306802E-5</v>
      </c>
      <c r="J37" s="19"/>
      <c r="K37" s="21">
        <v>9.2778672840298296E-3</v>
      </c>
      <c r="L37" s="19"/>
      <c r="M37" s="21">
        <v>3.6232309185800699E-3</v>
      </c>
      <c r="N37" s="19"/>
      <c r="O37" s="21">
        <v>5.65463636544978E-3</v>
      </c>
      <c r="P37" s="19"/>
      <c r="Q37" s="21">
        <v>8.4239531013310595E-4</v>
      </c>
      <c r="R37" s="19"/>
      <c r="S37" s="21">
        <v>5.6106443623875801E-4</v>
      </c>
      <c r="T37" s="19"/>
      <c r="U37" s="21">
        <v>1.18068732949508E-3</v>
      </c>
      <c r="V37" s="19"/>
      <c r="W37" s="21">
        <v>5.2473002598146202E-3</v>
      </c>
      <c r="X37" s="19"/>
      <c r="Y37" s="21">
        <v>1.0395902075730501E-3</v>
      </c>
      <c r="Z37" s="19"/>
      <c r="AA37" s="21">
        <v>1.87392038215433E-4</v>
      </c>
      <c r="AB37" s="19"/>
      <c r="AC37" s="21">
        <v>2.6014615027013298E-4</v>
      </c>
      <c r="AD37" s="19"/>
      <c r="AE37" s="21">
        <v>1.9352200205847E-3</v>
      </c>
      <c r="AF37" s="19"/>
      <c r="AG37" s="21">
        <v>5.4318732337526997E-3</v>
      </c>
      <c r="AH37" s="19"/>
      <c r="AI37" s="21">
        <v>4.4293527758232001E-3</v>
      </c>
      <c r="AJ37" s="19"/>
      <c r="AK37" s="21">
        <v>9.8889751071380206E-4</v>
      </c>
      <c r="AL37" s="19"/>
      <c r="AM37" s="21">
        <v>3.6289519759540902E-3</v>
      </c>
      <c r="AN37" s="19"/>
      <c r="AO37" s="21">
        <v>2.6158795498956901E-4</v>
      </c>
      <c r="AP37" s="19"/>
      <c r="AQ37" s="21">
        <v>4.8668892794749802E-4</v>
      </c>
      <c r="AR37" s="19"/>
      <c r="AS37" s="21">
        <v>6.3032929900292995E-4</v>
      </c>
      <c r="AT37" s="19"/>
      <c r="AU37" s="21">
        <v>5.2083574939670201E-4</v>
      </c>
      <c r="AV37" s="19"/>
      <c r="AW37" s="21">
        <v>9.4766128324730406E-5</v>
      </c>
      <c r="AX37" s="19"/>
      <c r="AY37" s="21">
        <v>6.5034753438289E-5</v>
      </c>
      <c r="AZ37" s="19"/>
      <c r="BA37" s="21">
        <v>1.3287029586948899E-3</v>
      </c>
      <c r="BB37" s="19"/>
      <c r="BC37" s="21">
        <v>1.3978068381874499E-3</v>
      </c>
      <c r="BD37" s="19"/>
      <c r="BE37" s="21">
        <v>-6.9103879492547494E-5</v>
      </c>
      <c r="BF37" s="19"/>
      <c r="BG37" s="21"/>
      <c r="BH37" s="19"/>
    </row>
    <row r="38" spans="1:60" x14ac:dyDescent="0.15">
      <c r="A38" s="17">
        <v>2006</v>
      </c>
      <c r="B38" s="17"/>
      <c r="C38" s="21"/>
      <c r="D38" s="19"/>
      <c r="E38" s="21">
        <v>3.7273075002578003E-2</v>
      </c>
      <c r="F38" s="19"/>
      <c r="G38" s="21">
        <v>-3.5225326390801102E-4</v>
      </c>
      <c r="H38" s="19"/>
      <c r="I38" s="21">
        <v>-4.9591104200744997E-5</v>
      </c>
      <c r="J38" s="19"/>
      <c r="K38" s="21">
        <v>1.27114155728407E-2</v>
      </c>
      <c r="L38" s="19"/>
      <c r="M38" s="21">
        <v>5.6431399037219802E-3</v>
      </c>
      <c r="N38" s="19"/>
      <c r="O38" s="21">
        <v>7.0682756691188E-3</v>
      </c>
      <c r="P38" s="19"/>
      <c r="Q38" s="21">
        <v>7.9830228185494702E-4</v>
      </c>
      <c r="R38" s="19"/>
      <c r="S38" s="21">
        <v>2.29872330355395E-4</v>
      </c>
      <c r="T38" s="19"/>
      <c r="U38" s="21">
        <v>-1.03692268221758E-3</v>
      </c>
      <c r="V38" s="19"/>
      <c r="W38" s="21">
        <v>9.9504715772928895E-3</v>
      </c>
      <c r="X38" s="19"/>
      <c r="Y38" s="21">
        <v>6.7733933867198304E-4</v>
      </c>
      <c r="Z38" s="19"/>
      <c r="AA38" s="21">
        <v>1.02506664281347E-3</v>
      </c>
      <c r="AB38" s="19"/>
      <c r="AC38" s="21">
        <v>5.31725634475704E-4</v>
      </c>
      <c r="AD38" s="19"/>
      <c r="AE38" s="21">
        <v>1.6822193689873799E-3</v>
      </c>
      <c r="AF38" s="19"/>
      <c r="AG38" s="21">
        <v>7.5434427822885499E-3</v>
      </c>
      <c r="AH38" s="19"/>
      <c r="AI38" s="21">
        <v>4.5310189091875798E-3</v>
      </c>
      <c r="AJ38" s="19"/>
      <c r="AK38" s="21">
        <v>9.1093924014785705E-4</v>
      </c>
      <c r="AL38" s="19"/>
      <c r="AM38" s="21">
        <v>2.7696820041466599E-3</v>
      </c>
      <c r="AN38" s="19"/>
      <c r="AO38" s="21">
        <v>6.5845538042855298E-4</v>
      </c>
      <c r="AP38" s="19"/>
      <c r="AQ38" s="21">
        <v>-3.39007618246791E-4</v>
      </c>
      <c r="AR38" s="19"/>
      <c r="AS38" s="21">
        <v>5.6120594663044596E-4</v>
      </c>
      <c r="AT38" s="19"/>
      <c r="AU38" s="21">
        <v>2.5542238412013798E-4</v>
      </c>
      <c r="AV38" s="19"/>
      <c r="AW38" s="21">
        <v>2.8696689424116998E-4</v>
      </c>
      <c r="AX38" s="19"/>
      <c r="AY38" s="21">
        <v>3.93523412112742E-5</v>
      </c>
      <c r="AZ38" s="19"/>
      <c r="BA38" s="21">
        <v>2.7623421128965399E-3</v>
      </c>
      <c r="BB38" s="19"/>
      <c r="BC38" s="21">
        <v>2.5576935270651001E-3</v>
      </c>
      <c r="BD38" s="19"/>
      <c r="BE38" s="21">
        <v>2.0464858583145199E-4</v>
      </c>
      <c r="BF38" s="19"/>
      <c r="BG38" s="21"/>
      <c r="BH38" s="19"/>
    </row>
    <row r="39" spans="1:60" x14ac:dyDescent="0.15">
      <c r="A39" s="17">
        <v>2007</v>
      </c>
      <c r="B39" s="17"/>
      <c r="C39" s="21"/>
      <c r="D39" s="19"/>
      <c r="E39" s="21">
        <v>3.9277554617876902E-2</v>
      </c>
      <c r="F39" s="19"/>
      <c r="G39" s="21">
        <v>5.14446031590476E-4</v>
      </c>
      <c r="H39" s="19"/>
      <c r="I39" s="21">
        <v>3.3736271541528401E-6</v>
      </c>
      <c r="J39" s="19"/>
      <c r="K39" s="21">
        <v>1.0241629755521699E-2</v>
      </c>
      <c r="L39" s="19"/>
      <c r="M39" s="21">
        <v>3.8679109130795998E-3</v>
      </c>
      <c r="N39" s="19"/>
      <c r="O39" s="21">
        <v>6.3737188424420801E-3</v>
      </c>
      <c r="P39" s="19"/>
      <c r="Q39" s="21">
        <v>7.4930217855767199E-4</v>
      </c>
      <c r="R39" s="19"/>
      <c r="S39" s="21">
        <v>-2.8830238697256401E-4</v>
      </c>
      <c r="T39" s="19"/>
      <c r="U39" s="21">
        <v>-1.11880488705179E-3</v>
      </c>
      <c r="V39" s="19"/>
      <c r="W39" s="21">
        <v>9.5917758053839595E-3</v>
      </c>
      <c r="X39" s="19"/>
      <c r="Y39" s="21">
        <v>1.43556108283246E-3</v>
      </c>
      <c r="Z39" s="19"/>
      <c r="AA39" s="21">
        <v>9.3616610341250403E-4</v>
      </c>
      <c r="AB39" s="19"/>
      <c r="AC39" s="21">
        <v>8.5992250891761296E-4</v>
      </c>
      <c r="AD39" s="19"/>
      <c r="AE39" s="21">
        <v>5.2217989832206095E-4</v>
      </c>
      <c r="AF39" s="19"/>
      <c r="AG39" s="21">
        <v>8.8053703279664594E-3</v>
      </c>
      <c r="AH39" s="19"/>
      <c r="AI39" s="21">
        <v>6.2950614729913304E-3</v>
      </c>
      <c r="AJ39" s="19"/>
      <c r="AK39" s="21">
        <v>6.3524998687878502E-4</v>
      </c>
      <c r="AL39" s="19"/>
      <c r="AM39" s="21">
        <v>4.3635616748369504E-3</v>
      </c>
      <c r="AN39" s="19"/>
      <c r="AO39" s="21">
        <v>1.28037896230679E-3</v>
      </c>
      <c r="AP39" s="19"/>
      <c r="AQ39" s="21">
        <v>2.4778557360924901E-4</v>
      </c>
      <c r="AR39" s="19"/>
      <c r="AS39" s="21">
        <v>1.9645503068469799E-3</v>
      </c>
      <c r="AT39" s="19"/>
      <c r="AU39" s="21">
        <v>2.7453346334441002E-4</v>
      </c>
      <c r="AV39" s="19"/>
      <c r="AW39" s="21">
        <v>2.14469005775195E-4</v>
      </c>
      <c r="AX39" s="19"/>
      <c r="AY39" s="21">
        <v>1.2789155692614001E-4</v>
      </c>
      <c r="AZ39" s="19"/>
      <c r="BA39" s="21">
        <v>2.4765596657782001E-3</v>
      </c>
      <c r="BB39" s="19"/>
      <c r="BC39" s="21">
        <v>2.0665442057400999E-3</v>
      </c>
      <c r="BD39" s="19"/>
      <c r="BE39" s="21">
        <v>4.1001546003811297E-4</v>
      </c>
      <c r="BF39" s="19"/>
      <c r="BG39" s="21"/>
      <c r="BH39" s="19"/>
    </row>
    <row r="40" spans="1:60" x14ac:dyDescent="0.15">
      <c r="A40" s="17">
        <v>2008</v>
      </c>
      <c r="B40" s="17"/>
      <c r="C40" s="21"/>
      <c r="D40" s="19"/>
      <c r="E40" s="21">
        <v>2.2600729678200999E-2</v>
      </c>
      <c r="F40" s="19"/>
      <c r="G40" s="21">
        <v>-5.47882668503384E-8</v>
      </c>
      <c r="H40" s="19"/>
      <c r="I40" s="21">
        <v>-1.34754225803479E-5</v>
      </c>
      <c r="J40" s="19"/>
      <c r="K40" s="21">
        <v>6.4715774858629003E-3</v>
      </c>
      <c r="L40" s="19"/>
      <c r="M40" s="21">
        <v>2.2367511378545701E-3</v>
      </c>
      <c r="N40" s="19"/>
      <c r="O40" s="21">
        <v>4.2348263480083796E-3</v>
      </c>
      <c r="P40" s="19"/>
      <c r="Q40" s="21">
        <v>6.8714352290089498E-4</v>
      </c>
      <c r="R40" s="19"/>
      <c r="S40" s="21">
        <v>-6.3885509865885205E-4</v>
      </c>
      <c r="T40" s="19"/>
      <c r="U40" s="21">
        <v>5.1650904135885402E-4</v>
      </c>
      <c r="V40" s="19"/>
      <c r="W40" s="21">
        <v>7.6283049769435797E-3</v>
      </c>
      <c r="X40" s="19"/>
      <c r="Y40" s="21">
        <v>1.58823718204854E-3</v>
      </c>
      <c r="Z40" s="19"/>
      <c r="AA40" s="21">
        <v>-8.6356377245180502E-4</v>
      </c>
      <c r="AB40" s="19"/>
      <c r="AC40" s="21">
        <v>7.9776678047497696E-4</v>
      </c>
      <c r="AD40" s="19"/>
      <c r="AE40" s="21">
        <v>1.94833699855711E-3</v>
      </c>
      <c r="AF40" s="19"/>
      <c r="AG40" s="21">
        <v>-4.6680960464944403E-3</v>
      </c>
      <c r="AH40" s="19"/>
      <c r="AI40" s="21">
        <v>-7.2238152448876897E-3</v>
      </c>
      <c r="AJ40" s="19"/>
      <c r="AK40" s="21">
        <v>4.2946137925893701E-3</v>
      </c>
      <c r="AL40" s="19"/>
      <c r="AM40" s="21">
        <v>6.5704853839315897E-3</v>
      </c>
      <c r="AN40" s="19"/>
      <c r="AO40" s="21">
        <v>7.7399933106104602E-4</v>
      </c>
      <c r="AP40" s="19"/>
      <c r="AQ40" s="21">
        <v>-1.9093215162738E-4</v>
      </c>
      <c r="AR40" s="19"/>
      <c r="AS40" s="21">
        <v>3.0093303406893302E-3</v>
      </c>
      <c r="AT40" s="19"/>
      <c r="AU40" s="21">
        <v>-4.1450648905346699E-6</v>
      </c>
      <c r="AV40" s="19"/>
      <c r="AW40" s="21">
        <v>3.41098567831643E-4</v>
      </c>
      <c r="AX40" s="19"/>
      <c r="AY40" s="21">
        <v>2.23047201148221E-4</v>
      </c>
      <c r="AZ40" s="19"/>
      <c r="BA40" s="21">
        <v>5.7813960185946903E-4</v>
      </c>
      <c r="BB40" s="19"/>
      <c r="BC40" s="21">
        <v>1.1930436598874699E-3</v>
      </c>
      <c r="BD40" s="19"/>
      <c r="BE40" s="21">
        <v>-6.1490405802799701E-4</v>
      </c>
      <c r="BF40" s="19"/>
      <c r="BG40" s="21"/>
      <c r="BH40" s="19"/>
    </row>
    <row r="41" spans="1:60" x14ac:dyDescent="0.15">
      <c r="A41" s="17">
        <v>2009</v>
      </c>
      <c r="B41" s="17"/>
      <c r="C41" s="21"/>
      <c r="D41" s="19"/>
      <c r="E41" s="21">
        <v>-1.6741025006094201E-2</v>
      </c>
      <c r="F41" s="19"/>
      <c r="G41" s="21">
        <v>4.1019399163554402E-4</v>
      </c>
      <c r="H41" s="19"/>
      <c r="I41" s="21">
        <v>-8.3680484758595405E-5</v>
      </c>
      <c r="J41" s="19"/>
      <c r="K41" s="21">
        <v>-2.30562234597745E-2</v>
      </c>
      <c r="L41" s="19"/>
      <c r="M41" s="21">
        <v>-1.57925127222319E-3</v>
      </c>
      <c r="N41" s="19"/>
      <c r="O41" s="21">
        <v>-2.1476972187551301E-2</v>
      </c>
      <c r="P41" s="19"/>
      <c r="Q41" s="21">
        <v>-1.2356025503807099E-3</v>
      </c>
      <c r="R41" s="19"/>
      <c r="S41" s="21">
        <v>2.2848200693115599E-3</v>
      </c>
      <c r="T41" s="19"/>
      <c r="U41" s="21">
        <v>6.9819732690084505E-4</v>
      </c>
      <c r="V41" s="19"/>
      <c r="W41" s="21">
        <v>8.6492295231950997E-3</v>
      </c>
      <c r="X41" s="19"/>
      <c r="Y41" s="21">
        <v>9.3281105588494996E-4</v>
      </c>
      <c r="Z41" s="19"/>
      <c r="AA41" s="21">
        <v>-2.192193960422E-3</v>
      </c>
      <c r="AB41" s="19"/>
      <c r="AC41" s="21">
        <v>-1.31649547759373E-3</v>
      </c>
      <c r="AD41" s="19"/>
      <c r="AE41" s="21">
        <v>8.1699956066135404E-4</v>
      </c>
      <c r="AF41" s="19"/>
      <c r="AG41" s="21">
        <v>-3.10757185426715E-3</v>
      </c>
      <c r="AH41" s="19"/>
      <c r="AI41" s="21">
        <v>-3.57933224659459E-3</v>
      </c>
      <c r="AJ41" s="19"/>
      <c r="AK41" s="21">
        <v>1.8250503651442999E-3</v>
      </c>
      <c r="AL41" s="19"/>
      <c r="AM41" s="21">
        <v>-1.81649223435377E-3</v>
      </c>
      <c r="AN41" s="19"/>
      <c r="AO41" s="21">
        <v>1.15415497180126E-3</v>
      </c>
      <c r="AP41" s="19"/>
      <c r="AQ41" s="21">
        <v>-2.5922100693233499E-4</v>
      </c>
      <c r="AR41" s="19"/>
      <c r="AS41" s="21">
        <v>1.8157781436416E-3</v>
      </c>
      <c r="AT41" s="19"/>
      <c r="AU41" s="21">
        <v>5.6300076705043003E-4</v>
      </c>
      <c r="AV41" s="19"/>
      <c r="AW41" s="21">
        <v>-5.1639237728951099E-5</v>
      </c>
      <c r="AX41" s="19"/>
      <c r="AY41" s="21">
        <v>-2.9613487806673299E-5</v>
      </c>
      <c r="AZ41" s="19"/>
      <c r="BA41" s="21">
        <v>-8.7218919426150195E-4</v>
      </c>
      <c r="BB41" s="19"/>
      <c r="BC41" s="21">
        <v>1.6691198079254199E-4</v>
      </c>
      <c r="BD41" s="19"/>
      <c r="BE41" s="21">
        <v>-1.03910117505405E-3</v>
      </c>
      <c r="BF41" s="19"/>
      <c r="BG41" s="21"/>
      <c r="BH41" s="19"/>
    </row>
    <row r="42" spans="1:60" x14ac:dyDescent="0.15">
      <c r="A42" s="17">
        <v>2010</v>
      </c>
      <c r="B42" s="17"/>
      <c r="C42" s="21"/>
      <c r="D42" s="19"/>
      <c r="E42" s="21">
        <v>2.74129994903821E-2</v>
      </c>
      <c r="F42" s="19"/>
      <c r="G42" s="21">
        <v>-2.35870158860545E-4</v>
      </c>
      <c r="H42" s="19"/>
      <c r="I42" s="21">
        <v>9.7956493188880396E-5</v>
      </c>
      <c r="J42" s="19"/>
      <c r="K42" s="21">
        <v>1.31524705987194E-2</v>
      </c>
      <c r="L42" s="19"/>
      <c r="M42" s="21">
        <v>4.8581341183351699E-3</v>
      </c>
      <c r="N42" s="19"/>
      <c r="O42" s="21">
        <v>8.2943364803841606E-3</v>
      </c>
      <c r="P42" s="19"/>
      <c r="Q42" s="21">
        <v>-1.7301404678227801E-4</v>
      </c>
      <c r="R42" s="19"/>
      <c r="S42" s="21">
        <v>-9.7423000285225801E-4</v>
      </c>
      <c r="T42" s="19"/>
      <c r="U42" s="21">
        <v>3.0312239353342801E-3</v>
      </c>
      <c r="V42" s="19"/>
      <c r="W42" s="21">
        <v>5.7071416497329504E-3</v>
      </c>
      <c r="X42" s="19"/>
      <c r="Y42" s="21">
        <v>1.90703879717613E-3</v>
      </c>
      <c r="Z42" s="19"/>
      <c r="AA42" s="21">
        <v>1.6803139370966599E-3</v>
      </c>
      <c r="AB42" s="19"/>
      <c r="AC42" s="21">
        <v>2.2166414276213E-4</v>
      </c>
      <c r="AD42" s="19"/>
      <c r="AE42" s="21">
        <v>1.40057815971001E-3</v>
      </c>
      <c r="AF42" s="19"/>
      <c r="AG42" s="21">
        <v>1.2222927668922E-5</v>
      </c>
      <c r="AH42" s="19"/>
      <c r="AI42" s="21">
        <v>1.0341479498913501E-3</v>
      </c>
      <c r="AJ42" s="19"/>
      <c r="AK42" s="21">
        <v>-1.50696664504681E-3</v>
      </c>
      <c r="AL42" s="19"/>
      <c r="AM42" s="21">
        <v>3.0042193196024602E-3</v>
      </c>
      <c r="AN42" s="19"/>
      <c r="AO42" s="21">
        <v>3.3234817083053298E-4</v>
      </c>
      <c r="AP42" s="19"/>
      <c r="AQ42" s="21">
        <v>1.1642416181352E-4</v>
      </c>
      <c r="AR42" s="19"/>
      <c r="AS42" s="21">
        <v>6.1291374147368896E-4</v>
      </c>
      <c r="AT42" s="19"/>
      <c r="AU42" s="21">
        <v>-3.8736102626258002E-4</v>
      </c>
      <c r="AV42" s="19"/>
      <c r="AW42" s="21">
        <v>-1.5354837175489801E-4</v>
      </c>
      <c r="AX42" s="19"/>
      <c r="AY42" s="21">
        <v>-3.8581255858842802E-5</v>
      </c>
      <c r="AZ42" s="19"/>
      <c r="BA42" s="21">
        <v>1.91220992848793E-3</v>
      </c>
      <c r="BB42" s="19"/>
      <c r="BC42" s="21">
        <v>1.85751815887143E-3</v>
      </c>
      <c r="BD42" s="19"/>
      <c r="BE42" s="21">
        <v>5.4691769616519001E-5</v>
      </c>
      <c r="BF42" s="19"/>
      <c r="BG42" s="21"/>
      <c r="BH42" s="19"/>
    </row>
    <row r="43" spans="1:60" x14ac:dyDescent="0.15">
      <c r="A43" s="17">
        <v>2011</v>
      </c>
      <c r="B43" s="17"/>
      <c r="C43" s="21"/>
      <c r="D43" s="19"/>
      <c r="E43" s="21">
        <v>1.8494048418035699E-2</v>
      </c>
      <c r="F43" s="19"/>
      <c r="G43" s="21">
        <v>6.7156456593222202E-4</v>
      </c>
      <c r="H43" s="19"/>
      <c r="I43" s="21">
        <v>1.9331281815970898E-6</v>
      </c>
      <c r="J43" s="19"/>
      <c r="K43" s="21">
        <v>1.7573083146769301E-2</v>
      </c>
      <c r="L43" s="19"/>
      <c r="M43" s="21">
        <v>7.0133855748062499E-3</v>
      </c>
      <c r="N43" s="19"/>
      <c r="O43" s="21">
        <v>1.05596975719631E-2</v>
      </c>
      <c r="P43" s="19"/>
      <c r="Q43" s="21">
        <v>-5.3865315669050795E-4</v>
      </c>
      <c r="R43" s="19"/>
      <c r="S43" s="21">
        <v>-7.0819144916685803E-5</v>
      </c>
      <c r="T43" s="19"/>
      <c r="U43" s="21">
        <v>3.0628214031071699E-4</v>
      </c>
      <c r="V43" s="19"/>
      <c r="W43" s="21">
        <v>-7.8642761376044902E-3</v>
      </c>
      <c r="X43" s="19"/>
      <c r="Y43" s="21">
        <v>2.5447670453775898E-4</v>
      </c>
      <c r="Z43" s="19"/>
      <c r="AA43" s="21">
        <v>8.6802096135446896E-4</v>
      </c>
      <c r="AB43" s="19"/>
      <c r="AC43" s="21">
        <v>-2.4093044758119299E-4</v>
      </c>
      <c r="AD43" s="19"/>
      <c r="AE43" s="21">
        <v>-5.7808443844822399E-4</v>
      </c>
      <c r="AF43" s="19"/>
      <c r="AG43" s="21">
        <v>1.5180609551735699E-3</v>
      </c>
      <c r="AH43" s="19"/>
      <c r="AI43" s="21">
        <v>-1.4848184568839001E-4</v>
      </c>
      <c r="AJ43" s="19"/>
      <c r="AK43" s="21">
        <v>1.1226727867338099E-3</v>
      </c>
      <c r="AL43" s="19"/>
      <c r="AM43" s="21">
        <v>3.7281944590516099E-3</v>
      </c>
      <c r="AN43" s="19"/>
      <c r="AO43" s="21">
        <v>7.0602454121352395E-4</v>
      </c>
      <c r="AP43" s="19"/>
      <c r="AQ43" s="21">
        <v>8.0644239774332101E-4</v>
      </c>
      <c r="AR43" s="19"/>
      <c r="AS43" s="21">
        <v>5.3131477971951201E-4</v>
      </c>
      <c r="AT43" s="19"/>
      <c r="AU43" s="21">
        <v>7.5849667556883904E-4</v>
      </c>
      <c r="AV43" s="19"/>
      <c r="AW43" s="21">
        <v>3.3187603028740902E-4</v>
      </c>
      <c r="AX43" s="19"/>
      <c r="AY43" s="21">
        <v>-1.56381771574362E-5</v>
      </c>
      <c r="AZ43" s="19"/>
      <c r="BA43" s="21">
        <v>-8.8440672447039905E-4</v>
      </c>
      <c r="BB43" s="19"/>
      <c r="BC43" s="21">
        <v>2.0537760576073299E-4</v>
      </c>
      <c r="BD43" s="19"/>
      <c r="BE43" s="21">
        <v>-1.08978433023115E-3</v>
      </c>
      <c r="BF43" s="19"/>
      <c r="BG43" s="21"/>
      <c r="BH43" s="19"/>
    </row>
    <row r="44" spans="1:60" x14ac:dyDescent="0.15">
      <c r="A44" s="17">
        <v>2012</v>
      </c>
      <c r="B44" s="17"/>
      <c r="C44" s="21"/>
      <c r="D44" s="19"/>
      <c r="E44" s="21">
        <v>9.9107876864073397E-3</v>
      </c>
      <c r="F44" s="19"/>
      <c r="G44" s="21">
        <v>-2.3721848729854099E-4</v>
      </c>
      <c r="H44" s="19"/>
      <c r="I44" s="21">
        <v>4.5707908620197597E-5</v>
      </c>
      <c r="J44" s="19"/>
      <c r="K44" s="21">
        <v>-3.5164428261873302E-3</v>
      </c>
      <c r="L44" s="19"/>
      <c r="M44" s="21">
        <v>-6.5414555368142403E-4</v>
      </c>
      <c r="N44" s="19"/>
      <c r="O44" s="21">
        <v>-2.8622972725059199E-3</v>
      </c>
      <c r="P44" s="19"/>
      <c r="Q44" s="21">
        <v>1.10880729558898E-3</v>
      </c>
      <c r="R44" s="19"/>
      <c r="S44" s="21">
        <v>-3.7612641245827599E-4</v>
      </c>
      <c r="T44" s="19"/>
      <c r="U44" s="21">
        <v>6.11461560080835E-4</v>
      </c>
      <c r="V44" s="19"/>
      <c r="W44" s="21">
        <v>5.41761193371038E-3</v>
      </c>
      <c r="X44" s="19"/>
      <c r="Y44" s="21">
        <v>1.2970076781641401E-3</v>
      </c>
      <c r="Z44" s="19"/>
      <c r="AA44" s="21">
        <v>1.0736135005340701E-3</v>
      </c>
      <c r="AB44" s="19"/>
      <c r="AC44" s="21">
        <v>-7.6087977390086104E-4</v>
      </c>
      <c r="AD44" s="19"/>
      <c r="AE44" s="21">
        <v>6.5899785038801796E-4</v>
      </c>
      <c r="AF44" s="19"/>
      <c r="AG44" s="21">
        <v>2.9714909770321902E-3</v>
      </c>
      <c r="AH44" s="19"/>
      <c r="AI44" s="21">
        <v>1.3978018539280101E-3</v>
      </c>
      <c r="AJ44" s="19"/>
      <c r="AK44" s="21">
        <v>1.6347838258656199E-3</v>
      </c>
      <c r="AL44" s="19"/>
      <c r="AM44" s="21">
        <v>1.2720042587081001E-3</v>
      </c>
      <c r="AN44" s="19"/>
      <c r="AO44" s="21">
        <v>4.0433271578030799E-4</v>
      </c>
      <c r="AP44" s="19"/>
      <c r="AQ44" s="21">
        <v>-4.7845071654014699E-4</v>
      </c>
      <c r="AR44" s="19"/>
      <c r="AS44" s="21">
        <v>2.9017344869208699E-3</v>
      </c>
      <c r="AT44" s="19"/>
      <c r="AU44" s="21">
        <v>-1.1732867553381899E-3</v>
      </c>
      <c r="AV44" s="19"/>
      <c r="AW44" s="21">
        <v>-9.8819456357403205E-5</v>
      </c>
      <c r="AX44" s="19"/>
      <c r="AY44" s="21">
        <v>1.12446112715315E-4</v>
      </c>
      <c r="AZ44" s="19"/>
      <c r="BA44" s="21">
        <v>-7.1317383593210999E-4</v>
      </c>
      <c r="BB44" s="19"/>
      <c r="BC44" s="21">
        <v>3.7086442006014898E-4</v>
      </c>
      <c r="BD44" s="19"/>
      <c r="BE44" s="21">
        <v>-1.08403825599225E-3</v>
      </c>
      <c r="BF44" s="19"/>
      <c r="BG44" s="21"/>
      <c r="BH44" s="19"/>
    </row>
    <row r="45" spans="1:60" x14ac:dyDescent="0.15">
      <c r="A45" s="17">
        <v>2013</v>
      </c>
      <c r="B45" s="17"/>
      <c r="C45" s="21"/>
      <c r="D45" s="19"/>
      <c r="E45" s="21">
        <v>2.0597994093080701E-2</v>
      </c>
      <c r="F45" s="19"/>
      <c r="G45" s="21">
        <v>-4.0670852557880702E-4</v>
      </c>
      <c r="H45" s="19"/>
      <c r="I45" s="21">
        <v>3.2674607599563198E-5</v>
      </c>
      <c r="J45" s="19"/>
      <c r="K45" s="21">
        <v>4.1865412212130203E-3</v>
      </c>
      <c r="L45" s="19"/>
      <c r="M45" s="21">
        <v>3.38072204855908E-3</v>
      </c>
      <c r="N45" s="19"/>
      <c r="O45" s="21">
        <v>8.0581917265390305E-4</v>
      </c>
      <c r="P45" s="19"/>
      <c r="Q45" s="21">
        <v>-3.0283765327597399E-5</v>
      </c>
      <c r="R45" s="19"/>
      <c r="S45" s="21">
        <v>4.06861716304251E-4</v>
      </c>
      <c r="T45" s="19"/>
      <c r="U45" s="21">
        <v>8.6034951623633195E-4</v>
      </c>
      <c r="V45" s="19"/>
      <c r="W45" s="21">
        <v>2.2712603824802001E-3</v>
      </c>
      <c r="X45" s="19"/>
      <c r="Y45" s="21">
        <v>1.14201148617895E-3</v>
      </c>
      <c r="Z45" s="19"/>
      <c r="AA45" s="21">
        <v>-1.5518369372592899E-3</v>
      </c>
      <c r="AB45" s="19"/>
      <c r="AC45" s="21">
        <v>3.48196830470121E-4</v>
      </c>
      <c r="AD45" s="19"/>
      <c r="AE45" s="21">
        <v>1.02924414978116E-3</v>
      </c>
      <c r="AF45" s="19"/>
      <c r="AG45" s="21">
        <v>6.8245719346892303E-3</v>
      </c>
      <c r="AH45" s="19"/>
      <c r="AI45" s="21">
        <v>3.4500893017144398E-3</v>
      </c>
      <c r="AJ45" s="19"/>
      <c r="AK45" s="21">
        <v>2.9922397882448299E-3</v>
      </c>
      <c r="AL45" s="19"/>
      <c r="AM45" s="21">
        <v>1.75053729293884E-3</v>
      </c>
      <c r="AN45" s="19"/>
      <c r="AO45" s="21">
        <v>8.5265474323258897E-4</v>
      </c>
      <c r="AP45" s="19"/>
      <c r="AQ45" s="21">
        <v>4.3196330764723098E-4</v>
      </c>
      <c r="AR45" s="19"/>
      <c r="AS45" s="21">
        <v>3.1508563029758099E-3</v>
      </c>
      <c r="AT45" s="19"/>
      <c r="AU45" s="21">
        <v>2.7804934069635101E-4</v>
      </c>
      <c r="AV45" s="19"/>
      <c r="AW45" s="21">
        <v>1.89616553174904E-4</v>
      </c>
      <c r="AX45" s="19"/>
      <c r="AY45" s="21">
        <v>-6.5379533954454597E-5</v>
      </c>
      <c r="AZ45" s="19"/>
      <c r="BA45" s="21">
        <v>1.9534411423774201E-4</v>
      </c>
      <c r="BB45" s="19"/>
      <c r="BC45" s="21">
        <v>1.63122651748527E-4</v>
      </c>
      <c r="BD45" s="19"/>
      <c r="BE45" s="21">
        <v>3.22214624892077E-5</v>
      </c>
      <c r="BF45" s="19"/>
      <c r="BG45" s="21"/>
      <c r="BH45" s="19"/>
    </row>
    <row r="46" spans="1:60" x14ac:dyDescent="0.15">
      <c r="A46" s="17">
        <v>2014</v>
      </c>
      <c r="B46" s="17"/>
      <c r="C46" s="21"/>
      <c r="D46" s="19"/>
      <c r="E46" s="21">
        <v>2.2306427321431201E-2</v>
      </c>
      <c r="F46" s="19"/>
      <c r="G46" s="21">
        <v>7.1753767700934504E-4</v>
      </c>
      <c r="H46" s="19"/>
      <c r="I46" s="21">
        <v>-7.2094405343142899E-5</v>
      </c>
      <c r="J46" s="19"/>
      <c r="K46" s="21">
        <v>3.9926460801973001E-3</v>
      </c>
      <c r="L46" s="19"/>
      <c r="M46" s="21">
        <v>2.2976198256257699E-3</v>
      </c>
      <c r="N46" s="19"/>
      <c r="O46" s="21">
        <v>1.6950262545714801E-3</v>
      </c>
      <c r="P46" s="19"/>
      <c r="Q46" s="21">
        <v>-2.2191859564758302E-3</v>
      </c>
      <c r="R46" s="19"/>
      <c r="S46" s="21">
        <v>3.43980534522955E-4</v>
      </c>
      <c r="T46" s="19"/>
      <c r="U46" s="21">
        <v>7.5202221880067797E-4</v>
      </c>
      <c r="V46" s="19"/>
      <c r="W46" s="21">
        <v>6.7285645603185999E-3</v>
      </c>
      <c r="X46" s="19"/>
      <c r="Y46" s="21">
        <v>6.5826307655678703E-4</v>
      </c>
      <c r="Z46" s="19"/>
      <c r="AA46" s="21">
        <v>1.03356976174218E-3</v>
      </c>
      <c r="AB46" s="19"/>
      <c r="AC46" s="21">
        <v>5.9024516259280798E-5</v>
      </c>
      <c r="AD46" s="19"/>
      <c r="AE46" s="21">
        <v>1.0730329627996701E-3</v>
      </c>
      <c r="AF46" s="19"/>
      <c r="AG46" s="21">
        <v>-7.6453385876185193E-5</v>
      </c>
      <c r="AH46" s="19"/>
      <c r="AI46" s="21">
        <v>-1.07508998910025E-4</v>
      </c>
      <c r="AJ46" s="19"/>
      <c r="AK46" s="21">
        <v>7.1061573093278104E-5</v>
      </c>
      <c r="AL46" s="19"/>
      <c r="AM46" s="21">
        <v>4.21294152605786E-3</v>
      </c>
      <c r="AN46" s="19"/>
      <c r="AO46" s="21">
        <v>9.6031867127915698E-4</v>
      </c>
      <c r="AP46" s="19"/>
      <c r="AQ46" s="21">
        <v>9.3204893957892496E-4</v>
      </c>
      <c r="AR46" s="19"/>
      <c r="AS46" s="21">
        <v>2.8297129694811701E-3</v>
      </c>
      <c r="AT46" s="19"/>
      <c r="AU46" s="21">
        <v>1.1210378234429699E-3</v>
      </c>
      <c r="AV46" s="19"/>
      <c r="AW46" s="21">
        <v>-1.7078608067767E-4</v>
      </c>
      <c r="AX46" s="19"/>
      <c r="AY46" s="21">
        <v>1.06359397490193E-4</v>
      </c>
      <c r="AZ46" s="19"/>
      <c r="BA46" s="21">
        <v>6.6914474475810999E-4</v>
      </c>
      <c r="BB46" s="19"/>
      <c r="BC46" s="21">
        <v>6.8831118697296905E-4</v>
      </c>
      <c r="BD46" s="19"/>
      <c r="BE46" s="21">
        <v>-1.91664422148533E-5</v>
      </c>
      <c r="BF46" s="19"/>
      <c r="BG46" s="21"/>
      <c r="BH46" s="19"/>
    </row>
    <row r="47" spans="1:60" x14ac:dyDescent="0.15">
      <c r="A47" s="17">
        <v>2015</v>
      </c>
      <c r="B47" s="17"/>
      <c r="C47" s="21"/>
      <c r="D47" s="19"/>
      <c r="E47" s="21">
        <v>1.66005366765372E-2</v>
      </c>
      <c r="F47" s="19"/>
      <c r="G47" s="21">
        <v>-7.2795594268987903E-4</v>
      </c>
      <c r="H47" s="19"/>
      <c r="I47" s="21">
        <v>-1.81882709777077E-4</v>
      </c>
      <c r="J47" s="19"/>
      <c r="K47" s="21">
        <v>9.4529468232693904E-4</v>
      </c>
      <c r="L47" s="19"/>
      <c r="M47" s="21">
        <v>8.6427152153751192E-3</v>
      </c>
      <c r="N47" s="19"/>
      <c r="O47" s="21">
        <v>-7.6974205330481403E-3</v>
      </c>
      <c r="P47" s="19"/>
      <c r="Q47" s="21">
        <v>-6.59333773902551E-4</v>
      </c>
      <c r="R47" s="19"/>
      <c r="S47" s="21">
        <v>7.3562389755528197E-4</v>
      </c>
      <c r="T47" s="19"/>
      <c r="U47" s="21">
        <v>-6.9128417994569302E-4</v>
      </c>
      <c r="V47" s="19"/>
      <c r="W47" s="21">
        <v>1.32242521490356E-2</v>
      </c>
      <c r="X47" s="19"/>
      <c r="Y47" s="21">
        <v>1.4553137832398199E-4</v>
      </c>
      <c r="Z47" s="19"/>
      <c r="AA47" s="21">
        <v>-1.2536600706563501E-3</v>
      </c>
      <c r="AB47" s="19"/>
      <c r="AC47" s="21">
        <v>-6.4811464374271103E-4</v>
      </c>
      <c r="AD47" s="19"/>
      <c r="AE47" s="21">
        <v>4.6093999628150499E-4</v>
      </c>
      <c r="AF47" s="19"/>
      <c r="AG47" s="21">
        <v>2.48368477764104E-3</v>
      </c>
      <c r="AH47" s="19"/>
      <c r="AI47" s="21">
        <v>9.5428266578130897E-4</v>
      </c>
      <c r="AJ47" s="19"/>
      <c r="AK47" s="21">
        <v>1.42237960677145E-3</v>
      </c>
      <c r="AL47" s="19"/>
      <c r="AM47" s="21">
        <v>1.5898009975351399E-3</v>
      </c>
      <c r="AN47" s="19"/>
      <c r="AO47" s="21">
        <v>9.3198170206120596E-4</v>
      </c>
      <c r="AP47" s="19"/>
      <c r="AQ47" s="21">
        <v>1.2864214138955701E-4</v>
      </c>
      <c r="AR47" s="19"/>
      <c r="AS47" s="21">
        <v>1.5034241111247901E-3</v>
      </c>
      <c r="AT47" s="19"/>
      <c r="AU47" s="21">
        <v>-1.3709333834410701E-3</v>
      </c>
      <c r="AV47" s="19"/>
      <c r="AW47" s="21">
        <v>-1.2141340690421599E-4</v>
      </c>
      <c r="AX47" s="19"/>
      <c r="AY47" s="21">
        <v>9.5017355570843604E-5</v>
      </c>
      <c r="AZ47" s="19"/>
      <c r="BA47" s="21">
        <v>2.7342877968719701E-4</v>
      </c>
      <c r="BB47" s="19"/>
      <c r="BC47" s="21">
        <v>1.0882250725650299E-3</v>
      </c>
      <c r="BD47" s="19"/>
      <c r="BE47" s="21">
        <v>-8.1479629287785002E-4</v>
      </c>
      <c r="BF47" s="19"/>
      <c r="BG47" s="21"/>
      <c r="BH47" s="19"/>
    </row>
    <row r="48" spans="1:60" x14ac:dyDescent="0.15">
      <c r="A48" s="17">
        <v>2016</v>
      </c>
      <c r="B48" s="17"/>
      <c r="C48" s="21"/>
      <c r="D48" s="19"/>
      <c r="E48" s="21">
        <v>1.50678369426962E-2</v>
      </c>
      <c r="F48" s="19"/>
      <c r="G48" s="21">
        <v>1.2930531477849E-4</v>
      </c>
      <c r="H48" s="19"/>
      <c r="I48" s="21">
        <v>2.4615942493634899E-5</v>
      </c>
      <c r="J48" s="19"/>
      <c r="K48" s="21">
        <v>8.1998849231658209E-3</v>
      </c>
      <c r="L48" s="19"/>
      <c r="M48" s="21">
        <v>8.9281013504724799E-3</v>
      </c>
      <c r="N48" s="19"/>
      <c r="O48" s="21">
        <v>-7.2821642730667004E-4</v>
      </c>
      <c r="P48" s="19"/>
      <c r="Q48" s="21">
        <v>-2.69112749700458E-3</v>
      </c>
      <c r="R48" s="19"/>
      <c r="S48" s="21">
        <v>1.02797254059466E-4</v>
      </c>
      <c r="T48" s="19"/>
      <c r="U48" s="21">
        <v>4.7764283344637899E-4</v>
      </c>
      <c r="V48" s="19"/>
      <c r="W48" s="21">
        <v>2.02378472828681E-3</v>
      </c>
      <c r="X48" s="19"/>
      <c r="Y48" s="21">
        <v>-4.5150921746808003E-5</v>
      </c>
      <c r="Z48" s="19"/>
      <c r="AA48" s="21">
        <v>-4.7513690826499698E-4</v>
      </c>
      <c r="AB48" s="19"/>
      <c r="AC48" s="21">
        <v>-2.6873090638447799E-6</v>
      </c>
      <c r="AD48" s="19"/>
      <c r="AE48" s="21">
        <v>1.24858180442544E-3</v>
      </c>
      <c r="AF48" s="19"/>
      <c r="AG48" s="21">
        <v>-1.8872529701282099E-5</v>
      </c>
      <c r="AH48" s="19"/>
      <c r="AI48" s="21">
        <v>-3.08670370481113E-4</v>
      </c>
      <c r="AJ48" s="19"/>
      <c r="AK48" s="21">
        <v>-2.5094898166232198E-4</v>
      </c>
      <c r="AL48" s="19"/>
      <c r="AM48" s="21">
        <v>1.0959444074424699E-3</v>
      </c>
      <c r="AN48" s="19"/>
      <c r="AO48" s="21">
        <v>5.95123256219861E-4</v>
      </c>
      <c r="AP48" s="19"/>
      <c r="AQ48" s="21">
        <v>2.8360072364970302E-5</v>
      </c>
      <c r="AR48" s="19"/>
      <c r="AS48" s="21">
        <v>3.5387179648929102E-3</v>
      </c>
      <c r="AT48" s="19"/>
      <c r="AU48" s="21">
        <v>8.3347138092060703E-4</v>
      </c>
      <c r="AV48" s="19"/>
      <c r="AW48" s="21">
        <v>-1.3633556133293699E-4</v>
      </c>
      <c r="AX48" s="19"/>
      <c r="AY48" s="21">
        <v>1.13859943902635E-4</v>
      </c>
      <c r="AZ48" s="19"/>
      <c r="BA48" s="21">
        <v>8.9041783865799798E-4</v>
      </c>
      <c r="BB48" s="19"/>
      <c r="BC48" s="21">
        <v>1.5280961654163001E-3</v>
      </c>
      <c r="BD48" s="19"/>
      <c r="BE48" s="21">
        <v>-6.3767832675829797E-4</v>
      </c>
      <c r="BF48" s="19"/>
      <c r="BG48" s="21"/>
      <c r="BH48" s="19"/>
    </row>
    <row r="49" spans="1:60" x14ac:dyDescent="0.15">
      <c r="A49" s="17">
        <v>2017</v>
      </c>
      <c r="B49" s="17"/>
      <c r="C49" s="21"/>
      <c r="D49" s="19"/>
      <c r="E49" s="21">
        <v>1.7069756778308999E-2</v>
      </c>
      <c r="F49" s="19"/>
      <c r="G49" s="21">
        <v>-1.0226507069456E-4</v>
      </c>
      <c r="H49" s="19"/>
      <c r="I49" s="21">
        <v>5.4172001594192601E-5</v>
      </c>
      <c r="J49" s="19"/>
      <c r="K49" s="21">
        <v>9.4759882862581399E-3</v>
      </c>
      <c r="L49" s="19"/>
      <c r="M49" s="21">
        <v>6.1193720719356299E-3</v>
      </c>
      <c r="N49" s="19"/>
      <c r="O49" s="21">
        <v>3.3566162143225599E-3</v>
      </c>
      <c r="P49" s="19"/>
      <c r="Q49" s="21">
        <v>1.2087012265007599E-3</v>
      </c>
      <c r="R49" s="19"/>
      <c r="S49" s="21">
        <v>-5.3010347125603504E-4</v>
      </c>
      <c r="T49" s="19"/>
      <c r="U49" s="21">
        <v>3.1947162779779697E-4</v>
      </c>
      <c r="V49" s="19"/>
      <c r="W49" s="21">
        <v>-2.1612045078521999E-3</v>
      </c>
      <c r="X49" s="19"/>
      <c r="Y49" s="21">
        <v>-2.7585642921921702E-4</v>
      </c>
      <c r="Z49" s="19"/>
      <c r="AA49" s="21">
        <v>5.8423466564268896E-4</v>
      </c>
      <c r="AB49" s="19"/>
      <c r="AC49" s="21">
        <v>4.4288113292753601E-4</v>
      </c>
      <c r="AD49" s="19"/>
      <c r="AE49" s="21">
        <v>7.7396652716241502E-4</v>
      </c>
      <c r="AF49" s="19"/>
      <c r="AG49" s="21">
        <v>-1.5666260988895101E-3</v>
      </c>
      <c r="AH49" s="19"/>
      <c r="AI49" s="21">
        <v>-2.9804560233905601E-3</v>
      </c>
      <c r="AJ49" s="19"/>
      <c r="AK49" s="21">
        <v>-6.0651898054687504E-4</v>
      </c>
      <c r="AL49" s="19"/>
      <c r="AM49" s="21">
        <v>3.7560200294517198E-3</v>
      </c>
      <c r="AN49" s="19"/>
      <c r="AO49" s="21">
        <v>1.38493495397189E-3</v>
      </c>
      <c r="AP49" s="19"/>
      <c r="AQ49" s="21">
        <v>1.5709346378290099E-4</v>
      </c>
      <c r="AR49" s="19"/>
      <c r="AS49" s="21">
        <v>2.8337196750497702E-3</v>
      </c>
      <c r="AT49" s="19"/>
      <c r="AU49" s="21">
        <v>2.27889545831639E-4</v>
      </c>
      <c r="AV49" s="19"/>
      <c r="AW49" s="21">
        <v>1.20913104889227E-4</v>
      </c>
      <c r="AX49" s="19"/>
      <c r="AY49" s="21">
        <v>8.3344172529401295E-5</v>
      </c>
      <c r="AZ49" s="19"/>
      <c r="BA49" s="21">
        <v>5.0645558868888296E-4</v>
      </c>
      <c r="BB49" s="19"/>
      <c r="BC49" s="21">
        <v>1.13971745770044E-3</v>
      </c>
      <c r="BD49" s="19"/>
      <c r="BE49" s="21">
        <v>-6.3326186901155595E-4</v>
      </c>
      <c r="BF49" s="19"/>
      <c r="BG49" s="21"/>
      <c r="BH49" s="19"/>
    </row>
    <row r="50" spans="1:60" x14ac:dyDescent="0.15">
      <c r="A50" s="17">
        <v>2018</v>
      </c>
      <c r="B50" s="17"/>
      <c r="C50" s="21"/>
      <c r="D50" s="19"/>
      <c r="E50" s="21">
        <v>3.0980284907368E-2</v>
      </c>
      <c r="F50" s="19"/>
      <c r="G50" s="21">
        <v>3.9442367249809001E-4</v>
      </c>
      <c r="H50" s="19"/>
      <c r="I50" s="21">
        <v>1.68752661536991E-4</v>
      </c>
      <c r="J50" s="19"/>
      <c r="K50" s="21">
        <v>9.8297377195160993E-3</v>
      </c>
      <c r="L50" s="19"/>
      <c r="M50" s="21">
        <v>6.9134826992843902E-3</v>
      </c>
      <c r="N50" s="19"/>
      <c r="O50" s="21">
        <v>2.9162550202317299E-3</v>
      </c>
      <c r="P50" s="19"/>
      <c r="Q50" s="21">
        <v>1.9977121143169001E-3</v>
      </c>
      <c r="R50" s="19"/>
      <c r="S50" s="21">
        <v>2.1190814298677901E-4</v>
      </c>
      <c r="T50" s="19"/>
      <c r="U50" s="21">
        <v>1.67528050694053E-3</v>
      </c>
      <c r="V50" s="19"/>
      <c r="W50" s="21">
        <v>-2.23382997958585E-3</v>
      </c>
      <c r="X50" s="19"/>
      <c r="Y50" s="21">
        <v>-3.0373457238181399E-4</v>
      </c>
      <c r="Z50" s="19"/>
      <c r="AA50" s="21">
        <v>1.42622878467722E-3</v>
      </c>
      <c r="AB50" s="19"/>
      <c r="AC50" s="21">
        <v>8.2420651275197398E-4</v>
      </c>
      <c r="AD50" s="19"/>
      <c r="AE50" s="21">
        <v>2.11147779932067E-3</v>
      </c>
      <c r="AF50" s="19"/>
      <c r="AG50" s="21">
        <v>3.0119618714928298E-3</v>
      </c>
      <c r="AH50" s="19"/>
      <c r="AI50" s="21">
        <v>-1.25461598176745E-4</v>
      </c>
      <c r="AJ50" s="19"/>
      <c r="AK50" s="21">
        <v>9.63195249502516E-4</v>
      </c>
      <c r="AL50" s="19"/>
      <c r="AM50" s="21">
        <v>7.7829752220109202E-3</v>
      </c>
      <c r="AN50" s="19"/>
      <c r="AO50" s="21">
        <v>7.0385157821186003E-4</v>
      </c>
      <c r="AP50" s="19"/>
      <c r="AQ50" s="21">
        <v>3.4863552978831199E-4</v>
      </c>
      <c r="AR50" s="19"/>
      <c r="AS50" s="21">
        <v>2.1686492537966299E-3</v>
      </c>
      <c r="AT50" s="19"/>
      <c r="AU50" s="21">
        <v>4.8777031904923701E-5</v>
      </c>
      <c r="AV50" s="19"/>
      <c r="AW50" s="21">
        <v>3.75898184417112E-4</v>
      </c>
      <c r="AX50" s="19"/>
      <c r="AY50" s="21">
        <v>8.0114624681034005E-5</v>
      </c>
      <c r="AZ50" s="19"/>
      <c r="BA50" s="21">
        <v>-8.1167005756347201E-4</v>
      </c>
      <c r="BB50" s="19"/>
      <c r="BC50" s="21">
        <v>-3.1228792129604901E-4</v>
      </c>
      <c r="BD50" s="19"/>
      <c r="BE50" s="21">
        <v>-4.9938213626741102E-4</v>
      </c>
      <c r="BF50" s="19"/>
      <c r="BG50" s="21"/>
      <c r="BH50" s="19"/>
    </row>
    <row r="51" spans="1:60" x14ac:dyDescent="0.15">
      <c r="A51" s="17">
        <v>2019</v>
      </c>
      <c r="B51" s="17"/>
      <c r="C51" s="21"/>
      <c r="D51" s="19"/>
      <c r="E51" s="21">
        <v>1.4433206335573E-2</v>
      </c>
      <c r="F51" s="19"/>
      <c r="G51" s="21">
        <v>-1.71051510153601E-4</v>
      </c>
      <c r="H51" s="19"/>
      <c r="I51" s="21">
        <v>-1.6701721764256399E-5</v>
      </c>
      <c r="J51" s="19"/>
      <c r="K51" s="21">
        <v>9.5717678275872697E-3</v>
      </c>
      <c r="L51" s="19"/>
      <c r="M51" s="21">
        <v>6.0256223159490903E-3</v>
      </c>
      <c r="N51" s="19"/>
      <c r="O51" s="21">
        <v>3.5461455116381799E-3</v>
      </c>
      <c r="P51" s="19"/>
      <c r="Q51" s="21">
        <v>7.2783179382392897E-4</v>
      </c>
      <c r="R51" s="19"/>
      <c r="S51" s="21">
        <v>-1.2683779607837201E-4</v>
      </c>
      <c r="T51" s="19"/>
      <c r="U51" s="21">
        <v>2.6652668736552599E-4</v>
      </c>
      <c r="V51" s="19"/>
      <c r="W51" s="21">
        <v>-5.0732532200861002E-3</v>
      </c>
      <c r="X51" s="19"/>
      <c r="Y51" s="21">
        <v>3.56595849625078E-4</v>
      </c>
      <c r="Z51" s="19"/>
      <c r="AA51" s="21">
        <v>1.46799040745082E-3</v>
      </c>
      <c r="AB51" s="19"/>
      <c r="AC51" s="21">
        <v>2.9893401397764298E-4</v>
      </c>
      <c r="AD51" s="19"/>
      <c r="AE51" s="21">
        <v>4.9931717348829902E-4</v>
      </c>
      <c r="AF51" s="19"/>
      <c r="AG51" s="21">
        <v>5.8040072309038099E-4</v>
      </c>
      <c r="AH51" s="19"/>
      <c r="AI51" s="21">
        <v>4.0005219840133298E-4</v>
      </c>
      <c r="AJ51" s="19"/>
      <c r="AK51" s="21">
        <v>8.01563360384604E-5</v>
      </c>
      <c r="AL51" s="19"/>
      <c r="AM51" s="21">
        <v>2.68363802389038E-3</v>
      </c>
      <c r="AN51" s="19"/>
      <c r="AO51" s="21">
        <v>1.0199249696144E-3</v>
      </c>
      <c r="AP51" s="19"/>
      <c r="AQ51" s="21">
        <v>-1.4604867899339099E-4</v>
      </c>
      <c r="AR51" s="19"/>
      <c r="AS51" s="21">
        <v>2.2283677066547102E-3</v>
      </c>
      <c r="AT51" s="19"/>
      <c r="AU51" s="21">
        <v>2.4076914679450201E-4</v>
      </c>
      <c r="AV51" s="19"/>
      <c r="AW51" s="21">
        <v>2.51033322095447E-4</v>
      </c>
      <c r="AX51" s="19"/>
      <c r="AY51" s="21">
        <v>8.9668403803243606E-5</v>
      </c>
      <c r="AZ51" s="19"/>
      <c r="BA51" s="21">
        <v>-2.4048254951738199E-4</v>
      </c>
      <c r="BB51" s="19"/>
      <c r="BC51" s="21">
        <v>9.4749086379652898E-5</v>
      </c>
      <c r="BD51" s="19"/>
      <c r="BE51" s="21">
        <v>-3.3523163589704001E-4</v>
      </c>
      <c r="BF51" s="19"/>
      <c r="BG51" s="21"/>
      <c r="BH51" s="19"/>
    </row>
    <row r="52" spans="1:60" x14ac:dyDescent="0.15">
      <c r="A52" s="17">
        <v>2020</v>
      </c>
      <c r="B52" s="17"/>
      <c r="C52" s="21"/>
      <c r="D52" s="19"/>
      <c r="E52" s="21">
        <v>-2.08901638790795E-2</v>
      </c>
      <c r="F52" s="19"/>
      <c r="G52" s="21">
        <v>-7.0946491805817596E-5</v>
      </c>
      <c r="H52" s="19"/>
      <c r="I52" s="21">
        <v>-1.9684636449651699E-5</v>
      </c>
      <c r="J52" s="19"/>
      <c r="K52" s="21">
        <v>-6.6197384357932904E-3</v>
      </c>
      <c r="L52" s="19"/>
      <c r="M52" s="21">
        <v>4.0662511667369401E-3</v>
      </c>
      <c r="N52" s="19"/>
      <c r="O52" s="21">
        <v>-1.0685989602530199E-2</v>
      </c>
      <c r="P52" s="19"/>
      <c r="Q52" s="21">
        <v>-1.3056487971395501E-3</v>
      </c>
      <c r="R52" s="19"/>
      <c r="S52" s="21">
        <v>2.09859661529679E-4</v>
      </c>
      <c r="T52" s="19"/>
      <c r="U52" s="21">
        <v>-9.9930170922436193E-4</v>
      </c>
      <c r="V52" s="19"/>
      <c r="W52" s="21">
        <v>1.28568942408952E-3</v>
      </c>
      <c r="X52" s="19"/>
      <c r="Y52" s="21">
        <v>-6.1743867791757699E-4</v>
      </c>
      <c r="Z52" s="19"/>
      <c r="AA52" s="21">
        <v>-6.3168671123631798E-3</v>
      </c>
      <c r="AB52" s="19"/>
      <c r="AC52" s="21">
        <v>-7.9006344708870708E-3</v>
      </c>
      <c r="AD52" s="19"/>
      <c r="AE52" s="21">
        <v>9.9754172978072501E-4</v>
      </c>
      <c r="AF52" s="19"/>
      <c r="AG52" s="21">
        <v>4.3412467542897496E-3</v>
      </c>
      <c r="AH52" s="19"/>
      <c r="AI52" s="21">
        <v>3.0734537134706101E-3</v>
      </c>
      <c r="AJ52" s="19"/>
      <c r="AK52" s="21">
        <v>4.4441863297671903E-4</v>
      </c>
      <c r="AL52" s="19"/>
      <c r="AM52" s="21">
        <v>-1.7647301727576701E-3</v>
      </c>
      <c r="AN52" s="19"/>
      <c r="AO52" s="21">
        <v>1.53225823372608E-3</v>
      </c>
      <c r="AP52" s="19"/>
      <c r="AQ52" s="21">
        <v>1.63863952947057E-4</v>
      </c>
      <c r="AR52" s="19"/>
      <c r="AS52" s="21">
        <v>-1.11426832950994E-3</v>
      </c>
      <c r="AT52" s="19"/>
      <c r="AU52" s="21">
        <v>-1.6946329561813901E-3</v>
      </c>
      <c r="AV52" s="19"/>
      <c r="AW52" s="21">
        <v>-1.2019471709285999E-3</v>
      </c>
      <c r="AX52" s="19"/>
      <c r="AY52" s="21">
        <v>-5.1361266376271297E-4</v>
      </c>
      <c r="AZ52" s="19"/>
      <c r="BA52" s="21">
        <v>-1.8339829803789801E-3</v>
      </c>
      <c r="BB52" s="19"/>
      <c r="BC52" s="21">
        <v>-1.0718937568226501E-3</v>
      </c>
      <c r="BD52" s="19"/>
      <c r="BE52" s="21">
        <v>-7.6208922355633704E-4</v>
      </c>
      <c r="BF52" s="19"/>
      <c r="BG52" s="21"/>
      <c r="BH52" s="19"/>
    </row>
    <row r="53" spans="1:60" x14ac:dyDescent="0.15">
      <c r="A53" s="17">
        <v>2021</v>
      </c>
      <c r="B53" s="17"/>
      <c r="C53" s="21"/>
      <c r="D53" s="19"/>
      <c r="E53" s="21">
        <v>5.7280818216885201E-2</v>
      </c>
      <c r="F53" s="19"/>
      <c r="G53" s="21">
        <v>-4.3055005857514498E-4</v>
      </c>
      <c r="H53" s="19"/>
      <c r="I53" s="21">
        <v>-3.1592459196336898E-5</v>
      </c>
      <c r="J53" s="19"/>
      <c r="K53" s="21">
        <v>4.1237453554655898E-2</v>
      </c>
      <c r="L53" s="19"/>
      <c r="M53" s="21">
        <v>2.2020827457216102E-2</v>
      </c>
      <c r="N53" s="19"/>
      <c r="O53" s="21">
        <v>1.9216626097439699E-2</v>
      </c>
      <c r="P53" s="19"/>
      <c r="Q53" s="21">
        <v>-2.6460704386358298E-3</v>
      </c>
      <c r="R53" s="19"/>
      <c r="S53" s="21">
        <v>-1.7017208555831901E-4</v>
      </c>
      <c r="T53" s="19"/>
      <c r="U53" s="21">
        <v>1.24623110100694E-3</v>
      </c>
      <c r="V53" s="19"/>
      <c r="W53" s="21">
        <v>-1.24454672199433E-2</v>
      </c>
      <c r="X53" s="19"/>
      <c r="Y53" s="21">
        <v>1.5299596497758E-3</v>
      </c>
      <c r="Z53" s="19"/>
      <c r="AA53" s="21">
        <v>2.4874753768063E-3</v>
      </c>
      <c r="AB53" s="19"/>
      <c r="AC53" s="21">
        <v>-2.6488637193198498E-4</v>
      </c>
      <c r="AD53" s="19"/>
      <c r="AE53" s="21">
        <v>2.5340282574938099E-3</v>
      </c>
      <c r="AF53" s="19"/>
      <c r="AG53" s="21">
        <v>5.6664195123484499E-3</v>
      </c>
      <c r="AH53" s="19"/>
      <c r="AI53" s="21">
        <v>5.5367998728969503E-3</v>
      </c>
      <c r="AJ53" s="19"/>
      <c r="AK53" s="21">
        <v>-2.13415620731182E-3</v>
      </c>
      <c r="AL53" s="19"/>
      <c r="AM53" s="21">
        <v>1.16023912068346E-2</v>
      </c>
      <c r="AN53" s="19"/>
      <c r="AO53" s="21">
        <v>7.6394825094375403E-4</v>
      </c>
      <c r="AP53" s="19"/>
      <c r="AQ53" s="21">
        <v>1.2658018038529299E-4</v>
      </c>
      <c r="AR53" s="19"/>
      <c r="AS53" s="21">
        <v>4.9166238465796E-3</v>
      </c>
      <c r="AT53" s="19"/>
      <c r="AU53" s="21">
        <v>1.0609874248858401E-3</v>
      </c>
      <c r="AV53" s="19"/>
      <c r="AW53" s="21">
        <v>1.36495181082855E-3</v>
      </c>
      <c r="AX53" s="19"/>
      <c r="AY53" s="21">
        <v>1.97181886599218E-4</v>
      </c>
      <c r="AZ53" s="19"/>
      <c r="BA53" s="21">
        <v>1.404457113621E-3</v>
      </c>
      <c r="BB53" s="19"/>
      <c r="BC53" s="21">
        <v>1.68503622155449E-3</v>
      </c>
      <c r="BD53" s="19"/>
      <c r="BE53" s="21">
        <v>-2.8057910793349101E-4</v>
      </c>
      <c r="BF53" s="19"/>
      <c r="BG53" s="21"/>
      <c r="BH53" s="19"/>
    </row>
    <row r="54" spans="1:60" x14ac:dyDescent="0.15">
      <c r="A54" s="17">
        <v>2022</v>
      </c>
      <c r="B54" s="17"/>
      <c r="C54" s="21"/>
      <c r="D54" s="19"/>
      <c r="E54" s="21">
        <v>3.3447398690469698E-2</v>
      </c>
      <c r="F54" s="19"/>
      <c r="G54" s="21">
        <v>6.8675807136864503E-4</v>
      </c>
      <c r="H54" s="19"/>
      <c r="I54" s="21">
        <v>-1.13462190128673E-4</v>
      </c>
      <c r="J54" s="19"/>
      <c r="K54" s="21">
        <v>1.2716461669943099E-2</v>
      </c>
      <c r="L54" s="19"/>
      <c r="M54" s="21">
        <v>4.8825514926662998E-3</v>
      </c>
      <c r="N54" s="19"/>
      <c r="O54" s="21">
        <v>7.8339101772767605E-3</v>
      </c>
      <c r="P54" s="19"/>
      <c r="Q54" s="21">
        <v>1.9686794286431198E-3</v>
      </c>
      <c r="R54" s="19"/>
      <c r="S54" s="21">
        <v>2.5122517187398802E-4</v>
      </c>
      <c r="T54" s="19"/>
      <c r="U54" s="21">
        <v>-1.9962165061326101E-3</v>
      </c>
      <c r="V54" s="19"/>
      <c r="W54" s="21">
        <v>-1.0696039232719799E-2</v>
      </c>
      <c r="X54" s="19"/>
      <c r="Y54" s="21">
        <v>-1.00755284332503E-4</v>
      </c>
      <c r="Z54" s="19"/>
      <c r="AA54" s="21">
        <v>3.4501393565935299E-3</v>
      </c>
      <c r="AB54" s="19"/>
      <c r="AC54" s="21">
        <v>6.7079394680371798E-3</v>
      </c>
      <c r="AD54" s="19"/>
      <c r="AE54" s="21">
        <v>3.1308201222729698E-3</v>
      </c>
      <c r="AF54" s="19"/>
      <c r="AG54" s="21">
        <v>3.7291670632820001E-3</v>
      </c>
      <c r="AH54" s="19"/>
      <c r="AI54" s="21">
        <v>-1.76160816437097E-3</v>
      </c>
      <c r="AJ54" s="19"/>
      <c r="AK54" s="21">
        <v>4.2313992230832197E-3</v>
      </c>
      <c r="AL54" s="19"/>
      <c r="AM54" s="21">
        <v>5.3804399356877104E-3</v>
      </c>
      <c r="AN54" s="19"/>
      <c r="AO54" s="21">
        <v>9.0627874346296496E-4</v>
      </c>
      <c r="AP54" s="19"/>
      <c r="AQ54" s="21">
        <v>9.2910146625242501E-4</v>
      </c>
      <c r="AR54" s="19"/>
      <c r="AS54" s="21">
        <v>3.38797190244013E-3</v>
      </c>
      <c r="AT54" s="19"/>
      <c r="AU54" s="21">
        <v>1.8746813189595801E-3</v>
      </c>
      <c r="AV54" s="19"/>
      <c r="AW54" s="21">
        <v>7.6173964356189301E-4</v>
      </c>
      <c r="AX54" s="19"/>
      <c r="AY54" s="21">
        <v>2.12735987677534E-4</v>
      </c>
      <c r="AZ54" s="19"/>
      <c r="BA54" s="21">
        <v>1.07628055943255E-3</v>
      </c>
      <c r="BB54" s="19"/>
      <c r="BC54" s="21">
        <v>1.71799646665707E-3</v>
      </c>
      <c r="BD54" s="19"/>
      <c r="BE54" s="21">
        <v>-6.4171590722452896E-4</v>
      </c>
      <c r="BF54" s="19"/>
      <c r="BG54" s="21"/>
      <c r="BH54" s="19"/>
    </row>
    <row r="55" spans="1:60" x14ac:dyDescent="0.15">
      <c r="A55" s="17">
        <v>2023</v>
      </c>
      <c r="B55" s="17"/>
      <c r="C55" s="21"/>
      <c r="D55" s="19"/>
      <c r="E55" s="21">
        <v>1.4743597288266901E-2</v>
      </c>
      <c r="F55" s="19"/>
      <c r="G55" s="21">
        <v>2.9106022909616599E-5</v>
      </c>
      <c r="H55" s="19"/>
      <c r="I55" s="21">
        <v>3.73864084663716E-6</v>
      </c>
      <c r="J55" s="19"/>
      <c r="K55" s="21">
        <v>-4.2089415749954296E-3</v>
      </c>
      <c r="L55" s="19"/>
      <c r="M55" s="21">
        <v>1.2781805748195399E-3</v>
      </c>
      <c r="N55" s="19"/>
      <c r="O55" s="21">
        <v>-5.4871221498149301E-3</v>
      </c>
      <c r="P55" s="19"/>
      <c r="Q55" s="21">
        <v>-1.6243352691598799E-3</v>
      </c>
      <c r="R55" s="19"/>
      <c r="S55" s="21">
        <v>4.4237548548235202E-4</v>
      </c>
      <c r="T55" s="19"/>
      <c r="U55" s="21">
        <v>-7.8069396433062897E-4</v>
      </c>
      <c r="V55" s="19"/>
      <c r="W55" s="21">
        <v>1.05963470013758E-2</v>
      </c>
      <c r="X55" s="19"/>
      <c r="Y55" s="21">
        <v>-3.96315709031259E-4</v>
      </c>
      <c r="Z55" s="19"/>
      <c r="AA55" s="21">
        <v>1.51388696335631E-3</v>
      </c>
      <c r="AB55" s="19"/>
      <c r="AC55" s="21">
        <v>1.2582639752866699E-3</v>
      </c>
      <c r="AD55" s="19"/>
      <c r="AE55" s="21">
        <v>2.3748167547122099E-3</v>
      </c>
      <c r="AF55" s="19"/>
      <c r="AG55" s="21">
        <v>-1.68976514051593E-3</v>
      </c>
      <c r="AH55" s="19"/>
      <c r="AI55" s="21">
        <v>-4.2049770108017097E-3</v>
      </c>
      <c r="AJ55" s="19"/>
      <c r="AK55" s="21">
        <v>2.07989110422983E-3</v>
      </c>
      <c r="AL55" s="19"/>
      <c r="AM55" s="21">
        <v>2.9289789883031798E-3</v>
      </c>
      <c r="AN55" s="19"/>
      <c r="AO55" s="21">
        <v>2.1436893562842001E-5</v>
      </c>
      <c r="AP55" s="19"/>
      <c r="AQ55" s="21">
        <v>8.5323341095163395E-4</v>
      </c>
      <c r="AR55" s="19"/>
      <c r="AS55" s="21">
        <v>1.94571247919387E-3</v>
      </c>
      <c r="AT55" s="19"/>
      <c r="AU55" s="21">
        <v>8.1704948283884999E-4</v>
      </c>
      <c r="AV55" s="19"/>
      <c r="AW55" s="21">
        <v>2.1685902460660399E-4</v>
      </c>
      <c r="AX55" s="19"/>
      <c r="AY55" s="21">
        <v>1.2906842878090299E-4</v>
      </c>
      <c r="AZ55" s="19"/>
      <c r="BA55" s="21">
        <v>-4.72695784009732E-4</v>
      </c>
      <c r="BB55" s="19"/>
      <c r="BC55" s="21">
        <v>1.33188999714077E-4</v>
      </c>
      <c r="BD55" s="19"/>
      <c r="BE55" s="21">
        <v>-6.0588478372381003E-4</v>
      </c>
      <c r="BF55" s="19"/>
      <c r="BG55" s="21"/>
      <c r="BH55" s="19"/>
    </row>
    <row r="56" spans="1:60" x14ac:dyDescent="0.15">
      <c r="A56" s="17">
        <v>2024</v>
      </c>
      <c r="B56" s="17"/>
      <c r="C56" s="21"/>
      <c r="D56" s="19"/>
      <c r="E56" s="21">
        <v>1.3208275557050999E-2</v>
      </c>
      <c r="F56" s="19"/>
      <c r="G56" s="21">
        <v>-3.4389598127734599E-4</v>
      </c>
      <c r="H56" s="19"/>
      <c r="I56" s="21">
        <v>8.8853796313475796E-5</v>
      </c>
      <c r="J56" s="19"/>
      <c r="K56" s="21">
        <v>3.2729945250721099E-3</v>
      </c>
      <c r="L56" s="19"/>
      <c r="M56" s="21">
        <v>7.7856239701855397E-3</v>
      </c>
      <c r="N56" s="19"/>
      <c r="O56" s="21">
        <v>-4.5126294451134303E-3</v>
      </c>
      <c r="P56" s="19"/>
      <c r="Q56" s="21">
        <v>-1.60527245316772E-3</v>
      </c>
      <c r="R56" s="19"/>
      <c r="S56" s="21">
        <v>2.5684504144355601E-4</v>
      </c>
      <c r="T56" s="19"/>
      <c r="U56" s="21">
        <v>7.1187488148855699E-4</v>
      </c>
      <c r="V56" s="19"/>
      <c r="W56" s="21">
        <v>-1.7508865666034301E-3</v>
      </c>
      <c r="X56" s="19"/>
      <c r="Y56" s="21">
        <v>1.02040668935883E-3</v>
      </c>
      <c r="Z56" s="19"/>
      <c r="AA56" s="21">
        <v>5.2322354384145696E-4</v>
      </c>
      <c r="AB56" s="19"/>
      <c r="AC56" s="21">
        <v>-3.1826969329038098E-4</v>
      </c>
      <c r="AD56" s="19"/>
      <c r="AE56" s="21">
        <v>2.4518006750442198E-3</v>
      </c>
      <c r="AF56" s="19"/>
      <c r="AG56" s="21">
        <v>4.5071191311267099E-4</v>
      </c>
      <c r="AH56" s="19"/>
      <c r="AI56" s="21">
        <v>-9.3350869142315896E-4</v>
      </c>
      <c r="AJ56" s="19"/>
      <c r="AK56" s="21">
        <v>1.5807449617338399E-3</v>
      </c>
      <c r="AL56" s="19"/>
      <c r="AM56" s="21">
        <v>4.3425360799385498E-3</v>
      </c>
      <c r="AN56" s="19"/>
      <c r="AO56" s="21">
        <v>8.0787476437893502E-4</v>
      </c>
      <c r="AP56" s="19"/>
      <c r="AQ56" s="21">
        <v>6.9922583223149502E-4</v>
      </c>
      <c r="AR56" s="19"/>
      <c r="AS56" s="21">
        <v>3.6941098582167898E-3</v>
      </c>
      <c r="AT56" s="19"/>
      <c r="AU56" s="21">
        <v>-8.6630177820973904E-5</v>
      </c>
      <c r="AV56" s="19"/>
      <c r="AW56" s="21">
        <v>1.24873771798977E-4</v>
      </c>
      <c r="AX56" s="19"/>
      <c r="AY56" s="21">
        <v>-1.0255804193211399E-4</v>
      </c>
      <c r="AZ56" s="19"/>
      <c r="BA56" s="21">
        <v>-4.4977212480419002E-4</v>
      </c>
      <c r="BB56" s="19"/>
      <c r="BC56" s="21">
        <v>3.0353596424320098E-4</v>
      </c>
      <c r="BD56" s="19"/>
      <c r="BE56" s="21">
        <v>-7.53308089047393E-4</v>
      </c>
      <c r="BF56" s="19"/>
      <c r="BG56" s="21"/>
      <c r="BH56" s="19"/>
    </row>
    <row r="57" spans="1:60" x14ac:dyDescent="0.15">
      <c r="A57" s="17">
        <v>2025</v>
      </c>
      <c r="B57" s="17"/>
      <c r="C57" s="21"/>
      <c r="D57" s="19"/>
      <c r="E57" s="21">
        <v>1.7720847099547299E-2</v>
      </c>
      <c r="F57" s="19"/>
      <c r="G57" s="21">
        <v>4.1480069825159202E-4</v>
      </c>
      <c r="H57" s="19"/>
      <c r="I57" s="21">
        <v>2.7990958961322099E-5</v>
      </c>
      <c r="J57" s="19"/>
      <c r="K57" s="21">
        <v>4.5390899086376101E-3</v>
      </c>
      <c r="L57" s="19"/>
      <c r="M57" s="21">
        <v>5.9635125013970504E-3</v>
      </c>
      <c r="N57" s="19"/>
      <c r="O57" s="21">
        <v>-1.4244225927594601E-3</v>
      </c>
      <c r="P57" s="19"/>
      <c r="Q57" s="21">
        <v>-1.93892271439012E-3</v>
      </c>
      <c r="R57" s="19"/>
      <c r="S57" s="21">
        <v>2.6237600637723399E-5</v>
      </c>
      <c r="T57" s="19"/>
      <c r="U57" s="21">
        <v>8.4722707065401496E-4</v>
      </c>
      <c r="V57" s="19"/>
      <c r="W57" s="21">
        <v>7.7369319329576502E-3</v>
      </c>
      <c r="X57" s="19"/>
      <c r="Y57" s="21">
        <v>8.9439952098034896E-4</v>
      </c>
      <c r="Z57" s="19"/>
      <c r="AA57" s="21">
        <v>7.6397103654965898E-5</v>
      </c>
      <c r="AB57" s="19"/>
      <c r="AC57" s="21">
        <v>1.96974443361427E-5</v>
      </c>
      <c r="AD57" s="19"/>
      <c r="AE57" s="21">
        <v>-1.11737525737606E-4</v>
      </c>
      <c r="AF57" s="19"/>
      <c r="AG57" s="21">
        <v>5.5352968333864001E-3</v>
      </c>
      <c r="AH57" s="19"/>
      <c r="AI57" s="21">
        <v>2.9758173461068901E-3</v>
      </c>
      <c r="AJ57" s="19"/>
      <c r="AK57" s="21">
        <v>2.3417664729260801E-3</v>
      </c>
      <c r="AL57" s="19"/>
      <c r="AM57" s="21">
        <v>-1.82095983153397E-3</v>
      </c>
      <c r="AN57" s="19"/>
      <c r="AO57" s="21">
        <v>-1.36117414300964E-4</v>
      </c>
      <c r="AP57" s="19"/>
      <c r="AQ57" s="21">
        <v>1.8269080532516799E-4</v>
      </c>
      <c r="AR57" s="19"/>
      <c r="AS57" s="21">
        <v>3.7880489652525298E-3</v>
      </c>
      <c r="AT57" s="19"/>
      <c r="AU57" s="21">
        <v>-1.14317295953462E-3</v>
      </c>
      <c r="AV57" s="19"/>
      <c r="AW57" s="21">
        <v>-2.5154645234373003E-4</v>
      </c>
      <c r="AX57" s="19"/>
      <c r="AY57" s="21">
        <v>-1.0020384994177E-4</v>
      </c>
      <c r="AZ57" s="19"/>
      <c r="BA57" s="21">
        <v>-5.0634827714551301E-5</v>
      </c>
      <c r="BB57" s="19"/>
      <c r="BC57" s="21">
        <v>8.9800485685049105E-4</v>
      </c>
      <c r="BD57" s="19"/>
      <c r="BE57" s="21">
        <v>-9.4863968456504401E-4</v>
      </c>
      <c r="BF57" s="19"/>
      <c r="BG57" s="21"/>
      <c r="BH57" s="19"/>
    </row>
    <row r="58" spans="1:60" x14ac:dyDescent="0.15">
      <c r="A58" s="17"/>
      <c r="B58" s="17"/>
      <c r="C58" s="21"/>
      <c r="D58" s="19"/>
      <c r="E58" s="21"/>
      <c r="F58" s="19"/>
      <c r="G58" s="21"/>
      <c r="H58" s="19"/>
      <c r="I58" s="21"/>
      <c r="J58" s="19"/>
      <c r="K58" s="21"/>
      <c r="L58" s="19"/>
      <c r="M58" s="21"/>
      <c r="N58" s="19"/>
      <c r="O58" s="21"/>
      <c r="P58" s="19"/>
      <c r="Q58" s="21"/>
      <c r="R58" s="19"/>
      <c r="S58" s="21"/>
      <c r="T58" s="19"/>
      <c r="U58" s="21"/>
      <c r="V58" s="19"/>
      <c r="W58" s="21"/>
      <c r="X58" s="19"/>
      <c r="Y58" s="21"/>
      <c r="Z58" s="19"/>
      <c r="AA58" s="21"/>
      <c r="AB58" s="19"/>
      <c r="AC58" s="21"/>
      <c r="AD58" s="19"/>
      <c r="AE58" s="21"/>
      <c r="AF58" s="19"/>
      <c r="AG58" s="21"/>
      <c r="AH58" s="19"/>
      <c r="AI58" s="21"/>
      <c r="AJ58" s="19"/>
      <c r="AK58" s="21"/>
      <c r="AL58" s="19"/>
      <c r="AM58" s="21"/>
      <c r="AN58" s="19"/>
      <c r="AO58" s="21"/>
      <c r="AP58" s="19"/>
      <c r="AQ58" s="21"/>
      <c r="AR58" s="19"/>
      <c r="AS58" s="21"/>
      <c r="AT58" s="19"/>
      <c r="AU58" s="21"/>
      <c r="AV58" s="19"/>
      <c r="AW58" s="21"/>
      <c r="AX58" s="19"/>
      <c r="AY58" s="21"/>
      <c r="AZ58" s="19"/>
      <c r="BA58" s="21"/>
      <c r="BB58" s="19"/>
      <c r="BC58" s="21"/>
      <c r="BD58" s="19"/>
      <c r="BE58" s="21"/>
      <c r="BF58" s="19"/>
      <c r="BG58" s="21"/>
      <c r="BH58" s="19"/>
    </row>
  </sheetData>
  <sheetProtection password="DD0B" sheet="1"/>
  <mergeCells count="66">
    <mergeCell ref="AC11:AD11"/>
    <mergeCell ref="C5:D10"/>
    <mergeCell ref="E6:F10"/>
    <mergeCell ref="C11:D11"/>
    <mergeCell ref="E11:F11"/>
    <mergeCell ref="M8:N10"/>
    <mergeCell ref="Y8:Z10"/>
    <mergeCell ref="AA6:AB10"/>
    <mergeCell ref="G11:H11"/>
    <mergeCell ref="I11:J11"/>
    <mergeCell ref="K11:L11"/>
    <mergeCell ref="M11:N11"/>
    <mergeCell ref="C4:BF4"/>
    <mergeCell ref="E5:AZ5"/>
    <mergeCell ref="BA5:BF5"/>
    <mergeCell ref="G6:H10"/>
    <mergeCell ref="I6:J10"/>
    <mergeCell ref="K6:L10"/>
    <mergeCell ref="M6:N7"/>
    <mergeCell ref="Q6:R10"/>
    <mergeCell ref="S6:T10"/>
    <mergeCell ref="U6:V10"/>
    <mergeCell ref="W6:X10"/>
    <mergeCell ref="Y6:Z7"/>
    <mergeCell ref="AY6:AZ10"/>
    <mergeCell ref="BA6:BB10"/>
    <mergeCell ref="BC6:BD10"/>
    <mergeCell ref="BE6:BF10"/>
    <mergeCell ref="AO6:AP10"/>
    <mergeCell ref="AQ6:AR10"/>
    <mergeCell ref="AS6:AT10"/>
    <mergeCell ref="AU6:AV10"/>
    <mergeCell ref="AW6:AX10"/>
    <mergeCell ref="AM6:AN10"/>
    <mergeCell ref="O6:P6"/>
    <mergeCell ref="U11:V11"/>
    <mergeCell ref="W11:X11"/>
    <mergeCell ref="Y11:Z11"/>
    <mergeCell ref="AA11:AB11"/>
    <mergeCell ref="Q11:R11"/>
    <mergeCell ref="O11:P11"/>
    <mergeCell ref="O7:P7"/>
    <mergeCell ref="O8:P10"/>
    <mergeCell ref="AG11:AH11"/>
    <mergeCell ref="AI11:AJ11"/>
    <mergeCell ref="AK11:AL11"/>
    <mergeCell ref="S11:T11"/>
    <mergeCell ref="AK6:AL6"/>
    <mergeCell ref="AC6:AD10"/>
    <mergeCell ref="BC11:BD11"/>
    <mergeCell ref="BE11:BF11"/>
    <mergeCell ref="AM11:AN11"/>
    <mergeCell ref="AO11:AP11"/>
    <mergeCell ref="AQ11:AR11"/>
    <mergeCell ref="AS11:AT11"/>
    <mergeCell ref="AU11:AV11"/>
    <mergeCell ref="AW11:AX11"/>
    <mergeCell ref="AY11:AZ11"/>
    <mergeCell ref="AK7:AL7"/>
    <mergeCell ref="AK8:AL10"/>
    <mergeCell ref="AE11:AF11"/>
    <mergeCell ref="AE6:AF10"/>
    <mergeCell ref="AI6:AJ6"/>
    <mergeCell ref="AI7:AJ7"/>
    <mergeCell ref="AI8:AJ10"/>
    <mergeCell ref="AG6:AH10"/>
  </mergeCell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le01"/>
  <dimension ref="A1:AX57"/>
  <sheetViews>
    <sheetView topLeftCell="G1" workbookViewId="0">
      <pane ySplit="4" topLeftCell="A17" activePane="bottomLeft" state="frozen"/>
      <selection pane="bottomLeft" activeCell="S27" sqref="S27"/>
    </sheetView>
  </sheetViews>
  <sheetFormatPr baseColWidth="10" defaultRowHeight="11" x14ac:dyDescent="0.15"/>
  <sheetData>
    <row r="1" spans="1:42" ht="11.25" customHeight="1" x14ac:dyDescent="0.15">
      <c r="A1" s="14" t="s">
        <v>6</v>
      </c>
      <c r="C1" s="15">
        <v>4</v>
      </c>
    </row>
    <row r="2" spans="1:42" ht="11.25" customHeight="1" x14ac:dyDescent="0.15">
      <c r="A2" s="14" t="s">
        <v>7</v>
      </c>
    </row>
    <row r="3" spans="1:42" ht="11.25" customHeight="1" x14ac:dyDescent="0.15">
      <c r="A3" s="14" t="s">
        <v>8</v>
      </c>
    </row>
    <row r="4" spans="1:42" ht="11.25" customHeight="1" x14ac:dyDescent="0.15">
      <c r="A4" s="14" t="s">
        <v>9</v>
      </c>
    </row>
    <row r="11" spans="1:42" ht="11.25" customHeight="1" x14ac:dyDescent="0.15">
      <c r="A11" s="16" t="s">
        <v>6</v>
      </c>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row>
    <row r="12" spans="1:42" ht="11.25" customHeight="1" x14ac:dyDescent="0.15">
      <c r="A12" s="14" t="s">
        <v>153</v>
      </c>
      <c r="B12" s="14" t="s">
        <v>100</v>
      </c>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row>
    <row r="13" spans="1:42" ht="11.25" customHeight="1" x14ac:dyDescent="0.15">
      <c r="A13" s="14" t="s">
        <v>101</v>
      </c>
      <c r="B13" s="14" t="s">
        <v>98</v>
      </c>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row>
    <row r="14" spans="1:42" ht="11.25" customHeight="1" x14ac:dyDescent="0.15">
      <c r="A14" s="14" t="s">
        <v>161</v>
      </c>
      <c r="B14" s="14" t="s">
        <v>162</v>
      </c>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row>
    <row r="15" spans="1:42" ht="11.25" customHeight="1" x14ac:dyDescent="0.15">
      <c r="A15" s="14" t="s">
        <v>102</v>
      </c>
      <c r="B15" s="14" t="s">
        <v>99</v>
      </c>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row>
    <row r="16" spans="1:42" ht="11.25" customHeight="1" x14ac:dyDescent="0.15">
      <c r="A16" s="14" t="s">
        <v>44</v>
      </c>
      <c r="B16" s="14" t="s">
        <v>44</v>
      </c>
      <c r="C16" s="14" t="s">
        <v>4</v>
      </c>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row>
    <row r="17" spans="1:50" ht="11.25" customHeight="1" x14ac:dyDescent="0.15">
      <c r="D17" s="14" t="s">
        <v>89</v>
      </c>
      <c r="AS17" s="14" t="s">
        <v>33</v>
      </c>
      <c r="AU17" s="14" t="s">
        <v>23</v>
      </c>
      <c r="AW17" s="14" t="s">
        <v>23</v>
      </c>
      <c r="AX17" s="14" t="s">
        <v>23</v>
      </c>
    </row>
    <row r="18" spans="1:50" ht="11.25" customHeight="1" x14ac:dyDescent="0.15">
      <c r="E18" s="14" t="s">
        <v>74</v>
      </c>
      <c r="G18" s="14" t="s">
        <v>34</v>
      </c>
      <c r="I18" s="14" t="s">
        <v>35</v>
      </c>
      <c r="M18" s="14" t="s">
        <v>131</v>
      </c>
      <c r="O18" s="14" t="s">
        <v>132</v>
      </c>
      <c r="Q18" s="14" t="s">
        <v>36</v>
      </c>
      <c r="S18" s="14" t="s">
        <v>94</v>
      </c>
      <c r="W18" s="14" t="s">
        <v>173</v>
      </c>
      <c r="X18" s="14" t="s">
        <v>174</v>
      </c>
      <c r="Y18" s="14" t="s">
        <v>37</v>
      </c>
      <c r="AA18" s="14" t="s">
        <v>180</v>
      </c>
      <c r="AE18" s="14" t="s">
        <v>194</v>
      </c>
      <c r="AG18" s="14" t="s">
        <v>38</v>
      </c>
      <c r="AI18" s="14" t="s">
        <v>39</v>
      </c>
      <c r="AK18" s="14" t="s">
        <v>40</v>
      </c>
      <c r="AM18" s="14" t="s">
        <v>133</v>
      </c>
      <c r="AO18" s="14" t="s">
        <v>134</v>
      </c>
      <c r="AQ18" s="14" t="s">
        <v>41</v>
      </c>
      <c r="AU18" s="14" t="s">
        <v>42</v>
      </c>
      <c r="AW18" s="14" t="s">
        <v>43</v>
      </c>
    </row>
    <row r="19" spans="1:50" ht="11.25" customHeight="1" x14ac:dyDescent="0.15">
      <c r="J19" s="14" t="s">
        <v>135</v>
      </c>
      <c r="K19" s="14" t="s">
        <v>169</v>
      </c>
      <c r="Q19" s="14" t="s">
        <v>23</v>
      </c>
      <c r="U19" s="14" t="s">
        <v>136</v>
      </c>
      <c r="AB19" s="14" t="s">
        <v>181</v>
      </c>
      <c r="AC19" s="14" t="s">
        <v>182</v>
      </c>
      <c r="AG19" s="14" t="s">
        <v>23</v>
      </c>
      <c r="AI19" s="14" t="s">
        <v>23</v>
      </c>
      <c r="AO19" s="14" t="s">
        <v>3</v>
      </c>
      <c r="AQ19" s="14" t="s">
        <v>3</v>
      </c>
    </row>
    <row r="20" spans="1:50" ht="11.25" customHeight="1" x14ac:dyDescent="0.15">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row>
    <row r="21" spans="1:50" ht="11.25" customHeight="1" x14ac:dyDescent="0.15">
      <c r="A21" s="14" t="s">
        <v>10</v>
      </c>
      <c r="B21" s="14" t="s">
        <v>11</v>
      </c>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row>
    <row r="22" spans="1:50" ht="11.25" customHeight="1" x14ac:dyDescent="0.15">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row>
    <row r="23" spans="1:50" ht="11.25" customHeight="1" x14ac:dyDescent="0.15">
      <c r="A23" s="16" t="s">
        <v>7</v>
      </c>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row>
    <row r="24" spans="1:50" ht="11.25" customHeight="1" x14ac:dyDescent="0.15">
      <c r="A24" s="14" t="s">
        <v>154</v>
      </c>
      <c r="B24" s="14" t="s">
        <v>103</v>
      </c>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row>
    <row r="25" spans="1:50" ht="11.25" customHeight="1" x14ac:dyDescent="0.15">
      <c r="A25" s="15" t="s">
        <v>104</v>
      </c>
      <c r="B25" s="15" t="s">
        <v>82</v>
      </c>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row>
    <row r="26" spans="1:50" ht="11.25" customHeight="1" x14ac:dyDescent="0.15">
      <c r="A26" s="15" t="s">
        <v>163</v>
      </c>
      <c r="B26" s="15" t="s">
        <v>164</v>
      </c>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row>
    <row r="27" spans="1:50" ht="11.25" customHeight="1" x14ac:dyDescent="0.15">
      <c r="A27" s="15" t="s">
        <v>105</v>
      </c>
      <c r="B27" s="15" t="s">
        <v>19</v>
      </c>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row>
    <row r="28" spans="1:50" ht="11.25" customHeight="1" x14ac:dyDescent="0.15">
      <c r="A28" s="15" t="s">
        <v>21</v>
      </c>
      <c r="B28" s="15" t="s">
        <v>21</v>
      </c>
      <c r="C28" s="14" t="s">
        <v>2</v>
      </c>
      <c r="D28" s="14" t="s">
        <v>3</v>
      </c>
      <c r="E28" s="14"/>
      <c r="F28" s="14"/>
      <c r="G28" s="14"/>
      <c r="H28" s="14"/>
      <c r="I28" s="14"/>
      <c r="J28" s="14"/>
      <c r="K28" s="14"/>
      <c r="L28" s="14"/>
      <c r="M28" s="14"/>
      <c r="N28" s="14"/>
      <c r="O28" s="14"/>
      <c r="P28" s="14"/>
      <c r="Q28" s="14" t="s">
        <v>3</v>
      </c>
      <c r="R28" s="14"/>
      <c r="S28" s="14"/>
      <c r="T28" s="14"/>
      <c r="U28" s="14"/>
      <c r="V28" s="14"/>
      <c r="W28" s="14" t="s">
        <v>3</v>
      </c>
      <c r="X28" s="14"/>
      <c r="Y28" s="14" t="s">
        <v>3</v>
      </c>
      <c r="Z28" s="14"/>
      <c r="AA28" s="14" t="s">
        <v>3</v>
      </c>
      <c r="AB28" s="14"/>
      <c r="AC28" s="14" t="s">
        <v>3</v>
      </c>
      <c r="AD28" s="14"/>
      <c r="AE28" s="14" t="s">
        <v>3</v>
      </c>
      <c r="AF28" s="14"/>
      <c r="AG28" s="14" t="s">
        <v>3</v>
      </c>
      <c r="AH28" s="14"/>
      <c r="AI28" s="14"/>
      <c r="AJ28" s="14"/>
      <c r="AK28" s="14"/>
      <c r="AL28" s="14"/>
      <c r="AM28" s="14"/>
      <c r="AN28" s="14"/>
      <c r="AO28" s="14"/>
      <c r="AP28" s="14"/>
    </row>
    <row r="29" spans="1:50" ht="11.25" customHeight="1" x14ac:dyDescent="0.15">
      <c r="D29" s="14" t="s">
        <v>92</v>
      </c>
      <c r="AS29" s="14" t="s">
        <v>71</v>
      </c>
      <c r="AU29" s="14" t="s">
        <v>23</v>
      </c>
      <c r="AW29" s="14" t="s">
        <v>23</v>
      </c>
      <c r="AX29" s="14" t="s">
        <v>23</v>
      </c>
    </row>
    <row r="30" spans="1:50" ht="11.25" customHeight="1" x14ac:dyDescent="0.15">
      <c r="E30" s="15" t="s">
        <v>45</v>
      </c>
      <c r="G30" s="15" t="s">
        <v>46</v>
      </c>
      <c r="I30" s="15" t="s">
        <v>47</v>
      </c>
      <c r="M30" s="14" t="s">
        <v>137</v>
      </c>
      <c r="O30" s="15" t="s">
        <v>138</v>
      </c>
      <c r="Q30" s="15" t="s">
        <v>1</v>
      </c>
      <c r="S30" s="15" t="s">
        <v>48</v>
      </c>
      <c r="W30" s="14" t="s">
        <v>175</v>
      </c>
      <c r="X30" s="14" t="s">
        <v>176</v>
      </c>
      <c r="Y30" s="15" t="s">
        <v>49</v>
      </c>
      <c r="AA30" s="15" t="s">
        <v>183</v>
      </c>
      <c r="AC30" s="14"/>
      <c r="AE30" s="15" t="s">
        <v>193</v>
      </c>
      <c r="AG30" s="15" t="s">
        <v>0</v>
      </c>
      <c r="AI30" s="15" t="s">
        <v>50</v>
      </c>
      <c r="AK30" s="15" t="s">
        <v>51</v>
      </c>
      <c r="AM30" s="15" t="s">
        <v>106</v>
      </c>
      <c r="AO30" s="14" t="s">
        <v>139</v>
      </c>
      <c r="AQ30" s="15" t="s">
        <v>75</v>
      </c>
      <c r="AU30" s="15" t="s">
        <v>52</v>
      </c>
      <c r="AW30" s="15" t="s">
        <v>53</v>
      </c>
    </row>
    <row r="31" spans="1:50" ht="11.25" customHeight="1" x14ac:dyDescent="0.15">
      <c r="J31" s="14" t="s">
        <v>140</v>
      </c>
      <c r="K31" s="14" t="s">
        <v>170</v>
      </c>
      <c r="Q31" s="14" t="s">
        <v>23</v>
      </c>
      <c r="U31" s="14" t="s">
        <v>141</v>
      </c>
      <c r="AB31" s="14" t="s">
        <v>184</v>
      </c>
      <c r="AC31" s="14" t="s">
        <v>185</v>
      </c>
      <c r="AG31" s="14" t="s">
        <v>23</v>
      </c>
      <c r="AI31" s="14" t="s">
        <v>23</v>
      </c>
      <c r="AO31" s="14" t="s">
        <v>3</v>
      </c>
      <c r="AQ31" s="14" t="s">
        <v>3</v>
      </c>
    </row>
    <row r="32" spans="1:50" ht="11.25" customHeight="1" x14ac:dyDescent="0.15">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row>
    <row r="33" spans="1:50" ht="11.25" customHeight="1" x14ac:dyDescent="0.15">
      <c r="A33" s="14" t="s">
        <v>12</v>
      </c>
      <c r="B33" s="14" t="s">
        <v>13</v>
      </c>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row>
    <row r="34" spans="1:50" ht="11.25" customHeight="1" x14ac:dyDescent="0.15">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row>
    <row r="35" spans="1:50" ht="11.25" customHeight="1" x14ac:dyDescent="0.15">
      <c r="A35" s="16" t="s">
        <v>8</v>
      </c>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row>
    <row r="36" spans="1:50" ht="11.25" customHeight="1" x14ac:dyDescent="0.15">
      <c r="A36" s="15" t="s">
        <v>155</v>
      </c>
      <c r="B36" s="15" t="s">
        <v>107</v>
      </c>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row>
    <row r="37" spans="1:50" ht="11.25" customHeight="1" x14ac:dyDescent="0.15">
      <c r="A37" s="15" t="s">
        <v>108</v>
      </c>
      <c r="B37" s="15" t="s">
        <v>83</v>
      </c>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row>
    <row r="38" spans="1:50" ht="11.25" customHeight="1" x14ac:dyDescent="0.15">
      <c r="A38" s="15" t="s">
        <v>165</v>
      </c>
      <c r="B38" s="15" t="s">
        <v>166</v>
      </c>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row>
    <row r="39" spans="1:50" ht="11.25" customHeight="1" x14ac:dyDescent="0.15">
      <c r="A39" s="15" t="s">
        <v>109</v>
      </c>
      <c r="B39" s="15" t="s">
        <v>84</v>
      </c>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row>
    <row r="40" spans="1:50" ht="11.25" customHeight="1" x14ac:dyDescent="0.15">
      <c r="A40" s="15" t="s">
        <v>22</v>
      </c>
      <c r="B40" s="15" t="s">
        <v>22</v>
      </c>
      <c r="C40" s="14" t="s">
        <v>14</v>
      </c>
      <c r="D40" s="14" t="s">
        <v>3</v>
      </c>
      <c r="E40" s="14"/>
      <c r="F40" s="14"/>
      <c r="G40" s="14"/>
      <c r="H40" s="14"/>
      <c r="I40" s="14"/>
      <c r="J40" s="14"/>
      <c r="K40" s="14"/>
      <c r="L40" s="14"/>
      <c r="M40" s="14"/>
      <c r="N40" s="14"/>
      <c r="O40" s="14"/>
      <c r="P40" s="14"/>
      <c r="Q40" s="14" t="s">
        <v>3</v>
      </c>
      <c r="R40" s="14"/>
      <c r="S40" s="14"/>
      <c r="T40" s="14"/>
      <c r="U40" s="14"/>
      <c r="V40" s="14"/>
      <c r="W40" s="14" t="s">
        <v>3</v>
      </c>
      <c r="X40" s="14"/>
      <c r="Y40" s="14" t="s">
        <v>3</v>
      </c>
      <c r="Z40" s="14"/>
      <c r="AA40" s="14" t="s">
        <v>3</v>
      </c>
      <c r="AB40" s="14"/>
      <c r="AC40" s="14" t="s">
        <v>3</v>
      </c>
      <c r="AD40" s="14"/>
      <c r="AE40" s="14" t="s">
        <v>3</v>
      </c>
      <c r="AF40" s="14"/>
      <c r="AG40" s="14" t="s">
        <v>3</v>
      </c>
      <c r="AH40" s="14"/>
      <c r="AI40" s="14"/>
      <c r="AJ40" s="14"/>
      <c r="AK40" s="14"/>
      <c r="AL40" s="14"/>
      <c r="AM40" s="14"/>
      <c r="AN40" s="14"/>
      <c r="AO40" s="14"/>
      <c r="AP40" s="14"/>
    </row>
    <row r="41" spans="1:50" ht="11.25" customHeight="1" x14ac:dyDescent="0.15">
      <c r="D41" s="14" t="s">
        <v>91</v>
      </c>
      <c r="AS41" s="14" t="s">
        <v>72</v>
      </c>
      <c r="AU41" s="14" t="s">
        <v>23</v>
      </c>
      <c r="AW41" s="14" t="s">
        <v>23</v>
      </c>
      <c r="AX41" s="14" t="s">
        <v>23</v>
      </c>
    </row>
    <row r="42" spans="1:50" ht="11.25" customHeight="1" x14ac:dyDescent="0.15">
      <c r="E42" s="15" t="s">
        <v>54</v>
      </c>
      <c r="G42" s="15" t="s">
        <v>76</v>
      </c>
      <c r="I42" s="15" t="s">
        <v>55</v>
      </c>
      <c r="M42" s="14" t="s">
        <v>142</v>
      </c>
      <c r="O42" s="15" t="s">
        <v>143</v>
      </c>
      <c r="Q42" s="15" t="s">
        <v>56</v>
      </c>
      <c r="S42" s="15" t="s">
        <v>57</v>
      </c>
      <c r="W42" s="14" t="s">
        <v>203</v>
      </c>
      <c r="X42" s="14" t="s">
        <v>177</v>
      </c>
      <c r="Y42" s="14" t="s">
        <v>58</v>
      </c>
      <c r="AA42" s="15" t="s">
        <v>186</v>
      </c>
      <c r="AC42" s="14"/>
      <c r="AE42" s="14" t="s">
        <v>77</v>
      </c>
      <c r="AG42" s="15" t="s">
        <v>59</v>
      </c>
      <c r="AI42" s="15" t="s">
        <v>60</v>
      </c>
      <c r="AK42" s="15" t="s">
        <v>61</v>
      </c>
      <c r="AM42" s="14" t="s">
        <v>97</v>
      </c>
      <c r="AO42" s="14" t="s">
        <v>144</v>
      </c>
      <c r="AQ42" s="14" t="s">
        <v>78</v>
      </c>
      <c r="AU42" s="15" t="s">
        <v>62</v>
      </c>
      <c r="AW42" s="15" t="s">
        <v>73</v>
      </c>
    </row>
    <row r="43" spans="1:50" ht="11.25" customHeight="1" x14ac:dyDescent="0.15">
      <c r="J43" s="14" t="s">
        <v>145</v>
      </c>
      <c r="K43" s="14" t="s">
        <v>171</v>
      </c>
      <c r="Q43" s="14" t="s">
        <v>23</v>
      </c>
      <c r="U43" s="14" t="s">
        <v>146</v>
      </c>
      <c r="AB43" s="14" t="s">
        <v>187</v>
      </c>
      <c r="AC43" s="14" t="s">
        <v>188</v>
      </c>
      <c r="AG43" s="14" t="s">
        <v>23</v>
      </c>
      <c r="AI43" s="14" t="s">
        <v>23</v>
      </c>
      <c r="AO43" s="14" t="s">
        <v>3</v>
      </c>
      <c r="AQ43" s="14" t="s">
        <v>3</v>
      </c>
    </row>
    <row r="44" spans="1:50" ht="11.25" customHeight="1" x14ac:dyDescent="0.15">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row>
    <row r="45" spans="1:50" ht="11.25" customHeight="1" x14ac:dyDescent="0.15">
      <c r="A45" s="14" t="s">
        <v>15</v>
      </c>
      <c r="B45" s="14" t="s">
        <v>13</v>
      </c>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row>
    <row r="46" spans="1:50" ht="11.25" customHeight="1" x14ac:dyDescent="0.15">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row>
    <row r="47" spans="1:50" ht="11.25" customHeight="1" x14ac:dyDescent="0.15">
      <c r="A47" s="16" t="s">
        <v>9</v>
      </c>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row>
    <row r="48" spans="1:50" ht="11.25" customHeight="1" x14ac:dyDescent="0.15">
      <c r="A48" s="15" t="s">
        <v>156</v>
      </c>
      <c r="B48" s="14" t="s">
        <v>110</v>
      </c>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row>
    <row r="49" spans="1:50" ht="11.25" customHeight="1" x14ac:dyDescent="0.15">
      <c r="A49" s="15" t="s">
        <v>111</v>
      </c>
      <c r="B49" s="15" t="s">
        <v>16</v>
      </c>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row>
    <row r="50" spans="1:50" ht="11.25" customHeight="1" x14ac:dyDescent="0.15">
      <c r="A50" s="15" t="s">
        <v>167</v>
      </c>
      <c r="B50" s="15" t="s">
        <v>168</v>
      </c>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row>
    <row r="51" spans="1:50" ht="11.25" customHeight="1" x14ac:dyDescent="0.15">
      <c r="A51" s="15" t="s">
        <v>112</v>
      </c>
      <c r="B51" s="15" t="s">
        <v>5</v>
      </c>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row>
    <row r="52" spans="1:50" ht="11.25" customHeight="1" x14ac:dyDescent="0.15">
      <c r="A52" s="15" t="s">
        <v>20</v>
      </c>
      <c r="B52" s="15" t="s">
        <v>20</v>
      </c>
      <c r="C52" s="14" t="s">
        <v>24</v>
      </c>
      <c r="D52" s="14" t="s">
        <v>3</v>
      </c>
      <c r="E52" s="14"/>
      <c r="F52" s="14"/>
      <c r="G52" s="14"/>
      <c r="H52" s="14"/>
      <c r="I52" s="14"/>
      <c r="J52" s="14"/>
      <c r="K52" s="14"/>
      <c r="L52" s="14"/>
      <c r="M52" s="14"/>
      <c r="N52" s="14"/>
      <c r="O52" s="14"/>
      <c r="P52" s="14"/>
      <c r="Q52" s="14" t="s">
        <v>3</v>
      </c>
      <c r="R52" s="14"/>
      <c r="S52" s="14"/>
      <c r="T52" s="14"/>
      <c r="U52" s="14"/>
      <c r="V52" s="14"/>
      <c r="W52" s="14" t="s">
        <v>3</v>
      </c>
      <c r="X52" s="14"/>
      <c r="Y52" s="14" t="s">
        <v>3</v>
      </c>
      <c r="Z52" s="14"/>
      <c r="AA52" s="14" t="s">
        <v>3</v>
      </c>
      <c r="AB52" s="14"/>
      <c r="AC52" s="14" t="s">
        <v>3</v>
      </c>
      <c r="AD52" s="14"/>
      <c r="AE52" s="14" t="s">
        <v>3</v>
      </c>
      <c r="AF52" s="14"/>
      <c r="AG52" s="14" t="s">
        <v>3</v>
      </c>
      <c r="AH52" s="14"/>
      <c r="AI52" s="14"/>
      <c r="AJ52" s="14"/>
      <c r="AK52" s="14"/>
      <c r="AL52" s="14"/>
      <c r="AM52" s="14"/>
      <c r="AN52" s="14"/>
      <c r="AO52" s="14"/>
      <c r="AP52" s="14"/>
    </row>
    <row r="53" spans="1:50" ht="11.25" customHeight="1" x14ac:dyDescent="0.15">
      <c r="D53" s="14" t="s">
        <v>93</v>
      </c>
      <c r="AS53" s="14" t="s">
        <v>90</v>
      </c>
      <c r="AU53" s="14" t="s">
        <v>23</v>
      </c>
      <c r="AW53" s="14" t="s">
        <v>23</v>
      </c>
      <c r="AX53" s="14" t="s">
        <v>23</v>
      </c>
    </row>
    <row r="54" spans="1:50" ht="11.25" customHeight="1" x14ac:dyDescent="0.15">
      <c r="E54" s="15" t="s">
        <v>63</v>
      </c>
      <c r="G54" s="15" t="s">
        <v>64</v>
      </c>
      <c r="I54" s="15" t="s">
        <v>65</v>
      </c>
      <c r="M54" s="14" t="s">
        <v>147</v>
      </c>
      <c r="O54" s="15" t="s">
        <v>148</v>
      </c>
      <c r="Q54" s="15" t="s">
        <v>1</v>
      </c>
      <c r="S54" s="15" t="s">
        <v>66</v>
      </c>
      <c r="W54" s="15" t="s">
        <v>178</v>
      </c>
      <c r="X54" s="14" t="s">
        <v>179</v>
      </c>
      <c r="Y54" s="15" t="s">
        <v>67</v>
      </c>
      <c r="AA54" s="15" t="s">
        <v>189</v>
      </c>
      <c r="AC54" s="15"/>
      <c r="AE54" s="15" t="s">
        <v>192</v>
      </c>
      <c r="AG54" s="15" t="s">
        <v>68</v>
      </c>
      <c r="AI54" s="15" t="s">
        <v>69</v>
      </c>
      <c r="AK54" s="15" t="s">
        <v>79</v>
      </c>
      <c r="AM54" s="14" t="s">
        <v>149</v>
      </c>
      <c r="AO54" s="14" t="s">
        <v>150</v>
      </c>
      <c r="AQ54" s="14" t="s">
        <v>80</v>
      </c>
      <c r="AU54" s="15" t="s">
        <v>70</v>
      </c>
      <c r="AW54" s="15" t="s">
        <v>81</v>
      </c>
    </row>
    <row r="55" spans="1:50" ht="11.25" customHeight="1" x14ac:dyDescent="0.15">
      <c r="J55" s="14" t="s">
        <v>151</v>
      </c>
      <c r="K55" s="14" t="s">
        <v>172</v>
      </c>
      <c r="Q55" s="14" t="s">
        <v>23</v>
      </c>
      <c r="U55" s="14" t="s">
        <v>152</v>
      </c>
      <c r="AB55" s="14" t="s">
        <v>190</v>
      </c>
      <c r="AC55" s="14" t="s">
        <v>191</v>
      </c>
      <c r="AG55" s="14" t="s">
        <v>23</v>
      </c>
      <c r="AI55" s="14" t="s">
        <v>23</v>
      </c>
      <c r="AO55" s="14" t="s">
        <v>3</v>
      </c>
      <c r="AQ55" s="14" t="s">
        <v>3</v>
      </c>
    </row>
    <row r="56" spans="1:50" ht="11.25" customHeight="1" x14ac:dyDescent="0.15">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row>
    <row r="57" spans="1:50" ht="11.25" customHeight="1" x14ac:dyDescent="0.15">
      <c r="A57" s="14" t="s">
        <v>17</v>
      </c>
      <c r="B57" s="14" t="s">
        <v>18</v>
      </c>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row>
  </sheetData>
  <pageMargins left="0.78740157499999996" right="0.78740157499999996" top="0.984251969" bottom="0.984251969" header="0.4921259845" footer="0.4921259845"/>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swiss_qna</vt:lpstr>
      <vt:lpstr>nom_q</vt:lpstr>
      <vt:lpstr>real_q</vt:lpstr>
      <vt:lpstr>defl_q</vt:lpstr>
      <vt:lpstr>gc_q</vt:lpstr>
      <vt:lpstr>nom_y</vt:lpstr>
      <vt:lpstr>real_y</vt:lpstr>
      <vt:lpstr>defl_y</vt:lpstr>
      <vt:lpstr>gc_y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Schweiz, BIP, Bruttoinlandprodukt, Bruttoinlandsprodukt, Volkswirtschaft, Wirtschaft, Wachstum, Konjunktur, Aufschwung, Produktionsseite, Produktionskonto, Industrie, Industriesektor, Dienstleistungssektor, Handel, Finanzwesen, Wertschöpfung, Baugewerbe, Abschwung, Rezession, Boom, volkswirtschaftliche Gesamtrechnung, VGR, Quartalsschätzung, Wirtschaftswachstum, SECO, Ökonomie, Wirtschaftskennzahlen, Sportevent-Effekt, Svizzera, PIL, prodotto interno lordo, economia nazionale, economia, crescita, congiuntura, ripresa, lato della produzione, conto della produzione, industria, settore industriale, settore dei servizi, commercio, finanza, valore aggiunto, edilizia, recessione, ripresa, boom, contabilità nazionale, conti trimestrali, stime trimestrali, crescita economica, SECO, economia, dati economici, effetto evento sportivo, Switzerland, GDP, gross domestic product, national economy, economy, growth, economic cycle, upswing, production side, production account, industry, industrial sector, service sector, trade, finance, value added, construction, downturn, recession, boom, national accounts, quarterly national accounts, quarterly estimations, economic growth, SECO, economic figures, sport event effect, Suisse, PIB, croissance, économie nationale, économie, conjoncture, compte de production, industrie, secteur industriel, commerce, finance, valeur ajoutée, construction, récession, reprise, boom, comptes nationaux, comptes nationaux trimestriels, estimation trimestrielle, croissance économique, SECO, économie, chiffres économiques, effet événement sportif</dc:title>
  <dc:subject>Schweiz, BIP, Bruttoinlandprodukt, Bruttoinlandsprodukt, Volkswirtschaft, Wirtschaft, Wachstum, Konjunktur, Aufschwung, Produktionsseite, Produktionskonto, Industrie, Industriesektor, Dienstleistungssektor, Handel, Finanzwesen, Wertschöpfung, Baugewerbe, Abschwung, Rezession, Boom, volkswirtschaftliche Gesamtrechnung, VGR, Quartalsschätzung, Wirtschaftswachstum, SECO, Ökonomie, Wirtschaftskennzahlen, Sportevent-Effekt, Svizzera, PIL, prodotto interno lordo, economia nazionale, economia, crescita, congiuntura, ripresa, lato della produzione, conto della produzione, industria, settore industriale, settore dei servizi, commercio, finanza, valore aggiunto, edilizia, recessione, ripresa, boom, contabilità nazionale, conti trimestrali, stime trimestrali, crescita economica, SECO, economia, dati economici, effetto evento sportivo, Switzerland, GDP, gross domestic product, national economy, economy, growth, economic cycle, upswing, production side, production account, industry, industrial sector, service sector, trade, finance, value added, construction, downturn, recession, boom, national accounts, quarterly national accounts, quarterly estimations, economic growth, SECO, economic figures, sport event effect, Suisse, PIB, croissance, économie nationale, économie, conjoncture, compte de production, industrie, secteur industriel, commerce, finance, valeur ajoutée, construction, récession, reprise, boom, comptes nationaux, comptes nationaux trimestriels, estimation trimestrielle, croissance économique, SECO, économie, chiffres économiques, effet événement sportif</dc:subject>
  <dc:creator>SECO</dc:creator>
  <cp:keywords>Schweiz, BIP, Bruttoinlandprodukt, Bruttoinlandsprodukt, Volkswirtschaft, Wirtschaft, Wachstum, Konjunktur, Aufschwung, Produktionsseite, Produktionskonto, Industrie, Industriesektor, Dienstleistungssektor, Handel, Finanzwesen, Wertschöpfung, Baugewerbe, Abschwung, Rezession, Boom, volkswirtschaftliche Gesamtrechnung, VGR, Quartalsschätzung, Wirtschaftswachstum, SECO, Ökonomie, Wirtschaftskennzahlen, Sportevent-Effekt, Svizzera, PIL, prodotto interno lordo, economia nazionale, economia, crescita, congiuntura, ripresa, lato della produzione, conto della produzione, industria, settore industriale, settore dei servizi, commercio, finanza, valore aggiunto, edilizia, recessione, ripresa, boom, contabilità nazionale, conti trimestrali, stime trimestrali, crescita economica, SECO, economia, dati economici, effetto evento sportivo, Switzerland, GDP, gross domestic product, national economy, economy, growth, economic cycle, upswing, production side, production account, industry, industrial sector, service sector, trade, finance, value added, construction, downturn, recession, boom, national accounts, quarterly national accounts, quarterly estimations, economic growth, SECO, economic figures, sport event effect, Suisse, PIB, croissance, économie nationale, économie, conjoncture, compte de production, industrie, secteur industriel, commerce, finance, valeur ajoutée, construction, récession, reprise, boom, comptes nationaux, comptes nationaux trimestriels, estimation trimestrielle, croissance économique, SECO, économie, chiffres économiques, effet événement sportif</cp:keywords>
  <dc:description>Schweiz, BIP, Bruttoinlandprodukt, Bruttoinlandsprodukt, Volkswirtschaft, Wirtschaft, Wachstum, Konjunktur, Aufschwung, Produktionsseite, Produktionskonto, Industrie, Industriesektor, Dienstleistungssektor, Handel, Finanzwesen, Wertschöpfung, Baugewerbe, Abschwung, Rezession, Boom, volkswirtschaftliche Gesamtrechnung, VGR, Quartalsschätzung, Wirtschaftswachstum, SECO, Ökonomie, Wirtschaftskennzahlen, Sportevent-Effekt, Svizzera, PIL, prodotto interno lordo, economia nazionale, economia, crescita, congiuntura, ripresa, lato della produzione, conto della produzione, industria, settore industriale, settore dei servizi, commercio, finanza, valore aggiunto, edilizia, recessione, ripresa, boom, contabilità nazionale, conti trimestrali, stime trimestrali, crescita economica, SECO, economia, dati economici, effetto evento sportivo, Switzerland, GDP, gross domestic product, national economy, economy, growth, economic cycle, upswing, production side, production account, industry, industrial sector, service sector, trade, finance, value added, construction, downturn, recession, boom, national accounts, quarterly national accounts, quarterly estimations, economic growth, SECO, economic figures, sport event effect, Suisse, PIB, croissance, économie nationale, économie, conjoncture, compte de production, industrie, secteur industriel, commerce, finance, valeur ajoutée, construction, récession, reprise, boom, comptes nationaux, comptes nationaux trimestriels, estimation trimestrielle, croissance économique, SECO, économie, chiffres économiques, effet événement sportif</dc:description>
  <cp:lastModifiedBy>Yanik Bittel</cp:lastModifiedBy>
  <cp:lastPrinted>2006-09-05T08:16:16Z</cp:lastPrinted>
  <dcterms:created xsi:type="dcterms:W3CDTF">1998-09-01T12:26:41Z</dcterms:created>
  <dcterms:modified xsi:type="dcterms:W3CDTF">2026-10-14T09:45:55Z</dcterms:modified>
  <cp:category>Schweiz, BIP, Bruttoinlandprodukt, Bruttoinlandsprodukt, Volkswirtschaft, Wirtschaft, Wachstum, Konjunktur, Aufschwung, Produktionsseite, Produktionskonto, Industrie, Industriesektor, Dienstleistungssektor, Handel, Finanzwesen, Wertschöpfung, Baugewerbe, Abschwung, Rezession, Boom, volkswirtschaftliche Gesamtrechnung, VGR, Quartalsschätzung, Wirtschaftswachstum, SECO, Ökonomie, Wirtschaftskennzahlen, Sportevent-Effekt, Svizzera, PIL, prodotto interno lordo, economia nazionale, economia, crescita, congiuntura, ripresa, lato della produzione, conto della produzione, industria, settore industriale, settore dei servizi, commercio, finanza, valore aggiunto, edilizia, recessione, ripresa, boom, contabilità nazionale, conti trimestrali, stime trimestrali, crescita economica, SECO, economia, dati economici, effetto evento sportivo, Switzerland, GDP, gross domestic product, national economy, economy, growth, economic cycle, upswing, production side, production account, industry, industrial sector, service sector, trade, finance, value added, construction, downturn, recession, boom, national accounts, quarterly national accounts, quarterly estimations, economic growth, SECO, economic figures, sport event effect, Suisse, PIB, croissance, économie nationale, économie, conjoncture, compte de production, industrie, secteur industriel, commerce, finance, valeur ajoutée, construction, récession, reprise, boom, comptes nationaux, comptes nationaux trimestriels, estimation trimestrielle, croissance économique, SECO, économie, chiffres économiques, effet événement sportif</cp:category>
</cp:coreProperties>
</file>